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TIVA PRECIOS" sheetId="1" state="visible" r:id="rId3"/>
  </sheets>
  <definedNames>
    <definedName function="false" hidden="true" localSheetId="0" name="_xlnm._FilterDatabase" vbProcedure="false">'COMPARATIVA PRECIOS'!$A$33:$K$270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<sst xmlns="http://schemas.openxmlformats.org/spreadsheetml/2006/main" count="574" uniqueCount="327">
  <si>
    <t xml:space="preserve">COMPARATIVA DE PRECIOS ABRIL · MAYO · JULIO 2026 — LA MINA DE CHAMARTÍN</t>
  </si>
  <si>
    <t xml:space="preserve">Últimos 3 meses con albaranes: en junio de 2026 no hay datos de Chamartín y en marzo no hay Excel. Precio del mes = el más alto si hubo varios (se indica en OBSERVACIONES). "Último precio anterior" = mayo, o abril si en mayo no se compró.</t>
  </si>
  <si>
    <t xml:space="preserve">RESUMEN JULIO</t>
  </si>
  <si>
    <t xml:space="preserve">Productos que SUBEN en julio</t>
  </si>
  <si>
    <t xml:space="preserve">Productos que BAJAN en julio</t>
  </si>
  <si>
    <t xml:space="preserve">Productos con el MISMO precio</t>
  </si>
  <si>
    <t xml:space="preserve">Productos NUEVOS en julio (sin precio anterior)</t>
  </si>
  <si>
    <t xml:space="preserve">Productos sin compra en julio</t>
  </si>
  <si>
    <t xml:space="preserve">SUBIDAS DE JULIO (de mayor a menor %)</t>
  </si>
  <si>
    <t xml:space="preserve">BAJADAS DE JULIO</t>
  </si>
  <si>
    <t xml:space="preserve">PROVEEDOR</t>
  </si>
  <si>
    <t xml:space="preserve">PRODUCTO</t>
  </si>
  <si>
    <t xml:space="preserve">ANTES</t>
  </si>
  <si>
    <t xml:space="preserve">JULIO</t>
  </si>
  <si>
    <t xml:space="preserve">DIF. %</t>
  </si>
  <si>
    <t xml:space="preserve">DETALLE POR PRODUCTO</t>
  </si>
  <si>
    <t xml:space="preserve">PRECIO ABRIL</t>
  </si>
  <si>
    <t xml:space="preserve">PRECIO MAYO</t>
  </si>
  <si>
    <t xml:space="preserve">PRECIO JULIO</t>
  </si>
  <si>
    <t xml:space="preserve">ÚLTIMO PRECIO ANTERIOR</t>
  </si>
  <si>
    <t xml:space="preserve">DIF. € JULIO</t>
  </si>
  <si>
    <t xml:space="preserve">DIF. % JULIO</t>
  </si>
  <si>
    <t xml:space="preserve">ESTADO JULIO</t>
  </si>
  <si>
    <t xml:space="preserve">VAR. % MAYO vs ABRIL</t>
  </si>
  <si>
    <t xml:space="preserve">OBSERVACIONES</t>
  </si>
  <si>
    <t xml:space="preserve">AGMASFOOD</t>
  </si>
  <si>
    <t xml:space="preserve">ALMEJA BABOSA GORDA</t>
  </si>
  <si>
    <t xml:space="preserve">Producto fresco: precio de mercado, fluctúa</t>
  </si>
  <si>
    <t xml:space="preserve">ALMEJA JAPONICA ROJA</t>
  </si>
  <si>
    <t xml:space="preserve">ANGULA</t>
  </si>
  <si>
    <t xml:space="preserve">BERBERECHOS</t>
  </si>
  <si>
    <t xml:space="preserve">BOQUERON GORDO</t>
  </si>
  <si>
    <t xml:space="preserve">Producto fresco: precio de mercado, fluctúa. Varios precios en abril: 8,90 / 9,30 / 10,25 / 10,35</t>
  </si>
  <si>
    <t xml:space="preserve">CARABINEROS 7/8</t>
  </si>
  <si>
    <t xml:space="preserve">GAMBA ROJA ALISTADA 15-20P</t>
  </si>
  <si>
    <t xml:space="preserve">Producto fresco: precio de mercado, fluctúa. Varios precios en abril: 94,00 / 95,00. Varios precios en mayo: 75,00 / 95,00. Varios precios en julio: 79,00 / 84,00</t>
  </si>
  <si>
    <t xml:space="preserve">LOMO NEGRO SIN COLA LIMPIO</t>
  </si>
  <si>
    <t xml:space="preserve">PATAS PULPO 100/150</t>
  </si>
  <si>
    <t xml:space="preserve">AGROFOOD</t>
  </si>
  <si>
    <t xml:space="preserve">CAJAS DE CERDO IBÉRICO</t>
  </si>
  <si>
    <t xml:space="preserve">ENTRECOT T. MORUCHA</t>
  </si>
  <si>
    <t xml:space="preserve">KG DESMIGADA COLA TORO EN SU JUGO A BA</t>
  </si>
  <si>
    <t xml:space="preserve">MEDALLON P. SOLOMILLO VACUNO</t>
  </si>
  <si>
    <t xml:space="preserve">ANTONIO DE MIGUEL</t>
  </si>
  <si>
    <t xml:space="preserve">PATO CEBADO-FOIE RESTAURACION (400-900)</t>
  </si>
  <si>
    <t xml:space="preserve">CALIDOSCOPI</t>
  </si>
  <si>
    <t xml:space="preserve">OREMUS 3</t>
  </si>
  <si>
    <t xml:space="preserve">PAGO DE CARRAOVEJAS 2023</t>
  </si>
  <si>
    <t xml:space="preserve">ROMANICO 2023</t>
  </si>
  <si>
    <t xml:space="preserve">CARNICAS MEAT</t>
  </si>
  <si>
    <t xml:space="preserve">CHULETA CORDERO LECHAL</t>
  </si>
  <si>
    <t xml:space="preserve">SOLOMILLO VACA</t>
  </si>
  <si>
    <t xml:space="preserve">Varios precios en julio: 34,55 / 35,00</t>
  </si>
  <si>
    <t xml:space="preserve">TERNERA MIXTA</t>
  </si>
  <si>
    <t xml:space="preserve">COCACOLA</t>
  </si>
  <si>
    <t xml:space="preserve">COCACOLA PET2L C6</t>
  </si>
  <si>
    <t xml:space="preserve">COCACOLA VR237 C24</t>
  </si>
  <si>
    <t xml:space="preserve">COCACOLA ZER VR237 C24</t>
  </si>
  <si>
    <t xml:space="preserve">COCACOLA ZER ZER VR237 C24</t>
  </si>
  <si>
    <t xml:space="preserve">MINUTE MAID TOM VNR20 C24</t>
  </si>
  <si>
    <t xml:space="preserve">CONS. SELEC. SANTO</t>
  </si>
  <si>
    <t xml:space="preserve">DON BOCARTE MEDIO PULPO 360-400 GR</t>
  </si>
  <si>
    <t xml:space="preserve">CONS. Y SAL. JIMENEZ</t>
  </si>
  <si>
    <t xml:space="preserve">ANCHOAS CANTABRICO COSTERA</t>
  </si>
  <si>
    <t xml:space="preserve">ANCHOAS CANTABRICO RO-550 ETIQUETA ROJA</t>
  </si>
  <si>
    <t xml:space="preserve">ANCHOAS DEL CANTABRICO GRAN RESERVA</t>
  </si>
  <si>
    <t xml:space="preserve">MEJILLONES ESCABECHE RIAS GALLEGAS 44-125 6/8 VENGARCO</t>
  </si>
  <si>
    <t xml:space="preserve">MOJAMA EXTRA SUPERIOR LA CHANCA</t>
  </si>
  <si>
    <t xml:space="preserve">VENTRESCA DE BONITO EXTRA</t>
  </si>
  <si>
    <t xml:space="preserve">CRNAS SERVAN / CARNICAS OPC</t>
  </si>
  <si>
    <t xml:space="preserve">CAJA HUEVOS CORRAL</t>
  </si>
  <si>
    <t xml:space="preserve">CHORIZO ASTURIANO</t>
  </si>
  <si>
    <t xml:space="preserve">FALDA DE TERNERA</t>
  </si>
  <si>
    <t xml:space="preserve">GALLINAS</t>
  </si>
  <si>
    <t xml:space="preserve">HUESO FRESCO</t>
  </si>
  <si>
    <t xml:space="preserve">HUESOS DE JAMON</t>
  </si>
  <si>
    <t xml:space="preserve">MANOS DE CERDO</t>
  </si>
  <si>
    <t xml:space="preserve">MEDIA CAJA DE HUERVO</t>
  </si>
  <si>
    <t xml:space="preserve">MEDIA CAJA HUEVO</t>
  </si>
  <si>
    <t xml:space="preserve">MORCILLA ASTURIANA</t>
  </si>
  <si>
    <t xml:space="preserve">MORCILLO DE TERNERA</t>
  </si>
  <si>
    <t xml:space="preserve">MORRO DE TERNERA</t>
  </si>
  <si>
    <t xml:space="preserve">OREJA DE CERDO</t>
  </si>
  <si>
    <t xml:space="preserve">PANCETA ADOBADA</t>
  </si>
  <si>
    <t xml:space="preserve">PANCETA FRESCA</t>
  </si>
  <si>
    <t xml:space="preserve">PATAS DE TERNERA</t>
  </si>
  <si>
    <t xml:space="preserve">PECHUGA POLLO</t>
  </si>
  <si>
    <t xml:space="preserve">PICADA MIXTA</t>
  </si>
  <si>
    <t xml:space="preserve">POLLO ENTERO</t>
  </si>
  <si>
    <t xml:space="preserve">POLLO TROCEADO</t>
  </si>
  <si>
    <t xml:space="preserve">TOCINO IBERICO</t>
  </si>
  <si>
    <t xml:space="preserve">CRUSTAPESCA</t>
  </si>
  <si>
    <t xml:space="preserve">COLA G</t>
  </si>
  <si>
    <t xml:space="preserve">Producto fresco: precio de mercado, fluctúa. Varios precios en abril: 20,00 / 22,00</t>
  </si>
  <si>
    <t xml:space="preserve">GAMBA C</t>
  </si>
  <si>
    <t xml:space="preserve">GAMBA FR GG</t>
  </si>
  <si>
    <t xml:space="preserve">GAMBA FR M</t>
  </si>
  <si>
    <t xml:space="preserve">Producto fresco: precio de mercado, fluctúa. Varios precios en abril: 22,00 / 23,00 / 26,00. Varios precios en mayo: 23,00 / 24,00 / 26,00</t>
  </si>
  <si>
    <t xml:space="preserve">VENTRESCA</t>
  </si>
  <si>
    <t xml:space="preserve">DELIPAN</t>
  </si>
  <si>
    <t xml:space="preserve">DELIFLAUTA 17 PERRITO 90 UDS</t>
  </si>
  <si>
    <t xml:space="preserve">PAN MOLDE BRIOCHE (7 UD)</t>
  </si>
  <si>
    <t xml:space="preserve">PICOS ARTESANOS 500GR</t>
  </si>
  <si>
    <t xml:space="preserve">PICOS GOURMET BOLSA 500GR</t>
  </si>
  <si>
    <t xml:space="preserve">PICOS SIN GLUTEN 20GR (25 UDS)</t>
  </si>
  <si>
    <t xml:space="preserve">DISOLTRIGO</t>
  </si>
  <si>
    <t xml:space="preserve">24 PERLE NOIRE N.2</t>
  </si>
  <si>
    <t xml:space="preserve">Varios precios en abril: 41,50 / 42,50. Varios precios en mayo: 41,50 / 42,50</t>
  </si>
  <si>
    <t xml:space="preserve">BOQUERON CASERO EN ACEITE 700G</t>
  </si>
  <si>
    <t xml:space="preserve">BOQUERON EN VINAGRE PANDERETA</t>
  </si>
  <si>
    <t xml:space="preserve">DIST. TENA MTNEZ</t>
  </si>
  <si>
    <t xml:space="preserve">ALBARIÑO MAR DE FRADES</t>
  </si>
  <si>
    <t xml:space="preserve">CAVA BRUT NATURE GRAN CLAUSTRO</t>
  </si>
  <si>
    <t xml:space="preserve">CEPAS VELLAS GODEVAL</t>
  </si>
  <si>
    <t xml:space="preserve">CHARDONAY LIAS ECOLOGICO F.ELEZ</t>
  </si>
  <si>
    <t xml:space="preserve">CRUZ DE ALBA ROBLE 3/4</t>
  </si>
  <si>
    <t xml:space="preserve">GINEBRA MARTIN MILLER 3/4</t>
  </si>
  <si>
    <t xml:space="preserve">GODELLO DE MAR DE FRADES</t>
  </si>
  <si>
    <t xml:space="preserve">GODELLO VIÑAREDO</t>
  </si>
  <si>
    <t xml:space="preserve">LAS MORADAS SENDA</t>
  </si>
  <si>
    <t xml:space="preserve">PEPE YLLERA 3/4</t>
  </si>
  <si>
    <t xml:space="preserve">POMMERY ROYAL BRUT 3/4</t>
  </si>
  <si>
    <t xml:space="preserve">SEÑORIO DE FITERO ROBLE</t>
  </si>
  <si>
    <t xml:space="preserve">TRUS CRIANZA 3/4</t>
  </si>
  <si>
    <t xml:space="preserve">EIF DISTRIBUCIONES</t>
  </si>
  <si>
    <t xml:space="preserve">BARCELO AÑEJO</t>
  </si>
  <si>
    <t xml:space="preserve">IZAGUIRRE BOX 20L</t>
  </si>
  <si>
    <t xml:space="preserve">RED BULL</t>
  </si>
  <si>
    <t xml:space="preserve">RED BULL SIN AZUCAR</t>
  </si>
  <si>
    <t xml:space="preserve">SOLAN DE CABRAS CON GAS</t>
  </si>
  <si>
    <t xml:space="preserve">ENRIQUE CAMPS</t>
  </si>
  <si>
    <t xml:space="preserve">TARTA CHOCOLATE</t>
  </si>
  <si>
    <t xml:space="preserve">TARTA QUESO</t>
  </si>
  <si>
    <t xml:space="preserve">ESCRIBANO SANZ</t>
  </si>
  <si>
    <t xml:space="preserve">LOMO BELLOTA 100%</t>
  </si>
  <si>
    <t xml:space="preserve">Varios precios en julio: 48,60 / 51,00</t>
  </si>
  <si>
    <t xml:space="preserve">PAPADA IBERICA</t>
  </si>
  <si>
    <t xml:space="preserve">SALCHICHON BELLOTA SM</t>
  </si>
  <si>
    <t xml:space="preserve">SALCHICHON IBERICO</t>
  </si>
  <si>
    <t xml:space="preserve">FCO JAVIER LABRADOR</t>
  </si>
  <si>
    <t xml:space="preserve">FLOR DE ALCACHOFA CONFITADA A. ORUJO (20 UDS)</t>
  </si>
  <si>
    <t xml:space="preserve">FRUTERIA D'ALISTE</t>
  </si>
  <si>
    <t xml:space="preserve">AGUACATE</t>
  </si>
  <si>
    <t xml:space="preserve">Producto fresco: precio de mercado, fluctúa. Varios precios en abril: 9,80 / 10,50</t>
  </si>
  <si>
    <t xml:space="preserve">CALABACIN</t>
  </si>
  <si>
    <t xml:space="preserve">CEBOLLA BLANCA</t>
  </si>
  <si>
    <t xml:space="preserve">Producto fresco: precio de mercado, fluctúa. Varios precios en abril: 1,35 / 1,40</t>
  </si>
  <si>
    <t xml:space="preserve">CEBOLLETAS</t>
  </si>
  <si>
    <t xml:space="preserve">Producto fresco: precio de mercado, fluctúa. Varios precios en abril: 1,45 / 2,00 / 2,10. Varios precios en julio: 2,10 / 2,20</t>
  </si>
  <si>
    <t xml:space="preserve">CEBOLLINO</t>
  </si>
  <si>
    <t xml:space="preserve">ENELDO</t>
  </si>
  <si>
    <t xml:space="preserve">LECHUGA BATAVIA</t>
  </si>
  <si>
    <t xml:space="preserve">Producto fresco: precio de mercado, fluctúa. Varios precios en abril: 2,00 / 2,20</t>
  </si>
  <si>
    <t xml:space="preserve">LIMON</t>
  </si>
  <si>
    <t xml:space="preserve">Producto fresco: precio de mercado, fluctúa. Varios precios en abril: 2,30 / 2,90 / 3,30</t>
  </si>
  <si>
    <t xml:space="preserve">NARANJA ZUMO</t>
  </si>
  <si>
    <t xml:space="preserve">PATATA MONALISA</t>
  </si>
  <si>
    <t xml:space="preserve">PEREJIL</t>
  </si>
  <si>
    <t xml:space="preserve">PIMIENTO ROJO</t>
  </si>
  <si>
    <t xml:space="preserve">PUERROS</t>
  </si>
  <si>
    <t xml:space="preserve">TOMATE IBERICO</t>
  </si>
  <si>
    <t xml:space="preserve">Producto fresco: precio de mercado, fluctúa. Varios precios en abril: 7,00 / 7,90</t>
  </si>
  <si>
    <t xml:space="preserve">TOMILLO</t>
  </si>
  <si>
    <t xml:space="preserve">ZANAHORIA</t>
  </si>
  <si>
    <t xml:space="preserve">JOSE ROMERO PLAZA</t>
  </si>
  <si>
    <t xml:space="preserve">Producto fresco: precio de mercado, fluctúa. Varios precios en abril: 8,18 / 8,64 / 9,09. Varios precios en mayo: 8,18 / 8,64 / 9,09 / 10,00. Varios precios en julio: 9,50 / 10,00 / 11,00 / 12,00</t>
  </si>
  <si>
    <t xml:space="preserve">COQUINA</t>
  </si>
  <si>
    <t xml:space="preserve">PARROCHAS</t>
  </si>
  <si>
    <t xml:space="preserve">Producto fresco: precio de mercado, fluctúa. Varios precios en mayo: 5,45 / 6,18 / 6,36. Varios precios en julio: 7,00 / 7,80</t>
  </si>
  <si>
    <t xml:space="preserve">MAGOASE</t>
  </si>
  <si>
    <t xml:space="preserve">BID. PET A.GIRASOL ALTO OLEICO</t>
  </si>
  <si>
    <t xml:space="preserve">BID. PET CUAD. A.O. SUAVE GUADALIMAR 5L</t>
  </si>
  <si>
    <t xml:space="preserve">Varios precios en abril: 23,95 / 25,95</t>
  </si>
  <si>
    <t xml:space="preserve">BID. PET CUADR A.O.V.E. GUADALIMAR 5L</t>
  </si>
  <si>
    <t xml:space="preserve">Varios precios en abril: 26,95 / 28,95</t>
  </si>
  <si>
    <t xml:space="preserve">LATA A.O.V.E. AU LINGOTE TEMPRANO</t>
  </si>
  <si>
    <t xml:space="preserve">MAKRO</t>
  </si>
  <si>
    <t xml:space="preserve">LIMON 2A C-2/6 CJ 9KG</t>
  </si>
  <si>
    <t xml:space="preserve">MANUEL AMBRES</t>
  </si>
  <si>
    <t xml:space="preserve">RACION CECINA PREMIUM 100GR</t>
  </si>
  <si>
    <t xml:space="preserve">RACION CECINA PREMIUM 100GR WAGYU</t>
  </si>
  <si>
    <t xml:space="preserve">RACION J. BELLOTA 100% 100GR</t>
  </si>
  <si>
    <t xml:space="preserve">MARTIN CANEDA</t>
  </si>
  <si>
    <t xml:space="preserve">BERBERECHO</t>
  </si>
  <si>
    <t xml:space="preserve">Producto fresco: precio de mercado, fluctúa. Varios precios en abril: 20,00 / 25,00 / 100,00. Varios precios en julio: 24,00 / 25,00</t>
  </si>
  <si>
    <t xml:space="preserve">CAMARON</t>
  </si>
  <si>
    <t xml:space="preserve">CENTOLLAS V / CAMARON T.</t>
  </si>
  <si>
    <t xml:space="preserve">Producto fresco: precio de mercado, fluctúa. Varios precios en abril: 98,00 / 100,00</t>
  </si>
  <si>
    <t xml:space="preserve">CHOCHAS GDA</t>
  </si>
  <si>
    <t xml:space="preserve">Producto fresco: precio de mercado, fluctúa. Varios precios en abril: 49,00 / 50,00</t>
  </si>
  <si>
    <t xml:space="preserve">CHOCHAS GDA/LANGOSTINOS</t>
  </si>
  <si>
    <t xml:space="preserve">Producto fresco: precio de mercado, fluctúa. Varios precios en abril: 46,00 / 50,00</t>
  </si>
  <si>
    <t xml:space="preserve">CHOCHAS TDA</t>
  </si>
  <si>
    <t xml:space="preserve">MEJILLONES</t>
  </si>
  <si>
    <t xml:space="preserve">PERCEBES GDO</t>
  </si>
  <si>
    <t xml:space="preserve">MUNDELA</t>
  </si>
  <si>
    <t xml:space="preserve">BARBADILLO VI MOSCATO FRIZZANTE</t>
  </si>
  <si>
    <t xml:space="preserve">CORIMBO</t>
  </si>
  <si>
    <t xml:space="preserve">MANZANILLA SOLEAR 3/8</t>
  </si>
  <si>
    <t xml:space="preserve">PACO GARCIA CRIANZA 3/4</t>
  </si>
  <si>
    <t xml:space="preserve">R.B. EDI.LIM. EARLY HARVEST ROSADO</t>
  </si>
  <si>
    <t xml:space="preserve">RAMON BILBAO BLANCO VERDEJO 3/4</t>
  </si>
  <si>
    <t xml:space="preserve">RAMON BILBAO VIÑEDOS DE ALTURA 3/4</t>
  </si>
  <si>
    <t xml:space="preserve">RODA RESERVA 3/4</t>
  </si>
  <si>
    <t xml:space="preserve">VINAGRE DE JEREZ RESERVA AL MOSCATEL</t>
  </si>
  <si>
    <t xml:space="preserve">VIÑA MAYOR VERDEJO</t>
  </si>
  <si>
    <t xml:space="preserve">PATATAS YAGO</t>
  </si>
  <si>
    <t xml:space="preserve">SACO AGRIA NUEVA ALICANTE</t>
  </si>
  <si>
    <t xml:space="preserve">Producto fresco: precio de mercado, fluctúa. Varios precios en julio: 0,88 / 0,89 / 0,95</t>
  </si>
  <si>
    <t xml:space="preserve">SACO MONALISA</t>
  </si>
  <si>
    <t xml:space="preserve">Producto fresco: precio de mercado, fluctúa. Varios precios en julio: 0,90 / 0,93</t>
  </si>
  <si>
    <t xml:space="preserve">PESCADERIA PALACIO</t>
  </si>
  <si>
    <t xml:space="preserve">ALISTADO 15/20 PARAPENAEUS</t>
  </si>
  <si>
    <t xml:space="preserve">PESCARUM</t>
  </si>
  <si>
    <t xml:space="preserve">ALISTADOS</t>
  </si>
  <si>
    <t xml:space="preserve">Producto fresco: precio de mercado, fluctúa. Varios precios en abril: 78,00 / 87,00</t>
  </si>
  <si>
    <t xml:space="preserve">CALAMARES</t>
  </si>
  <si>
    <t xml:space="preserve">Producto fresco: precio de mercado, fluctúa. Varios precios en abril: 21,50 / 26,50</t>
  </si>
  <si>
    <t xml:space="preserve">CARABINEROS</t>
  </si>
  <si>
    <t xml:space="preserve">Producto fresco: precio de mercado, fluctúa. Varios precios en abril: 93,00 / 98,00. Varios precios en mayo: 98,00 / 118,00</t>
  </si>
  <si>
    <t xml:space="preserve">CHIRLAS</t>
  </si>
  <si>
    <t xml:space="preserve">CIGALA</t>
  </si>
  <si>
    <t xml:space="preserve">Producto fresco: precio de mercado, fluctúa. Varios precios en mayo: 68,00 / 72,00</t>
  </si>
  <si>
    <t xml:space="preserve">COCOCHAS</t>
  </si>
  <si>
    <t xml:space="preserve">COQUINAS</t>
  </si>
  <si>
    <t xml:space="preserve">GAMBA ROJA</t>
  </si>
  <si>
    <t xml:space="preserve">Producto fresco: precio de mercado, fluctúa. Varios precios en mayo: 72,00 / 88,00</t>
  </si>
  <si>
    <t xml:space="preserve">LANGOSTINO</t>
  </si>
  <si>
    <t xml:space="preserve">Producto fresco: precio de mercado, fluctúa. Varios precios en abril: 33,00 / 35,00</t>
  </si>
  <si>
    <t xml:space="preserve">MIXTO</t>
  </si>
  <si>
    <t xml:space="preserve">NAVAJA</t>
  </si>
  <si>
    <t xml:space="preserve">Producto fresco: precio de mercado, fluctúa. Varios precios en abril: 25,00 / 26,00 / 26,50 / 27,00 / 27,50 / 28,00 / 28,50 / 31,00 / 32,50. Varios precios en mayo: 25,00 / 27,00 / 27,50 / 28,50 / 29,00. Varios precios en julio: 23,00 / 25,00 / 25,50 / 29,50</t>
  </si>
  <si>
    <t xml:space="preserve">PERIKITO</t>
  </si>
  <si>
    <t xml:space="preserve">Producto fresco: precio de mercado, fluctúa. Varios precios en abril: 12,50 / 13,00</t>
  </si>
  <si>
    <t xml:space="preserve">PULPO</t>
  </si>
  <si>
    <t xml:space="preserve">QUISQUILLA</t>
  </si>
  <si>
    <t xml:space="preserve">Producto fresco: precio de mercado, fluctúa. Varios precios en abril: 46,00 / 49,00 / 58,00. Varios precios en julio: 58,00 / 59,00</t>
  </si>
  <si>
    <t xml:space="preserve">SAKU ATUN</t>
  </si>
  <si>
    <t xml:space="preserve">ZAMBURIÑAS</t>
  </si>
  <si>
    <t xml:space="preserve">PEÑALASTALLAS</t>
  </si>
  <si>
    <t xml:space="preserve">MOLLEJAS DE CERDO</t>
  </si>
  <si>
    <t xml:space="preserve">MOLLEJAS DE CORDERO</t>
  </si>
  <si>
    <t xml:space="preserve">PINCHO MORUNO DE POLLO</t>
  </si>
  <si>
    <t xml:space="preserve">PINCHOS MORUNOS</t>
  </si>
  <si>
    <t xml:space="preserve">ROMERO ALVAREZ</t>
  </si>
  <si>
    <t xml:space="preserve">PRESA 100% IBERICA</t>
  </si>
  <si>
    <t xml:space="preserve">SUBMARINER</t>
  </si>
  <si>
    <t xml:space="preserve">ABSOLUT 0,70L</t>
  </si>
  <si>
    <t xml:space="preserve">ACAPA X.O.</t>
  </si>
  <si>
    <t xml:space="preserve">AGT BLANCO 3L QUEMEIRAS</t>
  </si>
  <si>
    <t xml:space="preserve">APEROL LITRO</t>
  </si>
  <si>
    <t xml:space="preserve">AZPILICUETA INSTINTO</t>
  </si>
  <si>
    <t xml:space="preserve">BACARDI 1L NR</t>
  </si>
  <si>
    <t xml:space="preserve">BALLANTINES 0,70L NR</t>
  </si>
  <si>
    <t xml:space="preserve">BEEFEATER 0,70L NR</t>
  </si>
  <si>
    <t xml:space="preserve">BOMBAY SAPHIRE 0,70</t>
  </si>
  <si>
    <t xml:space="preserve">BRUGAL 0,70L NR</t>
  </si>
  <si>
    <t xml:space="preserve">CAMPARI 1L</t>
  </si>
  <si>
    <t xml:space="preserve">CINZANO PROSECCO SPRITZ</t>
  </si>
  <si>
    <t xml:space="preserve">CREMA ORUJO 3L MOS DE PAS</t>
  </si>
  <si>
    <t xml:space="preserve">DYC 8 AÑOS 0,70L NR</t>
  </si>
  <si>
    <t xml:space="preserve">EL MOJIGATO</t>
  </si>
  <si>
    <t xml:space="preserve">GIN GVINE ET. VERDE 0,70L</t>
  </si>
  <si>
    <t xml:space="preserve">GIN MARTIN MILLERS 0,70L</t>
  </si>
  <si>
    <t xml:space="preserve">GIN NORDÉS 0,70L</t>
  </si>
  <si>
    <t xml:space="preserve">GIN PUERTO INDIAS FRESA 0,70</t>
  </si>
  <si>
    <t xml:space="preserve">GIN ROKU</t>
  </si>
  <si>
    <t xml:space="preserve">GREY GOOSE VODKA 0,70L NR</t>
  </si>
  <si>
    <t xml:space="preserve">HAVANA 7 AÑOS NR</t>
  </si>
  <si>
    <t xml:space="preserve">HENDRICKS 0,70L</t>
  </si>
  <si>
    <t xml:space="preserve">HIERBAS 3L MOS DE PAS</t>
  </si>
  <si>
    <t xml:space="preserve">J. WALKER NEGRA 0,70L NR</t>
  </si>
  <si>
    <t xml:space="preserve">J. WALKER RED 0,70L NR</t>
  </si>
  <si>
    <t xml:space="preserve">JAMESON 0,70L</t>
  </si>
  <si>
    <t xml:space="preserve">JOSE CUERVO SILVER 0.7</t>
  </si>
  <si>
    <t xml:space="preserve">LARIOS 1L NR</t>
  </si>
  <si>
    <t xml:space="preserve">LARIOS ESPECIAL 12 NR</t>
  </si>
  <si>
    <t xml:space="preserve">LICOR CAFÉ QUEMEIRAS 3L</t>
  </si>
  <si>
    <t xml:space="preserve">LICOR PECCATO LIMON 3L QUEMEIRAS</t>
  </si>
  <si>
    <t xml:space="preserve">LIMONCELO DE 3L BEREMOT</t>
  </si>
  <si>
    <t xml:space="preserve">MACALLAN 12</t>
  </si>
  <si>
    <t xml:space="preserve">MAESTRO DOBEL DIAMANTE REPOSADO 0.70</t>
  </si>
  <si>
    <t xml:space="preserve">MANZANA SIN 1L</t>
  </si>
  <si>
    <t xml:space="preserve">MARTINI BLANCO 1L</t>
  </si>
  <si>
    <t xml:space="preserve">MARTINI ROJO 1L</t>
  </si>
  <si>
    <t xml:space="preserve">PACHARAN 3L MOS DE PAS</t>
  </si>
  <si>
    <t xml:space="preserve">RED BULL 24U</t>
  </si>
  <si>
    <t xml:space="preserve">RON BARCELO 0,70L NR</t>
  </si>
  <si>
    <t xml:space="preserve">RUINART BLANC DE BLANC 0,75</t>
  </si>
  <si>
    <t xml:space="preserve">SANTA TERESA G.RVA 0,70L</t>
  </si>
  <si>
    <t xml:space="preserve">SEAGRAMS 0,70L NR</t>
  </si>
  <si>
    <t xml:space="preserve">TEQUILA DON JULIO REPOSADO</t>
  </si>
  <si>
    <t xml:space="preserve">WHITE LABEL 0,70L NR</t>
  </si>
  <si>
    <t xml:space="preserve">ZACAPA 23 AÑOS 0,70L</t>
  </si>
  <si>
    <t xml:space="preserve">TOMATERIA DE CEA</t>
  </si>
  <si>
    <t xml:space="preserve">RAF IBERICO</t>
  </si>
  <si>
    <t xml:space="preserve">Producto fresco: precio de mercado, fluctúa. Varios precios en abril: 6,00 / 6,50. Varios precios en mayo: 6,00 / 6,50</t>
  </si>
  <si>
    <t xml:space="preserve">VENERO CLARO</t>
  </si>
  <si>
    <t xml:space="preserve">LOMO VACA VENERO CLARO C/H</t>
  </si>
  <si>
    <t xml:space="preserve">VINS DES DIEUX</t>
  </si>
  <si>
    <t xml:space="preserve">CANTALAPIEDRA CHIVIRITERO 2024</t>
  </si>
  <si>
    <t xml:space="preserve">CHAMPAGNE CHAVOST BLANC</t>
  </si>
  <si>
    <t xml:space="preserve">VOLDIS</t>
  </si>
  <si>
    <t xml:space="preserve">AGUA CON GAS SOLAN DE CABRAS VIDRIO RNR 33CL</t>
  </si>
  <si>
    <t xml:space="preserve">AGUA SOLAN DE CABRAS VIDRIO RET 50CL 20U</t>
  </si>
  <si>
    <t xml:space="preserve">ALHAMBRA RESERVA 1925 VIDRIO NR 33CL</t>
  </si>
  <si>
    <t xml:space="preserve">AQUARADE ZERO LIMON VIDRIO RET 35CL</t>
  </si>
  <si>
    <t xml:space="preserve">AQUARADE ZERO NARANJA VIDRIO RET 35CL</t>
  </si>
  <si>
    <t xml:space="preserve">BITTER KAS VIDRIO NR 20CL CAJA 24U</t>
  </si>
  <si>
    <t xml:space="preserve">LA CASERA GASEOSA PET 1L CAJA 12U</t>
  </si>
  <si>
    <t xml:space="preserve">LA CASERA LIMON PET 1L CAJA 12U</t>
  </si>
  <si>
    <t xml:space="preserve">LIPTON ZERO LIMON VIDRIO RET 35CL CAJA 24U</t>
  </si>
  <si>
    <t xml:space="preserve">MAHOU 0,0 TOSTADA VIDRIO RET 33CL</t>
  </si>
  <si>
    <t xml:space="preserve">MAHOU 5 ESTRELLAS SIN GLUTEN VIDRIO NR 33CL</t>
  </si>
  <si>
    <t xml:space="preserve">MAHOU 5 ESTRELLAS VIDRIO RET 33CL CAJA 24U</t>
  </si>
  <si>
    <t xml:space="preserve">MAHOU RESERVA VIDRIO NR 33CL CAJA 24U</t>
  </si>
  <si>
    <t xml:space="preserve">MAHOU SIN BARRIL RET 10L</t>
  </si>
  <si>
    <t xml:space="preserve">SCHWEPPES GINGER LOW CAL VIDRIO RET 20CL CAJA 28U</t>
  </si>
  <si>
    <t xml:space="preserve">SCHWEPPES LIMON LOW CAL VIDRIO RET 20CL</t>
  </si>
  <si>
    <t xml:space="preserve">SCHWEPPES NARANJA LOW CAL VIDRIO RET 20CL</t>
  </si>
  <si>
    <t xml:space="preserve">SCHWEPPES SELECTIO GINGER BEER VIDRIO NR 20CL CAJA 12U</t>
  </si>
  <si>
    <t xml:space="preserve">SCHWEPPES TONICA VIDRIO RET 20CL CAJA 28U</t>
  </si>
  <si>
    <t xml:space="preserve">SEVEN UP FREE VIDRIO RET 20CL CAJA 24U</t>
  </si>
  <si>
    <t xml:space="preserve">SEVEN UP ZERO AXL VIDRIO RET 20CL</t>
  </si>
  <si>
    <t xml:space="preserve">TRINA NARANJA LOW CAL VIDRIO RET 20CL</t>
  </si>
  <si>
    <t xml:space="preserve">ZUMO VIDA PIÑA VIDRIO NR 20CL</t>
  </si>
  <si>
    <t xml:space="preserve">ZUMO VIDA TOMATE VIDRIO NR 20CL CAJA 24U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</si>
</sst>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#,##0.00##&quot; €&quot;;[RED]\-#,##0.00##&quot; €&quot;"/>
    <numFmt numFmtId="167" formatCode="0.0%;[RED]\-0.0%;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9C0006"/>
      <name val="Cambria"/>
      <family val="0"/>
      <charset val="1"/>
    </font>
    <font>
      <b val="true"/>
      <sz val="11"/>
      <color rgb="FF0061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1F3864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rgb="FFFFC7CE"/>
        <bgColor rgb="FFD9E1F2"/>
      </patternFill>
    </fill>
    <fill>
      <patternFill patternType="solid">
        <fgColor rgb="FFC6EFCE"/>
        <bgColor rgb="FFD9E1F2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808080"/>
      </font>
    </dxf>
    <dxf>
      <font>
        <b val="1"/>
        <color rgb="FF9C0006"/>
      </font>
    </dxf>
    <dxf>
      <font>
        <b val="1"/>
        <color rgb="FF0061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K2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5" min="3" style="0" width="13"/>
    <col collapsed="false" customWidth="true" hidden="false" outlineLevel="0" max="6" min="6" style="0" width="14"/>
    <col collapsed="false" customWidth="true" hidden="false" outlineLevel="0" max="7" min="7" style="0" width="19"/>
    <col collapsed="false" customWidth="true" hidden="false" outlineLevel="0" max="8" min="8" style="0" width="21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6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/>
      <c r="C5" s="5" t="n">
        <f aca="false">COUNTIF($I$34:$I$270,"SUBE")</f>
        <v>18</v>
      </c>
    </row>
    <row r="6" customFormat="false" ht="15" hidden="false" customHeight="false" outlineLevel="0" collapsed="false">
      <c r="A6" s="4" t="s">
        <v>4</v>
      </c>
      <c r="B6" s="4"/>
      <c r="C6" s="5" t="n">
        <f aca="false">COUNTIF($I$34:$I$270,"BAJA")</f>
        <v>13</v>
      </c>
    </row>
    <row r="7" customFormat="false" ht="15" hidden="false" customHeight="false" outlineLevel="0" collapsed="false">
      <c r="A7" s="4" t="s">
        <v>5</v>
      </c>
      <c r="B7" s="4"/>
      <c r="C7" s="5" t="n">
        <f aca="false">COUNTIF($I$34:$I$270,"IGUAL")</f>
        <v>100</v>
      </c>
    </row>
    <row r="8" customFormat="false" ht="15" hidden="false" customHeight="false" outlineLevel="0" collapsed="false">
      <c r="A8" s="4" t="s">
        <v>6</v>
      </c>
      <c r="B8" s="4"/>
      <c r="C8" s="5" t="n">
        <f aca="false">COUNTIF($I$34:$I$270,"NUEVO")</f>
        <v>21</v>
      </c>
    </row>
    <row r="9" customFormat="false" ht="15" hidden="false" customHeight="false" outlineLevel="0" collapsed="false">
      <c r="A9" s="4" t="s">
        <v>7</v>
      </c>
      <c r="B9" s="4"/>
      <c r="C9" s="5" t="n">
        <f aca="false">COUNTIF($I$34:$I$270,"SIN COMPRA")</f>
        <v>85</v>
      </c>
    </row>
    <row r="10" customFormat="false" ht="15" hidden="false" customHeight="false" outlineLevel="0" collapsed="false">
      <c r="A10" s="6" t="s">
        <v>8</v>
      </c>
      <c r="B10" s="6"/>
      <c r="C10" s="6"/>
      <c r="D10" s="6"/>
      <c r="E10" s="6"/>
      <c r="G10" s="7" t="s">
        <v>9</v>
      </c>
      <c r="H10" s="7"/>
      <c r="I10" s="7"/>
      <c r="J10" s="7"/>
      <c r="K10" s="7"/>
    </row>
    <row r="11" customFormat="false" ht="15" hidden="false" customHeight="false" outlineLevel="0" collapsed="false">
      <c r="A11" s="8" t="s">
        <v>10</v>
      </c>
      <c r="B11" s="8" t="s">
        <v>11</v>
      </c>
      <c r="C11" s="8" t="s">
        <v>12</v>
      </c>
      <c r="D11" s="8" t="s">
        <v>13</v>
      </c>
      <c r="E11" s="8" t="s">
        <v>14</v>
      </c>
      <c r="G11" s="8" t="s">
        <v>10</v>
      </c>
      <c r="H11" s="8" t="s">
        <v>11</v>
      </c>
      <c r="I11" s="8" t="s">
        <v>12</v>
      </c>
      <c r="J11" s="8" t="s">
        <v>13</v>
      </c>
      <c r="K11" s="8" t="s">
        <v>14</v>
      </c>
    </row>
    <row r="12" customFormat="false" ht="15" hidden="false" customHeight="false" outlineLevel="0" collapsed="false">
      <c r="A12" s="9" t="str">
        <f aca="false">A143</f>
        <v>JOSE ROMERO PLAZA</v>
      </c>
      <c r="B12" s="9" t="str">
        <f aca="false">B143</f>
        <v>PARROCHAS</v>
      </c>
      <c r="C12" s="10" t="n">
        <f aca="false">F143</f>
        <v>6.36</v>
      </c>
      <c r="D12" s="10" t="n">
        <f aca="false">E143</f>
        <v>7.8</v>
      </c>
      <c r="E12" s="11" t="n">
        <f aca="false">H143</f>
        <v>0.226415094339623</v>
      </c>
      <c r="G12" s="9" t="str">
        <f aca="false">A152</f>
        <v>MARTIN CANEDA</v>
      </c>
      <c r="H12" s="9" t="str">
        <f aca="false">B152</f>
        <v>BERBERECHO</v>
      </c>
      <c r="I12" s="10" t="n">
        <f aca="false">F152</f>
        <v>95</v>
      </c>
      <c r="J12" s="10" t="n">
        <f aca="false">E152</f>
        <v>25</v>
      </c>
      <c r="K12" s="12" t="n">
        <f aca="false">H152</f>
        <v>-0.736842105263158</v>
      </c>
    </row>
    <row r="13" customFormat="false" ht="15" hidden="false" customHeight="false" outlineLevel="0" collapsed="false">
      <c r="A13" s="9" t="str">
        <f aca="false">A141</f>
        <v>JOSE ROMERO PLAZA</v>
      </c>
      <c r="B13" s="9" t="str">
        <f aca="false">B141</f>
        <v>BOQUERON GORDO</v>
      </c>
      <c r="C13" s="10" t="n">
        <f aca="false">F141</f>
        <v>10</v>
      </c>
      <c r="D13" s="10" t="n">
        <f aca="false">E141</f>
        <v>12</v>
      </c>
      <c r="E13" s="11" t="n">
        <f aca="false">H141</f>
        <v>0.2</v>
      </c>
      <c r="G13" s="9" t="str">
        <f aca="false">A138</f>
        <v>FRUTERIA D'ALISTE</v>
      </c>
      <c r="H13" s="9" t="str">
        <f aca="false">B138</f>
        <v>TOMATE IBERICO</v>
      </c>
      <c r="I13" s="10" t="n">
        <f aca="false">F138</f>
        <v>8.5</v>
      </c>
      <c r="J13" s="10" t="n">
        <f aca="false">E138</f>
        <v>5.8</v>
      </c>
      <c r="K13" s="12" t="n">
        <f aca="false">H138</f>
        <v>-0.317647058823529</v>
      </c>
    </row>
    <row r="14" customFormat="false" ht="15" hidden="false" customHeight="false" outlineLevel="0" collapsed="false">
      <c r="A14" s="9" t="str">
        <f aca="false">A38</f>
        <v>AGMASFOOD</v>
      </c>
      <c r="B14" s="9" t="str">
        <f aca="false">B38</f>
        <v>BOQUERON GORDO</v>
      </c>
      <c r="C14" s="10" t="n">
        <f aca="false">F38</f>
        <v>10.35</v>
      </c>
      <c r="D14" s="10" t="n">
        <f aca="false">E38</f>
        <v>11.95</v>
      </c>
      <c r="E14" s="11" t="n">
        <f aca="false">H38</f>
        <v>0.154589371980676</v>
      </c>
      <c r="G14" s="9" t="str">
        <f aca="false">A177</f>
        <v>PESCARUM</v>
      </c>
      <c r="H14" s="9" t="str">
        <f aca="false">B177</f>
        <v>CARABINEROS</v>
      </c>
      <c r="I14" s="10" t="n">
        <f aca="false">F177</f>
        <v>118</v>
      </c>
      <c r="J14" s="10" t="n">
        <f aca="false">E177</f>
        <v>98</v>
      </c>
      <c r="K14" s="12" t="n">
        <f aca="false">H177</f>
        <v>-0.169491525423729</v>
      </c>
    </row>
    <row r="15" customFormat="false" ht="15" hidden="false" customHeight="false" outlineLevel="0" collapsed="false">
      <c r="A15" s="9" t="str">
        <f aca="false">A128</f>
        <v>FRUTERIA D'ALISTE</v>
      </c>
      <c r="B15" s="9" t="str">
        <f aca="false">B128</f>
        <v>CEBOLLETAS</v>
      </c>
      <c r="C15" s="10" t="n">
        <f aca="false">F128</f>
        <v>2</v>
      </c>
      <c r="D15" s="10" t="n">
        <f aca="false">E128</f>
        <v>2.2</v>
      </c>
      <c r="E15" s="11" t="n">
        <f aca="false">H128</f>
        <v>0.1</v>
      </c>
      <c r="G15" s="9" t="str">
        <f aca="false">A40</f>
        <v>AGMASFOOD</v>
      </c>
      <c r="H15" s="9" t="str">
        <f aca="false">B40</f>
        <v>GAMBA ROJA ALISTADA 15-20P</v>
      </c>
      <c r="I15" s="10" t="n">
        <f aca="false">F40</f>
        <v>95</v>
      </c>
      <c r="J15" s="10" t="n">
        <f aca="false">E40</f>
        <v>84</v>
      </c>
      <c r="K15" s="12" t="n">
        <f aca="false">H40</f>
        <v>-0.115789473684211</v>
      </c>
    </row>
    <row r="16" customFormat="false" ht="15" hidden="false" customHeight="false" outlineLevel="0" collapsed="false">
      <c r="A16" s="9" t="str">
        <f aca="false">A132</f>
        <v>FRUTERIA D'ALISTE</v>
      </c>
      <c r="B16" s="9" t="str">
        <f aca="false">B132</f>
        <v>LIMON</v>
      </c>
      <c r="C16" s="10" t="n">
        <f aca="false">F132</f>
        <v>3.3</v>
      </c>
      <c r="D16" s="10" t="n">
        <f aca="false">E132</f>
        <v>3.6</v>
      </c>
      <c r="E16" s="11" t="n">
        <f aca="false">H132</f>
        <v>0.090909090909091</v>
      </c>
      <c r="G16" s="9" t="str">
        <f aca="false">A136</f>
        <v>FRUTERIA D'ALISTE</v>
      </c>
      <c r="H16" s="9" t="str">
        <f aca="false">B136</f>
        <v>PIMIENTO ROJO</v>
      </c>
      <c r="I16" s="10" t="n">
        <f aca="false">F136</f>
        <v>4.8</v>
      </c>
      <c r="J16" s="10" t="n">
        <f aca="false">E136</f>
        <v>4.3</v>
      </c>
      <c r="K16" s="12" t="n">
        <f aca="false">H136</f>
        <v>-0.104166666666667</v>
      </c>
    </row>
    <row r="17" customFormat="false" ht="15" hidden="false" customHeight="false" outlineLevel="0" collapsed="false">
      <c r="A17" s="9" t="str">
        <f aca="false">A148</f>
        <v>MAKRO</v>
      </c>
      <c r="B17" s="9" t="str">
        <f aca="false">B148</f>
        <v>LIMON 2A C-2/6 CJ 9KG</v>
      </c>
      <c r="C17" s="10" t="n">
        <f aca="false">F148</f>
        <v>16.71</v>
      </c>
      <c r="D17" s="10" t="n">
        <f aca="false">E148</f>
        <v>17.92</v>
      </c>
      <c r="E17" s="11" t="n">
        <f aca="false">H148</f>
        <v>0.0724117295032915</v>
      </c>
      <c r="G17" s="9" t="str">
        <f aca="false">A174</f>
        <v>PESCARUM</v>
      </c>
      <c r="H17" s="9" t="str">
        <f aca="false">B174</f>
        <v>ALISTADOS</v>
      </c>
      <c r="I17" s="10" t="n">
        <f aca="false">F174</f>
        <v>87</v>
      </c>
      <c r="J17" s="10" t="n">
        <f aca="false">E174</f>
        <v>78</v>
      </c>
      <c r="K17" s="12" t="n">
        <f aca="false">H174</f>
        <v>-0.103448275862069</v>
      </c>
    </row>
    <row r="18" customFormat="false" ht="15" hidden="false" customHeight="false" outlineLevel="0" collapsed="false">
      <c r="A18" s="9" t="str">
        <f aca="false">A135</f>
        <v>FRUTERIA D'ALISTE</v>
      </c>
      <c r="B18" s="9" t="str">
        <f aca="false">B135</f>
        <v>PEREJIL</v>
      </c>
      <c r="C18" s="10" t="n">
        <f aca="false">F135</f>
        <v>1.5</v>
      </c>
      <c r="D18" s="10" t="n">
        <f aca="false">E135</f>
        <v>1.6</v>
      </c>
      <c r="E18" s="11" t="n">
        <f aca="false">H135</f>
        <v>0.0666666666666667</v>
      </c>
      <c r="G18" s="9" t="str">
        <f aca="false">A87</f>
        <v>CRUSTAPESCA</v>
      </c>
      <c r="H18" s="9" t="str">
        <f aca="false">B87</f>
        <v>COLA G</v>
      </c>
      <c r="I18" s="10" t="n">
        <f aca="false">F87</f>
        <v>22</v>
      </c>
      <c r="J18" s="10" t="n">
        <f aca="false">E87</f>
        <v>20</v>
      </c>
      <c r="K18" s="12" t="n">
        <f aca="false">H87</f>
        <v>-0.0909090909090909</v>
      </c>
    </row>
    <row r="19" customFormat="false" ht="15" hidden="false" customHeight="false" outlineLevel="0" collapsed="false">
      <c r="A19" s="9" t="str">
        <f aca="false">A65</f>
        <v>CONS. Y SAL. JIMENEZ</v>
      </c>
      <c r="B19" s="9" t="str">
        <f aca="false">B65</f>
        <v>VENTRESCA DE BONITO EXTRA</v>
      </c>
      <c r="C19" s="10" t="n">
        <f aca="false">F65</f>
        <v>5.56</v>
      </c>
      <c r="D19" s="10" t="n">
        <f aca="false">E65</f>
        <v>5.86</v>
      </c>
      <c r="E19" s="11" t="n">
        <f aca="false">H65</f>
        <v>0.0539568345323742</v>
      </c>
      <c r="G19" s="9" t="str">
        <f aca="false">A53</f>
        <v>CARNICAS MEAT</v>
      </c>
      <c r="H19" s="9" t="str">
        <f aca="false">B53</f>
        <v>TERNERA MIXTA</v>
      </c>
      <c r="I19" s="10" t="n">
        <f aca="false">F53</f>
        <v>11.81</v>
      </c>
      <c r="J19" s="10" t="n">
        <f aca="false">E53</f>
        <v>10.9</v>
      </c>
      <c r="K19" s="12" t="n">
        <f aca="false">H53</f>
        <v>-0.0770533446232007</v>
      </c>
    </row>
    <row r="20" customFormat="false" ht="15" hidden="false" customHeight="false" outlineLevel="0" collapsed="false">
      <c r="A20" s="9" t="str">
        <f aca="false">A248</f>
        <v>VOLDIS</v>
      </c>
      <c r="B20" s="9" t="str">
        <f aca="false">B248</f>
        <v>AGUA SOLAN DE CABRAS VIDRIO RET 50CL 20U</v>
      </c>
      <c r="C20" s="10" t="n">
        <f aca="false">F248</f>
        <v>11.68</v>
      </c>
      <c r="D20" s="10" t="n">
        <f aca="false">E248</f>
        <v>12.3</v>
      </c>
      <c r="E20" s="11" t="n">
        <f aca="false">H248</f>
        <v>0.053082191780822</v>
      </c>
      <c r="G20" s="9" t="str">
        <f aca="false">A243</f>
        <v>TOMATERIA DE CEA</v>
      </c>
      <c r="H20" s="9" t="str">
        <f aca="false">B243</f>
        <v>RAF IBERICO</v>
      </c>
      <c r="I20" s="10" t="n">
        <f aca="false">F243</f>
        <v>6.5</v>
      </c>
      <c r="J20" s="10" t="n">
        <f aca="false">E243</f>
        <v>6</v>
      </c>
      <c r="K20" s="12" t="n">
        <f aca="false">H243</f>
        <v>-0.0769230769230769</v>
      </c>
    </row>
    <row r="21" customFormat="false" ht="15" hidden="false" customHeight="false" outlineLevel="0" collapsed="false">
      <c r="A21" s="9" t="str">
        <f aca="false">A247</f>
        <v>VOLDIS</v>
      </c>
      <c r="B21" s="9" t="str">
        <f aca="false">B247</f>
        <v>AGUA CON GAS SOLAN DE CABRAS VIDRIO RNR 33CL</v>
      </c>
      <c r="C21" s="10" t="n">
        <f aca="false">F247</f>
        <v>25.464</v>
      </c>
      <c r="D21" s="10" t="n">
        <f aca="false">E247</f>
        <v>26.81</v>
      </c>
      <c r="E21" s="11" t="n">
        <f aca="false">H247</f>
        <v>0.0528589381087025</v>
      </c>
      <c r="G21" s="9" t="str">
        <f aca="false">A97</f>
        <v>DISOLTRIGO</v>
      </c>
      <c r="H21" s="9" t="str">
        <f aca="false">B97</f>
        <v>24 PERLE NOIRE N.2</v>
      </c>
      <c r="I21" s="10" t="n">
        <f aca="false">F97</f>
        <v>42.5</v>
      </c>
      <c r="J21" s="10" t="n">
        <f aca="false">E97</f>
        <v>41.5</v>
      </c>
      <c r="K21" s="12" t="n">
        <f aca="false">H97</f>
        <v>-0.0235294117647059</v>
      </c>
    </row>
    <row r="22" customFormat="false" ht="15" hidden="false" customHeight="false" outlineLevel="0" collapsed="false">
      <c r="A22" s="9" t="str">
        <f aca="false">A181</f>
        <v>PESCARUM</v>
      </c>
      <c r="B22" s="9" t="str">
        <f aca="false">B181</f>
        <v>COQUINAS</v>
      </c>
      <c r="C22" s="10" t="n">
        <f aca="false">F181</f>
        <v>28.5</v>
      </c>
      <c r="D22" s="10" t="n">
        <f aca="false">E181</f>
        <v>30</v>
      </c>
      <c r="E22" s="11" t="n">
        <f aca="false">H181</f>
        <v>0.0526315789473684</v>
      </c>
      <c r="G22" s="9" t="str">
        <f aca="false">A250</f>
        <v>VOLDIS</v>
      </c>
      <c r="H22" s="9" t="str">
        <f aca="false">B250</f>
        <v>AQUARADE ZERO LIMON VIDRIO RET 35CL</v>
      </c>
      <c r="I22" s="10" t="n">
        <f aca="false">F250</f>
        <v>33.84</v>
      </c>
      <c r="J22" s="10" t="n">
        <f aca="false">E250</f>
        <v>33.54</v>
      </c>
      <c r="K22" s="12" t="n">
        <f aca="false">H250</f>
        <v>-0.00886524822695048</v>
      </c>
    </row>
    <row r="23" customFormat="false" ht="15" hidden="false" customHeight="false" outlineLevel="0" collapsed="false">
      <c r="A23" s="9" t="str">
        <f aca="false">A131</f>
        <v>FRUTERIA D'ALISTE</v>
      </c>
      <c r="B23" s="9" t="str">
        <f aca="false">B131</f>
        <v>LECHUGA BATAVIA</v>
      </c>
      <c r="C23" s="10" t="n">
        <f aca="false">F131</f>
        <v>2</v>
      </c>
      <c r="D23" s="10" t="n">
        <f aca="false">E131</f>
        <v>2.1</v>
      </c>
      <c r="E23" s="11" t="n">
        <f aca="false">H131</f>
        <v>0.05</v>
      </c>
      <c r="G23" s="9" t="str">
        <f aca="false">A91</f>
        <v>CRUSTAPESCA</v>
      </c>
      <c r="H23" s="9" t="str">
        <f aca="false">B91</f>
        <v>VENTRESCA</v>
      </c>
      <c r="I23" s="10" t="n">
        <f aca="false">F91</f>
        <v>59.7</v>
      </c>
      <c r="J23" s="10" t="n">
        <f aca="false">E91</f>
        <v>59.6</v>
      </c>
      <c r="K23" s="12" t="n">
        <f aca="false">H91</f>
        <v>-0.00167504187604692</v>
      </c>
    </row>
    <row r="24" customFormat="false" ht="15" hidden="false" customHeight="false" outlineLevel="0" collapsed="false">
      <c r="A24" s="9" t="str">
        <f aca="false">A120</f>
        <v>ESCRIBANO SANZ</v>
      </c>
      <c r="B24" s="9" t="str">
        <f aca="false">B120</f>
        <v>LOMO BELLOTA 100%</v>
      </c>
      <c r="C24" s="10" t="n">
        <f aca="false">F120</f>
        <v>48.6</v>
      </c>
      <c r="D24" s="10" t="n">
        <f aca="false">E120</f>
        <v>51</v>
      </c>
      <c r="E24" s="11" t="n">
        <f aca="false">H120</f>
        <v>0.0493827160493827</v>
      </c>
      <c r="G24" s="9" t="str">
        <f aca="false">A258</f>
        <v>VOLDIS</v>
      </c>
      <c r="H24" s="9" t="str">
        <f aca="false">B258</f>
        <v>MAHOU 5 ESTRELLAS VIDRIO RET 33CL CAJA 24U</v>
      </c>
      <c r="I24" s="10" t="n">
        <f aca="false">F258</f>
        <v>31.27</v>
      </c>
      <c r="J24" s="10" t="n">
        <f aca="false">E258</f>
        <v>31.26</v>
      </c>
      <c r="K24" s="12" t="n">
        <f aca="false">H258</f>
        <v>-0.000319795330988104</v>
      </c>
    </row>
    <row r="25" customFormat="false" ht="15" hidden="false" customHeight="false" outlineLevel="0" collapsed="false">
      <c r="A25" s="9" t="str">
        <f aca="false">A179</f>
        <v>PESCARUM</v>
      </c>
      <c r="B25" s="9" t="str">
        <f aca="false">B179</f>
        <v>CIGALA</v>
      </c>
      <c r="C25" s="10" t="n">
        <f aca="false">F179</f>
        <v>72</v>
      </c>
      <c r="D25" s="10" t="n">
        <f aca="false">E179</f>
        <v>75</v>
      </c>
      <c r="E25" s="11" t="n">
        <f aca="false">H179</f>
        <v>0.0416666666666667</v>
      </c>
      <c r="G25" s="9"/>
      <c r="H25" s="9"/>
      <c r="I25" s="9"/>
      <c r="J25" s="9"/>
      <c r="K25" s="9"/>
    </row>
    <row r="26" customFormat="false" ht="15" hidden="false" customHeight="false" outlineLevel="0" collapsed="false">
      <c r="A26" s="9" t="str">
        <f aca="false">A185</f>
        <v>PESCARUM</v>
      </c>
      <c r="B26" s="9" t="str">
        <f aca="false">B185</f>
        <v>NAVAJA</v>
      </c>
      <c r="C26" s="10" t="n">
        <f aca="false">F185</f>
        <v>29</v>
      </c>
      <c r="D26" s="10" t="n">
        <f aca="false">E185</f>
        <v>29.5</v>
      </c>
      <c r="E26" s="11" t="n">
        <f aca="false">H185</f>
        <v>0.0172413793103448</v>
      </c>
      <c r="G26" s="9"/>
      <c r="H26" s="9"/>
      <c r="I26" s="9"/>
      <c r="J26" s="9"/>
      <c r="K26" s="9"/>
    </row>
    <row r="27" customFormat="false" ht="15" hidden="false" customHeight="false" outlineLevel="0" collapsed="false">
      <c r="A27" s="9" t="str">
        <f aca="false">A188</f>
        <v>PESCARUM</v>
      </c>
      <c r="B27" s="9" t="str">
        <f aca="false">B188</f>
        <v>QUISQUILLA</v>
      </c>
      <c r="C27" s="10" t="n">
        <f aca="false">F188</f>
        <v>58</v>
      </c>
      <c r="D27" s="10" t="n">
        <f aca="false">E188</f>
        <v>59</v>
      </c>
      <c r="E27" s="11" t="n">
        <f aca="false">H188</f>
        <v>0.0172413793103448</v>
      </c>
      <c r="G27" s="9"/>
      <c r="H27" s="9"/>
      <c r="I27" s="9"/>
      <c r="J27" s="9"/>
      <c r="K27" s="9"/>
    </row>
    <row r="28" customFormat="false" ht="15" hidden="false" customHeight="false" outlineLevel="0" collapsed="false">
      <c r="A28" s="9" t="str">
        <f aca="false">A41</f>
        <v>AGMASFOOD</v>
      </c>
      <c r="B28" s="9" t="str">
        <f aca="false">B41</f>
        <v>LOMO NEGRO SIN COLA LIMPIO</v>
      </c>
      <c r="C28" s="10" t="n">
        <f aca="false">F41</f>
        <v>38.5</v>
      </c>
      <c r="D28" s="10" t="n">
        <f aca="false">E41</f>
        <v>39.05</v>
      </c>
      <c r="E28" s="11" t="n">
        <f aca="false">H41</f>
        <v>0.0142857142857142</v>
      </c>
      <c r="G28" s="9"/>
      <c r="H28" s="9"/>
      <c r="I28" s="9"/>
      <c r="J28" s="9"/>
      <c r="K28" s="9"/>
    </row>
    <row r="29" customFormat="false" ht="15" hidden="false" customHeight="false" outlineLevel="0" collapsed="false">
      <c r="A29" s="9" t="str">
        <f aca="false">A217</f>
        <v>SUBMARINER</v>
      </c>
      <c r="B29" s="9" t="str">
        <f aca="false">B217</f>
        <v>HAVANA 7 AÑOS NR</v>
      </c>
      <c r="C29" s="10" t="n">
        <f aca="false">F217</f>
        <v>18.65</v>
      </c>
      <c r="D29" s="10" t="n">
        <f aca="false">E217</f>
        <v>18.81</v>
      </c>
      <c r="E29" s="11" t="n">
        <f aca="false">H217</f>
        <v>0.00857908847184987</v>
      </c>
      <c r="G29" s="9"/>
      <c r="H29" s="9"/>
      <c r="I29" s="9"/>
      <c r="J29" s="9"/>
      <c r="K29" s="9"/>
    </row>
    <row r="32" customFormat="false" ht="15" hidden="false" customHeight="false" outlineLevel="0" collapsed="false">
      <c r="A32" s="13" t="s">
        <v>15</v>
      </c>
    </row>
    <row r="33" customFormat="false" ht="31.5" hidden="false" customHeight="true" outlineLevel="0" collapsed="false">
      <c r="A33" s="8" t="s">
        <v>10</v>
      </c>
      <c r="B33" s="8" t="s">
        <v>11</v>
      </c>
      <c r="C33" s="8" t="s">
        <v>16</v>
      </c>
      <c r="D33" s="8" t="s">
        <v>17</v>
      </c>
      <c r="E33" s="8" t="s">
        <v>18</v>
      </c>
      <c r="F33" s="8" t="s">
        <v>19</v>
      </c>
      <c r="G33" s="8" t="s">
        <v>20</v>
      </c>
      <c r="H33" s="8" t="s">
        <v>21</v>
      </c>
      <c r="I33" s="8" t="s">
        <v>22</v>
      </c>
      <c r="J33" s="8" t="s">
        <v>23</v>
      </c>
      <c r="K33" s="8" t="s">
        <v>24</v>
      </c>
    </row>
    <row r="34" customFormat="false" ht="15" hidden="false" customHeight="false" outlineLevel="0" collapsed="false">
      <c r="A34" s="9" t="s">
        <v>25</v>
      </c>
      <c r="B34" s="9" t="s">
        <v>26</v>
      </c>
      <c r="C34" s="10" t="n">
        <v>40</v>
      </c>
      <c r="D34" s="10"/>
      <c r="E34" s="10"/>
      <c r="F34" s="10" t="n">
        <f aca="false">IF(D34&lt;&gt;"",D34,IF(C34&lt;&gt;"",C34,""))</f>
        <v>40</v>
      </c>
      <c r="G34" s="10" t="str">
        <f aca="false">IF(AND(E34&lt;&gt;"",F34&lt;&gt;""),E34-F34,"")</f>
        <v/>
      </c>
      <c r="H34" s="14" t="str">
        <f aca="false">IF(G34="","",IF(F34=0,"",G34/F34))</f>
        <v/>
      </c>
      <c r="I34" s="15" t="str">
        <f aca="false">IF(E34="","SIN COMPRA",IF(F34="","NUEVO",IF(ROUND(G34,4)&gt;0,"SUBE",IF(ROUND(G34,4)&lt;0,"BAJA","IGUAL"))))</f>
        <v>SIN COMPRA</v>
      </c>
      <c r="J34" s="14" t="str">
        <f aca="false">IF(AND(C34&lt;&gt;"",D34&lt;&gt;""),IF(C34=0,"",D34/C34-1),"")</f>
        <v/>
      </c>
      <c r="K34" s="9" t="s">
        <v>27</v>
      </c>
    </row>
    <row r="35" customFormat="false" ht="15" hidden="false" customHeight="false" outlineLevel="0" collapsed="false">
      <c r="A35" s="9" t="s">
        <v>25</v>
      </c>
      <c r="B35" s="9" t="s">
        <v>28</v>
      </c>
      <c r="C35" s="10" t="n">
        <v>26</v>
      </c>
      <c r="D35" s="10"/>
      <c r="E35" s="10"/>
      <c r="F35" s="10" t="n">
        <f aca="false">IF(D35&lt;&gt;"",D35,IF(C35&lt;&gt;"",C35,""))</f>
        <v>26</v>
      </c>
      <c r="G35" s="10" t="str">
        <f aca="false">IF(AND(E35&lt;&gt;"",F35&lt;&gt;""),E35-F35,"")</f>
        <v/>
      </c>
      <c r="H35" s="14" t="str">
        <f aca="false">IF(G35="","",IF(F35=0,"",G35/F35))</f>
        <v/>
      </c>
      <c r="I35" s="15" t="str">
        <f aca="false">IF(E35="","SIN COMPRA",IF(F35="","NUEVO",IF(ROUND(G35,4)&gt;0,"SUBE",IF(ROUND(G35,4)&lt;0,"BAJA","IGUAL"))))</f>
        <v>SIN COMPRA</v>
      </c>
      <c r="J35" s="14" t="str">
        <f aca="false">IF(AND(C35&lt;&gt;"",D35&lt;&gt;""),IF(C35=0,"",D35/C35-1),"")</f>
        <v/>
      </c>
      <c r="K35" s="9" t="s">
        <v>27</v>
      </c>
    </row>
    <row r="36" customFormat="false" ht="15" hidden="false" customHeight="false" outlineLevel="0" collapsed="false">
      <c r="A36" s="9" t="s">
        <v>25</v>
      </c>
      <c r="B36" s="9" t="s">
        <v>29</v>
      </c>
      <c r="C36" s="10" t="n">
        <v>1050</v>
      </c>
      <c r="D36" s="10"/>
      <c r="E36" s="10"/>
      <c r="F36" s="10" t="n">
        <f aca="false">IF(D36&lt;&gt;"",D36,IF(C36&lt;&gt;"",C36,""))</f>
        <v>1050</v>
      </c>
      <c r="G36" s="10" t="str">
        <f aca="false">IF(AND(E36&lt;&gt;"",F36&lt;&gt;""),E36-F36,"")</f>
        <v/>
      </c>
      <c r="H36" s="14" t="str">
        <f aca="false">IF(G36="","",IF(F36=0,"",G36/F36))</f>
        <v/>
      </c>
      <c r="I36" s="15" t="str">
        <f aca="false">IF(E36="","SIN COMPRA",IF(F36="","NUEVO",IF(ROUND(G36,4)&gt;0,"SUBE",IF(ROUND(G36,4)&lt;0,"BAJA","IGUAL"))))</f>
        <v>SIN COMPRA</v>
      </c>
      <c r="J36" s="14" t="str">
        <f aca="false">IF(AND(C36&lt;&gt;"",D36&lt;&gt;""),IF(C36=0,"",D36/C36-1),"")</f>
        <v/>
      </c>
      <c r="K36" s="9" t="s">
        <v>27</v>
      </c>
    </row>
    <row r="37" customFormat="false" ht="15" hidden="false" customHeight="false" outlineLevel="0" collapsed="false">
      <c r="A37" s="9" t="s">
        <v>25</v>
      </c>
      <c r="B37" s="9" t="s">
        <v>30</v>
      </c>
      <c r="C37" s="10" t="n">
        <v>25.5</v>
      </c>
      <c r="D37" s="10"/>
      <c r="E37" s="10"/>
      <c r="F37" s="10" t="n">
        <f aca="false">IF(D37&lt;&gt;"",D37,IF(C37&lt;&gt;"",C37,""))</f>
        <v>25.5</v>
      </c>
      <c r="G37" s="10" t="str">
        <f aca="false">IF(AND(E37&lt;&gt;"",F37&lt;&gt;""),E37-F37,"")</f>
        <v/>
      </c>
      <c r="H37" s="14" t="str">
        <f aca="false">IF(G37="","",IF(F37=0,"",G37/F37))</f>
        <v/>
      </c>
      <c r="I37" s="15" t="str">
        <f aca="false">IF(E37="","SIN COMPRA",IF(F37="","NUEVO",IF(ROUND(G37,4)&gt;0,"SUBE",IF(ROUND(G37,4)&lt;0,"BAJA","IGUAL"))))</f>
        <v>SIN COMPRA</v>
      </c>
      <c r="J37" s="14" t="str">
        <f aca="false">IF(AND(C37&lt;&gt;"",D37&lt;&gt;""),IF(C37=0,"",D37/C37-1),"")</f>
        <v/>
      </c>
      <c r="K37" s="9" t="s">
        <v>27</v>
      </c>
    </row>
    <row r="38" customFormat="false" ht="15" hidden="false" customHeight="false" outlineLevel="0" collapsed="false">
      <c r="A38" s="9" t="s">
        <v>25</v>
      </c>
      <c r="B38" s="9" t="s">
        <v>31</v>
      </c>
      <c r="C38" s="10" t="n">
        <v>10.35</v>
      </c>
      <c r="D38" s="10"/>
      <c r="E38" s="10" t="n">
        <v>11.95</v>
      </c>
      <c r="F38" s="10" t="n">
        <f aca="false">IF(D38&lt;&gt;"",D38,IF(C38&lt;&gt;"",C38,""))</f>
        <v>10.35</v>
      </c>
      <c r="G38" s="10" t="n">
        <f aca="false">IF(AND(E38&lt;&gt;"",F38&lt;&gt;""),E38-F38,"")</f>
        <v>1.6</v>
      </c>
      <c r="H38" s="14" t="n">
        <f aca="false">IF(G38="","",IF(F38=0,"",G38/F38))</f>
        <v>0.154589371980676</v>
      </c>
      <c r="I38" s="15" t="str">
        <f aca="false">IF(E38="","SIN COMPRA",IF(F38="","NUEVO",IF(ROUND(G38,4)&gt;0,"SUBE",IF(ROUND(G38,4)&lt;0,"BAJA","IGUAL"))))</f>
        <v>SUBE</v>
      </c>
      <c r="J38" s="14" t="str">
        <f aca="false">IF(AND(C38&lt;&gt;"",D38&lt;&gt;""),IF(C38=0,"",D38/C38-1),"")</f>
        <v/>
      </c>
      <c r="K38" s="9" t="s">
        <v>32</v>
      </c>
    </row>
    <row r="39" customFormat="false" ht="15" hidden="false" customHeight="false" outlineLevel="0" collapsed="false">
      <c r="A39" s="9" t="s">
        <v>25</v>
      </c>
      <c r="B39" s="9" t="s">
        <v>33</v>
      </c>
      <c r="C39" s="10" t="n">
        <v>103</v>
      </c>
      <c r="D39" s="10"/>
      <c r="E39" s="10"/>
      <c r="F39" s="10" t="n">
        <f aca="false">IF(D39&lt;&gt;"",D39,IF(C39&lt;&gt;"",C39,""))</f>
        <v>103</v>
      </c>
      <c r="G39" s="10" t="str">
        <f aca="false">IF(AND(E39&lt;&gt;"",F39&lt;&gt;""),E39-F39,"")</f>
        <v/>
      </c>
      <c r="H39" s="14" t="str">
        <f aca="false">IF(G39="","",IF(F39=0,"",G39/F39))</f>
        <v/>
      </c>
      <c r="I39" s="15" t="str">
        <f aca="false">IF(E39="","SIN COMPRA",IF(F39="","NUEVO",IF(ROUND(G39,4)&gt;0,"SUBE",IF(ROUND(G39,4)&lt;0,"BAJA","IGUAL"))))</f>
        <v>SIN COMPRA</v>
      </c>
      <c r="J39" s="14" t="str">
        <f aca="false">IF(AND(C39&lt;&gt;"",D39&lt;&gt;""),IF(C39=0,"",D39/C39-1),"")</f>
        <v/>
      </c>
      <c r="K39" s="9" t="s">
        <v>27</v>
      </c>
    </row>
    <row r="40" customFormat="false" ht="15" hidden="false" customHeight="false" outlineLevel="0" collapsed="false">
      <c r="A40" s="9" t="s">
        <v>25</v>
      </c>
      <c r="B40" s="9" t="s">
        <v>34</v>
      </c>
      <c r="C40" s="10" t="n">
        <v>95</v>
      </c>
      <c r="D40" s="10" t="n">
        <v>95</v>
      </c>
      <c r="E40" s="10" t="n">
        <v>84</v>
      </c>
      <c r="F40" s="10" t="n">
        <f aca="false">IF(D40&lt;&gt;"",D40,IF(C40&lt;&gt;"",C40,""))</f>
        <v>95</v>
      </c>
      <c r="G40" s="10" t="n">
        <f aca="false">IF(AND(E40&lt;&gt;"",F40&lt;&gt;""),E40-F40,"")</f>
        <v>-11</v>
      </c>
      <c r="H40" s="14" t="n">
        <f aca="false">IF(G40="","",IF(F40=0,"",G40/F40))</f>
        <v>-0.115789473684211</v>
      </c>
      <c r="I40" s="15" t="str">
        <f aca="false">IF(E40="","SIN COMPRA",IF(F40="","NUEVO",IF(ROUND(G40,4)&gt;0,"SUBE",IF(ROUND(G40,4)&lt;0,"BAJA","IGUAL"))))</f>
        <v>BAJA</v>
      </c>
      <c r="J40" s="14" t="n">
        <f aca="false">IF(AND(C40&lt;&gt;"",D40&lt;&gt;""),IF(C40=0,"",D40/C40-1),"")</f>
        <v>0</v>
      </c>
      <c r="K40" s="9" t="s">
        <v>35</v>
      </c>
    </row>
    <row r="41" customFormat="false" ht="15" hidden="false" customHeight="false" outlineLevel="0" collapsed="false">
      <c r="A41" s="9" t="s">
        <v>25</v>
      </c>
      <c r="B41" s="9" t="s">
        <v>36</v>
      </c>
      <c r="C41" s="10" t="n">
        <v>38.5</v>
      </c>
      <c r="D41" s="10" t="n">
        <v>38.5</v>
      </c>
      <c r="E41" s="10" t="n">
        <v>39.05</v>
      </c>
      <c r="F41" s="10" t="n">
        <f aca="false">IF(D41&lt;&gt;"",D41,IF(C41&lt;&gt;"",C41,""))</f>
        <v>38.5</v>
      </c>
      <c r="G41" s="10" t="n">
        <f aca="false">IF(AND(E41&lt;&gt;"",F41&lt;&gt;""),E41-F41,"")</f>
        <v>0.549999999999997</v>
      </c>
      <c r="H41" s="14" t="n">
        <f aca="false">IF(G41="","",IF(F41=0,"",G41/F41))</f>
        <v>0.0142857142857142</v>
      </c>
      <c r="I41" s="15" t="str">
        <f aca="false">IF(E41="","SIN COMPRA",IF(F41="","NUEVO",IF(ROUND(G41,4)&gt;0,"SUBE",IF(ROUND(G41,4)&lt;0,"BAJA","IGUAL"))))</f>
        <v>SUBE</v>
      </c>
      <c r="J41" s="14" t="n">
        <f aca="false">IF(AND(C41&lt;&gt;"",D41&lt;&gt;""),IF(C41=0,"",D41/C41-1),"")</f>
        <v>0</v>
      </c>
      <c r="K41" s="9" t="s">
        <v>27</v>
      </c>
    </row>
    <row r="42" customFormat="false" ht="15" hidden="false" customHeight="false" outlineLevel="0" collapsed="false">
      <c r="A42" s="9" t="s">
        <v>25</v>
      </c>
      <c r="B42" s="9" t="s">
        <v>37</v>
      </c>
      <c r="C42" s="10" t="n">
        <v>30.5</v>
      </c>
      <c r="D42" s="10" t="n">
        <v>30.5</v>
      </c>
      <c r="E42" s="10"/>
      <c r="F42" s="10" t="n">
        <f aca="false">IF(D42&lt;&gt;"",D42,IF(C42&lt;&gt;"",C42,""))</f>
        <v>30.5</v>
      </c>
      <c r="G42" s="10" t="str">
        <f aca="false">IF(AND(E42&lt;&gt;"",F42&lt;&gt;""),E42-F42,"")</f>
        <v/>
      </c>
      <c r="H42" s="14" t="str">
        <f aca="false">IF(G42="","",IF(F42=0,"",G42/F42))</f>
        <v/>
      </c>
      <c r="I42" s="15" t="str">
        <f aca="false">IF(E42="","SIN COMPRA",IF(F42="","NUEVO",IF(ROUND(G42,4)&gt;0,"SUBE",IF(ROUND(G42,4)&lt;0,"BAJA","IGUAL"))))</f>
        <v>SIN COMPRA</v>
      </c>
      <c r="J42" s="14" t="n">
        <f aca="false">IF(AND(C42&lt;&gt;"",D42&lt;&gt;""),IF(C42=0,"",D42/C42-1),"")</f>
        <v>0</v>
      </c>
      <c r="K42" s="9" t="s">
        <v>27</v>
      </c>
    </row>
    <row r="43" customFormat="false" ht="15" hidden="false" customHeight="false" outlineLevel="0" collapsed="false">
      <c r="A43" s="9" t="s">
        <v>38</v>
      </c>
      <c r="B43" s="9" t="s">
        <v>39</v>
      </c>
      <c r="C43" s="10" t="n">
        <v>1</v>
      </c>
      <c r="D43" s="10" t="n">
        <v>1</v>
      </c>
      <c r="E43" s="10"/>
      <c r="F43" s="10" t="n">
        <f aca="false">IF(D43&lt;&gt;"",D43,IF(C43&lt;&gt;"",C43,""))</f>
        <v>1</v>
      </c>
      <c r="G43" s="10" t="str">
        <f aca="false">IF(AND(E43&lt;&gt;"",F43&lt;&gt;""),E43-F43,"")</f>
        <v/>
      </c>
      <c r="H43" s="14" t="str">
        <f aca="false">IF(G43="","",IF(F43=0,"",G43/F43))</f>
        <v/>
      </c>
      <c r="I43" s="15" t="str">
        <f aca="false">IF(E43="","SIN COMPRA",IF(F43="","NUEVO",IF(ROUND(G43,4)&gt;0,"SUBE",IF(ROUND(G43,4)&lt;0,"BAJA","IGUAL"))))</f>
        <v>SIN COMPRA</v>
      </c>
      <c r="J43" s="14" t="n">
        <f aca="false">IF(AND(C43&lt;&gt;"",D43&lt;&gt;""),IF(C43=0,"",D43/C43-1),"")</f>
        <v>0</v>
      </c>
      <c r="K43" s="9"/>
    </row>
    <row r="44" customFormat="false" ht="15" hidden="false" customHeight="false" outlineLevel="0" collapsed="false">
      <c r="A44" s="9" t="s">
        <v>38</v>
      </c>
      <c r="B44" s="9" t="s">
        <v>40</v>
      </c>
      <c r="C44" s="10" t="n">
        <v>27.5</v>
      </c>
      <c r="D44" s="10" t="n">
        <v>27.5</v>
      </c>
      <c r="E44" s="10" t="n">
        <v>27.5</v>
      </c>
      <c r="F44" s="10" t="n">
        <f aca="false">IF(D44&lt;&gt;"",D44,IF(C44&lt;&gt;"",C44,""))</f>
        <v>27.5</v>
      </c>
      <c r="G44" s="10" t="n">
        <f aca="false">IF(AND(E44&lt;&gt;"",F44&lt;&gt;""),E44-F44,"")</f>
        <v>0</v>
      </c>
      <c r="H44" s="14" t="n">
        <f aca="false">IF(G44="","",IF(F44=0,"",G44/F44))</f>
        <v>0</v>
      </c>
      <c r="I44" s="15" t="str">
        <f aca="false">IF(E44="","SIN COMPRA",IF(F44="","NUEVO",IF(ROUND(G44,4)&gt;0,"SUBE",IF(ROUND(G44,4)&lt;0,"BAJA","IGUAL"))))</f>
        <v>IGUAL</v>
      </c>
      <c r="J44" s="14" t="n">
        <f aca="false">IF(AND(C44&lt;&gt;"",D44&lt;&gt;""),IF(C44=0,"",D44/C44-1),"")</f>
        <v>0</v>
      </c>
      <c r="K44" s="9"/>
    </row>
    <row r="45" customFormat="false" ht="15" hidden="false" customHeight="false" outlineLevel="0" collapsed="false">
      <c r="A45" s="9" t="s">
        <v>38</v>
      </c>
      <c r="B45" s="9" t="s">
        <v>41</v>
      </c>
      <c r="C45" s="10" t="n">
        <v>28.5</v>
      </c>
      <c r="D45" s="10" t="n">
        <v>28.5</v>
      </c>
      <c r="E45" s="10"/>
      <c r="F45" s="10" t="n">
        <f aca="false">IF(D45&lt;&gt;"",D45,IF(C45&lt;&gt;"",C45,""))</f>
        <v>28.5</v>
      </c>
      <c r="G45" s="10" t="str">
        <f aca="false">IF(AND(E45&lt;&gt;"",F45&lt;&gt;""),E45-F45,"")</f>
        <v/>
      </c>
      <c r="H45" s="14" t="str">
        <f aca="false">IF(G45="","",IF(F45=0,"",G45/F45))</f>
        <v/>
      </c>
      <c r="I45" s="15" t="str">
        <f aca="false">IF(E45="","SIN COMPRA",IF(F45="","NUEVO",IF(ROUND(G45,4)&gt;0,"SUBE",IF(ROUND(G45,4)&lt;0,"BAJA","IGUAL"))))</f>
        <v>SIN COMPRA</v>
      </c>
      <c r="J45" s="14" t="n">
        <f aca="false">IF(AND(C45&lt;&gt;"",D45&lt;&gt;""),IF(C45=0,"",D45/C45-1),"")</f>
        <v>0</v>
      </c>
      <c r="K45" s="9"/>
    </row>
    <row r="46" customFormat="false" ht="15" hidden="false" customHeight="false" outlineLevel="0" collapsed="false">
      <c r="A46" s="9" t="s">
        <v>38</v>
      </c>
      <c r="B46" s="9" t="s">
        <v>42</v>
      </c>
      <c r="C46" s="10" t="n">
        <v>36.9</v>
      </c>
      <c r="D46" s="10" t="n">
        <v>36.9</v>
      </c>
      <c r="E46" s="10" t="n">
        <v>36.9</v>
      </c>
      <c r="F46" s="10" t="n">
        <f aca="false">IF(D46&lt;&gt;"",D46,IF(C46&lt;&gt;"",C46,""))</f>
        <v>36.9</v>
      </c>
      <c r="G46" s="10" t="n">
        <f aca="false">IF(AND(E46&lt;&gt;"",F46&lt;&gt;""),E46-F46,"")</f>
        <v>0</v>
      </c>
      <c r="H46" s="14" t="n">
        <f aca="false">IF(G46="","",IF(F46=0,"",G46/F46))</f>
        <v>0</v>
      </c>
      <c r="I46" s="15" t="str">
        <f aca="false">IF(E46="","SIN COMPRA",IF(F46="","NUEVO",IF(ROUND(G46,4)&gt;0,"SUBE",IF(ROUND(G46,4)&lt;0,"BAJA","IGUAL"))))</f>
        <v>IGUAL</v>
      </c>
      <c r="J46" s="14" t="n">
        <f aca="false">IF(AND(C46&lt;&gt;"",D46&lt;&gt;""),IF(C46=0,"",D46/C46-1),"")</f>
        <v>0</v>
      </c>
      <c r="K46" s="9"/>
    </row>
    <row r="47" customFormat="false" ht="15" hidden="false" customHeight="false" outlineLevel="0" collapsed="false">
      <c r="A47" s="9" t="s">
        <v>43</v>
      </c>
      <c r="B47" s="9" t="s">
        <v>44</v>
      </c>
      <c r="C47" s="10" t="n">
        <v>28.03</v>
      </c>
      <c r="D47" s="10" t="n">
        <v>28.03</v>
      </c>
      <c r="E47" s="10" t="n">
        <v>28.03</v>
      </c>
      <c r="F47" s="10" t="n">
        <f aca="false">IF(D47&lt;&gt;"",D47,IF(C47&lt;&gt;"",C47,""))</f>
        <v>28.03</v>
      </c>
      <c r="G47" s="10" t="n">
        <f aca="false">IF(AND(E47&lt;&gt;"",F47&lt;&gt;""),E47-F47,"")</f>
        <v>0</v>
      </c>
      <c r="H47" s="14" t="n">
        <f aca="false">IF(G47="","",IF(F47=0,"",G47/F47))</f>
        <v>0</v>
      </c>
      <c r="I47" s="15" t="str">
        <f aca="false">IF(E47="","SIN COMPRA",IF(F47="","NUEVO",IF(ROUND(G47,4)&gt;0,"SUBE",IF(ROUND(G47,4)&lt;0,"BAJA","IGUAL"))))</f>
        <v>IGUAL</v>
      </c>
      <c r="J47" s="14" t="n">
        <f aca="false">IF(AND(C47&lt;&gt;"",D47&lt;&gt;""),IF(C47=0,"",D47/C47-1),"")</f>
        <v>0</v>
      </c>
      <c r="K47" s="9"/>
    </row>
    <row r="48" customFormat="false" ht="15" hidden="false" customHeight="false" outlineLevel="0" collapsed="false">
      <c r="A48" s="9" t="s">
        <v>45</v>
      </c>
      <c r="B48" s="9" t="s">
        <v>46</v>
      </c>
      <c r="C48" s="10"/>
      <c r="D48" s="10" t="n">
        <v>29.25</v>
      </c>
      <c r="E48" s="10"/>
      <c r="F48" s="10" t="n">
        <f aca="false">IF(D48&lt;&gt;"",D48,IF(C48&lt;&gt;"",C48,""))</f>
        <v>29.25</v>
      </c>
      <c r="G48" s="10" t="str">
        <f aca="false">IF(AND(E48&lt;&gt;"",F48&lt;&gt;""),E48-F48,"")</f>
        <v/>
      </c>
      <c r="H48" s="14" t="str">
        <f aca="false">IF(G48="","",IF(F48=0,"",G48/F48))</f>
        <v/>
      </c>
      <c r="I48" s="15" t="str">
        <f aca="false">IF(E48="","SIN COMPRA",IF(F48="","NUEVO",IF(ROUND(G48,4)&gt;0,"SUBE",IF(ROUND(G48,4)&lt;0,"BAJA","IGUAL"))))</f>
        <v>SIN COMPRA</v>
      </c>
      <c r="J48" s="14" t="str">
        <f aca="false">IF(AND(C48&lt;&gt;"",D48&lt;&gt;""),IF(C48=0,"",D48/C48-1),"")</f>
        <v/>
      </c>
      <c r="K48" s="9"/>
    </row>
    <row r="49" customFormat="false" ht="15" hidden="false" customHeight="false" outlineLevel="0" collapsed="false">
      <c r="A49" s="9" t="s">
        <v>45</v>
      </c>
      <c r="B49" s="9" t="s">
        <v>47</v>
      </c>
      <c r="C49" s="10"/>
      <c r="D49" s="10" t="n">
        <v>28.25</v>
      </c>
      <c r="E49" s="10" t="n">
        <v>28.25</v>
      </c>
      <c r="F49" s="10" t="n">
        <f aca="false">IF(D49&lt;&gt;"",D49,IF(C49&lt;&gt;"",C49,""))</f>
        <v>28.25</v>
      </c>
      <c r="G49" s="10" t="n">
        <f aca="false">IF(AND(E49&lt;&gt;"",F49&lt;&gt;""),E49-F49,"")</f>
        <v>0</v>
      </c>
      <c r="H49" s="14" t="n">
        <f aca="false">IF(G49="","",IF(F49=0,"",G49/F49))</f>
        <v>0</v>
      </c>
      <c r="I49" s="15" t="str">
        <f aca="false">IF(E49="","SIN COMPRA",IF(F49="","NUEVO",IF(ROUND(G49,4)&gt;0,"SUBE",IF(ROUND(G49,4)&lt;0,"BAJA","IGUAL"))))</f>
        <v>IGUAL</v>
      </c>
      <c r="J49" s="14" t="str">
        <f aca="false">IF(AND(C49&lt;&gt;"",D49&lt;&gt;""),IF(C49=0,"",D49/C49-1),"")</f>
        <v/>
      </c>
      <c r="K49" s="9"/>
    </row>
    <row r="50" customFormat="false" ht="15" hidden="false" customHeight="false" outlineLevel="0" collapsed="false">
      <c r="A50" s="9" t="s">
        <v>45</v>
      </c>
      <c r="B50" s="9" t="s">
        <v>48</v>
      </c>
      <c r="C50" s="10"/>
      <c r="D50" s="10" t="n">
        <v>7.85</v>
      </c>
      <c r="E50" s="10"/>
      <c r="F50" s="10" t="n">
        <f aca="false">IF(D50&lt;&gt;"",D50,IF(C50&lt;&gt;"",C50,""))</f>
        <v>7.85</v>
      </c>
      <c r="G50" s="10" t="str">
        <f aca="false">IF(AND(E50&lt;&gt;"",F50&lt;&gt;""),E50-F50,"")</f>
        <v/>
      </c>
      <c r="H50" s="14" t="str">
        <f aca="false">IF(G50="","",IF(F50=0,"",G50/F50))</f>
        <v/>
      </c>
      <c r="I50" s="15" t="str">
        <f aca="false">IF(E50="","SIN COMPRA",IF(F50="","NUEVO",IF(ROUND(G50,4)&gt;0,"SUBE",IF(ROUND(G50,4)&lt;0,"BAJA","IGUAL"))))</f>
        <v>SIN COMPRA</v>
      </c>
      <c r="J50" s="14" t="str">
        <f aca="false">IF(AND(C50&lt;&gt;"",D50&lt;&gt;""),IF(C50=0,"",D50/C50-1),"")</f>
        <v/>
      </c>
      <c r="K50" s="9"/>
    </row>
    <row r="51" customFormat="false" ht="15" hidden="false" customHeight="false" outlineLevel="0" collapsed="false">
      <c r="A51" s="9" t="s">
        <v>49</v>
      </c>
      <c r="B51" s="9" t="s">
        <v>50</v>
      </c>
      <c r="C51" s="10"/>
      <c r="D51" s="10" t="n">
        <v>25</v>
      </c>
      <c r="E51" s="10" t="n">
        <v>25</v>
      </c>
      <c r="F51" s="10" t="n">
        <f aca="false">IF(D51&lt;&gt;"",D51,IF(C51&lt;&gt;"",C51,""))</f>
        <v>25</v>
      </c>
      <c r="G51" s="10" t="n">
        <f aca="false">IF(AND(E51&lt;&gt;"",F51&lt;&gt;""),E51-F51,"")</f>
        <v>0</v>
      </c>
      <c r="H51" s="14" t="n">
        <f aca="false">IF(G51="","",IF(F51=0,"",G51/F51))</f>
        <v>0</v>
      </c>
      <c r="I51" s="15" t="str">
        <f aca="false">IF(E51="","SIN COMPRA",IF(F51="","NUEVO",IF(ROUND(G51,4)&gt;0,"SUBE",IF(ROUND(G51,4)&lt;0,"BAJA","IGUAL"))))</f>
        <v>IGUAL</v>
      </c>
      <c r="J51" s="14" t="str">
        <f aca="false">IF(AND(C51&lt;&gt;"",D51&lt;&gt;""),IF(C51=0,"",D51/C51-1),"")</f>
        <v/>
      </c>
      <c r="K51" s="9"/>
    </row>
    <row r="52" customFormat="false" ht="15" hidden="false" customHeight="false" outlineLevel="0" collapsed="false">
      <c r="A52" s="9" t="s">
        <v>49</v>
      </c>
      <c r="B52" s="9" t="s">
        <v>51</v>
      </c>
      <c r="C52" s="10"/>
      <c r="D52" s="10" t="n">
        <v>35</v>
      </c>
      <c r="E52" s="10" t="n">
        <v>35</v>
      </c>
      <c r="F52" s="10" t="n">
        <f aca="false">IF(D52&lt;&gt;"",D52,IF(C52&lt;&gt;"",C52,""))</f>
        <v>35</v>
      </c>
      <c r="G52" s="10" t="n">
        <f aca="false">IF(AND(E52&lt;&gt;"",F52&lt;&gt;""),E52-F52,"")</f>
        <v>0</v>
      </c>
      <c r="H52" s="14" t="n">
        <f aca="false">IF(G52="","",IF(F52=0,"",G52/F52))</f>
        <v>0</v>
      </c>
      <c r="I52" s="15" t="str">
        <f aca="false">IF(E52="","SIN COMPRA",IF(F52="","NUEVO",IF(ROUND(G52,4)&gt;0,"SUBE",IF(ROUND(G52,4)&lt;0,"BAJA","IGUAL"))))</f>
        <v>IGUAL</v>
      </c>
      <c r="J52" s="14" t="str">
        <f aca="false">IF(AND(C52&lt;&gt;"",D52&lt;&gt;""),IF(C52=0,"",D52/C52-1),"")</f>
        <v/>
      </c>
      <c r="K52" s="9" t="s">
        <v>52</v>
      </c>
    </row>
    <row r="53" customFormat="false" ht="15" hidden="false" customHeight="false" outlineLevel="0" collapsed="false">
      <c r="A53" s="9" t="s">
        <v>49</v>
      </c>
      <c r="B53" s="9" t="s">
        <v>53</v>
      </c>
      <c r="C53" s="10"/>
      <c r="D53" s="10" t="n">
        <v>11.81</v>
      </c>
      <c r="E53" s="10" t="n">
        <v>10.9</v>
      </c>
      <c r="F53" s="10" t="n">
        <f aca="false">IF(D53&lt;&gt;"",D53,IF(C53&lt;&gt;"",C53,""))</f>
        <v>11.81</v>
      </c>
      <c r="G53" s="10" t="n">
        <f aca="false">IF(AND(E53&lt;&gt;"",F53&lt;&gt;""),E53-F53,"")</f>
        <v>-0.91</v>
      </c>
      <c r="H53" s="14" t="n">
        <f aca="false">IF(G53="","",IF(F53=0,"",G53/F53))</f>
        <v>-0.0770533446232007</v>
      </c>
      <c r="I53" s="15" t="str">
        <f aca="false">IF(E53="","SIN COMPRA",IF(F53="","NUEVO",IF(ROUND(G53,4)&gt;0,"SUBE",IF(ROUND(G53,4)&lt;0,"BAJA","IGUAL"))))</f>
        <v>BAJA</v>
      </c>
      <c r="J53" s="14" t="str">
        <f aca="false">IF(AND(C53&lt;&gt;"",D53&lt;&gt;""),IF(C53=0,"",D53/C53-1),"")</f>
        <v/>
      </c>
      <c r="K53" s="9"/>
    </row>
    <row r="54" customFormat="false" ht="15" hidden="false" customHeight="false" outlineLevel="0" collapsed="false">
      <c r="A54" s="9" t="s">
        <v>54</v>
      </c>
      <c r="B54" s="9" t="s">
        <v>55</v>
      </c>
      <c r="C54" s="10"/>
      <c r="D54" s="10"/>
      <c r="E54" s="10" t="n">
        <v>2.504</v>
      </c>
      <c r="F54" s="10" t="str">
        <f aca="false">IF(D54&lt;&gt;"",D54,IF(C54&lt;&gt;"",C54,""))</f>
        <v/>
      </c>
      <c r="G54" s="10" t="str">
        <f aca="false">IF(AND(E54&lt;&gt;"",F54&lt;&gt;""),E54-F54,"")</f>
        <v/>
      </c>
      <c r="H54" s="14" t="str">
        <f aca="false">IF(G54="","",IF(F54=0,"",G54/F54))</f>
        <v/>
      </c>
      <c r="I54" s="15" t="str">
        <f aca="false">IF(E54="","SIN COMPRA",IF(F54="","NUEVO",IF(ROUND(G54,4)&gt;0,"SUBE",IF(ROUND(G54,4)&lt;0,"BAJA","IGUAL"))))</f>
        <v>NUEVO</v>
      </c>
      <c r="J54" s="14" t="str">
        <f aca="false">IF(AND(C54&lt;&gt;"",D54&lt;&gt;""),IF(C54=0,"",D54/C54-1),"")</f>
        <v/>
      </c>
      <c r="K54" s="9"/>
    </row>
    <row r="55" customFormat="false" ht="15" hidden="false" customHeight="false" outlineLevel="0" collapsed="false">
      <c r="A55" s="9" t="s">
        <v>54</v>
      </c>
      <c r="B55" s="9" t="s">
        <v>56</v>
      </c>
      <c r="C55" s="10"/>
      <c r="D55" s="10"/>
      <c r="E55" s="10" t="n">
        <v>0.845</v>
      </c>
      <c r="F55" s="10" t="str">
        <f aca="false">IF(D55&lt;&gt;"",D55,IF(C55&lt;&gt;"",C55,""))</f>
        <v/>
      </c>
      <c r="G55" s="10" t="str">
        <f aca="false">IF(AND(E55&lt;&gt;"",F55&lt;&gt;""),E55-F55,"")</f>
        <v/>
      </c>
      <c r="H55" s="14" t="str">
        <f aca="false">IF(G55="","",IF(F55=0,"",G55/F55))</f>
        <v/>
      </c>
      <c r="I55" s="15" t="str">
        <f aca="false">IF(E55="","SIN COMPRA",IF(F55="","NUEVO",IF(ROUND(G55,4)&gt;0,"SUBE",IF(ROUND(G55,4)&lt;0,"BAJA","IGUAL"))))</f>
        <v>NUEVO</v>
      </c>
      <c r="J55" s="14" t="str">
        <f aca="false">IF(AND(C55&lt;&gt;"",D55&lt;&gt;""),IF(C55=0,"",D55/C55-1),"")</f>
        <v/>
      </c>
      <c r="K55" s="9"/>
    </row>
    <row r="56" customFormat="false" ht="15" hidden="false" customHeight="false" outlineLevel="0" collapsed="false">
      <c r="A56" s="9" t="s">
        <v>54</v>
      </c>
      <c r="B56" s="9" t="s">
        <v>57</v>
      </c>
      <c r="C56" s="10"/>
      <c r="D56" s="10"/>
      <c r="E56" s="10" t="n">
        <v>0.845</v>
      </c>
      <c r="F56" s="10" t="str">
        <f aca="false">IF(D56&lt;&gt;"",D56,IF(C56&lt;&gt;"",C56,""))</f>
        <v/>
      </c>
      <c r="G56" s="10" t="str">
        <f aca="false">IF(AND(E56&lt;&gt;"",F56&lt;&gt;""),E56-F56,"")</f>
        <v/>
      </c>
      <c r="H56" s="14" t="str">
        <f aca="false">IF(G56="","",IF(F56=0,"",G56/F56))</f>
        <v/>
      </c>
      <c r="I56" s="15" t="str">
        <f aca="false">IF(E56="","SIN COMPRA",IF(F56="","NUEVO",IF(ROUND(G56,4)&gt;0,"SUBE",IF(ROUND(G56,4)&lt;0,"BAJA","IGUAL"))))</f>
        <v>NUEVO</v>
      </c>
      <c r="J56" s="14" t="str">
        <f aca="false">IF(AND(C56&lt;&gt;"",D56&lt;&gt;""),IF(C56=0,"",D56/C56-1),"")</f>
        <v/>
      </c>
      <c r="K56" s="9"/>
    </row>
    <row r="57" customFormat="false" ht="15" hidden="false" customHeight="false" outlineLevel="0" collapsed="false">
      <c r="A57" s="9" t="s">
        <v>54</v>
      </c>
      <c r="B57" s="9" t="s">
        <v>58</v>
      </c>
      <c r="C57" s="10"/>
      <c r="D57" s="10"/>
      <c r="E57" s="10" t="n">
        <v>0.845</v>
      </c>
      <c r="F57" s="10" t="str">
        <f aca="false">IF(D57&lt;&gt;"",D57,IF(C57&lt;&gt;"",C57,""))</f>
        <v/>
      </c>
      <c r="G57" s="10" t="str">
        <f aca="false">IF(AND(E57&lt;&gt;"",F57&lt;&gt;""),E57-F57,"")</f>
        <v/>
      </c>
      <c r="H57" s="14" t="str">
        <f aca="false">IF(G57="","",IF(F57=0,"",G57/F57))</f>
        <v/>
      </c>
      <c r="I57" s="15" t="str">
        <f aca="false">IF(E57="","SIN COMPRA",IF(F57="","NUEVO",IF(ROUND(G57,4)&gt;0,"SUBE",IF(ROUND(G57,4)&lt;0,"BAJA","IGUAL"))))</f>
        <v>NUEVO</v>
      </c>
      <c r="J57" s="14" t="str">
        <f aca="false">IF(AND(C57&lt;&gt;"",D57&lt;&gt;""),IF(C57=0,"",D57/C57-1),"")</f>
        <v/>
      </c>
      <c r="K57" s="9"/>
    </row>
    <row r="58" customFormat="false" ht="15" hidden="false" customHeight="false" outlineLevel="0" collapsed="false">
      <c r="A58" s="9" t="s">
        <v>54</v>
      </c>
      <c r="B58" s="9" t="s">
        <v>59</v>
      </c>
      <c r="C58" s="10"/>
      <c r="D58" s="10"/>
      <c r="E58" s="10" t="n">
        <v>0.728</v>
      </c>
      <c r="F58" s="10" t="str">
        <f aca="false">IF(D58&lt;&gt;"",D58,IF(C58&lt;&gt;"",C58,""))</f>
        <v/>
      </c>
      <c r="G58" s="10" t="str">
        <f aca="false">IF(AND(E58&lt;&gt;"",F58&lt;&gt;""),E58-F58,"")</f>
        <v/>
      </c>
      <c r="H58" s="14" t="str">
        <f aca="false">IF(G58="","",IF(F58=0,"",G58/F58))</f>
        <v/>
      </c>
      <c r="I58" s="15" t="str">
        <f aca="false">IF(E58="","SIN COMPRA",IF(F58="","NUEVO",IF(ROUND(G58,4)&gt;0,"SUBE",IF(ROUND(G58,4)&lt;0,"BAJA","IGUAL"))))</f>
        <v>NUEVO</v>
      </c>
      <c r="J58" s="14" t="str">
        <f aca="false">IF(AND(C58&lt;&gt;"",D58&lt;&gt;""),IF(C58=0,"",D58/C58-1),"")</f>
        <v/>
      </c>
      <c r="K58" s="9"/>
    </row>
    <row r="59" customFormat="false" ht="15" hidden="false" customHeight="false" outlineLevel="0" collapsed="false">
      <c r="A59" s="9" t="s">
        <v>60</v>
      </c>
      <c r="B59" s="9" t="s">
        <v>61</v>
      </c>
      <c r="C59" s="10"/>
      <c r="D59" s="10"/>
      <c r="E59" s="10" t="n">
        <v>27</v>
      </c>
      <c r="F59" s="10" t="str">
        <f aca="false">IF(D59&lt;&gt;"",D59,IF(C59&lt;&gt;"",C59,""))</f>
        <v/>
      </c>
      <c r="G59" s="10" t="str">
        <f aca="false">IF(AND(E59&lt;&gt;"",F59&lt;&gt;""),E59-F59,"")</f>
        <v/>
      </c>
      <c r="H59" s="14" t="str">
        <f aca="false">IF(G59="","",IF(F59=0,"",G59/F59))</f>
        <v/>
      </c>
      <c r="I59" s="15" t="str">
        <f aca="false">IF(E59="","SIN COMPRA",IF(F59="","NUEVO",IF(ROUND(G59,4)&gt;0,"SUBE",IF(ROUND(G59,4)&lt;0,"BAJA","IGUAL"))))</f>
        <v>NUEVO</v>
      </c>
      <c r="J59" s="14" t="str">
        <f aca="false">IF(AND(C59&lt;&gt;"",D59&lt;&gt;""),IF(C59=0,"",D59/C59-1),"")</f>
        <v/>
      </c>
      <c r="K59" s="9"/>
    </row>
    <row r="60" customFormat="false" ht="15" hidden="false" customHeight="false" outlineLevel="0" collapsed="false">
      <c r="A60" s="9" t="s">
        <v>62</v>
      </c>
      <c r="B60" s="9" t="s">
        <v>63</v>
      </c>
      <c r="C60" s="10" t="n">
        <v>16.9</v>
      </c>
      <c r="D60" s="10" t="n">
        <v>16.9</v>
      </c>
      <c r="E60" s="10" t="n">
        <v>16.9</v>
      </c>
      <c r="F60" s="10" t="n">
        <f aca="false">IF(D60&lt;&gt;"",D60,IF(C60&lt;&gt;"",C60,""))</f>
        <v>16.9</v>
      </c>
      <c r="G60" s="10" t="n">
        <f aca="false">IF(AND(E60&lt;&gt;"",F60&lt;&gt;""),E60-F60,"")</f>
        <v>0</v>
      </c>
      <c r="H60" s="14" t="n">
        <f aca="false">IF(G60="","",IF(F60=0,"",G60/F60))</f>
        <v>0</v>
      </c>
      <c r="I60" s="15" t="str">
        <f aca="false">IF(E60="","SIN COMPRA",IF(F60="","NUEVO",IF(ROUND(G60,4)&gt;0,"SUBE",IF(ROUND(G60,4)&lt;0,"BAJA","IGUAL"))))</f>
        <v>IGUAL</v>
      </c>
      <c r="J60" s="14" t="n">
        <f aca="false">IF(AND(C60&lt;&gt;"",D60&lt;&gt;""),IF(C60=0,"",D60/C60-1),"")</f>
        <v>0</v>
      </c>
      <c r="K60" s="9"/>
    </row>
    <row r="61" customFormat="false" ht="15" hidden="false" customHeight="false" outlineLevel="0" collapsed="false">
      <c r="A61" s="9" t="s">
        <v>62</v>
      </c>
      <c r="B61" s="9" t="s">
        <v>64</v>
      </c>
      <c r="C61" s="10" t="n">
        <v>18.96</v>
      </c>
      <c r="D61" s="10" t="n">
        <v>20.6</v>
      </c>
      <c r="E61" s="10" t="n">
        <v>20.6</v>
      </c>
      <c r="F61" s="10" t="n">
        <f aca="false">IF(D61&lt;&gt;"",D61,IF(C61&lt;&gt;"",C61,""))</f>
        <v>20.6</v>
      </c>
      <c r="G61" s="10" t="n">
        <f aca="false">IF(AND(E61&lt;&gt;"",F61&lt;&gt;""),E61-F61,"")</f>
        <v>0</v>
      </c>
      <c r="H61" s="14" t="n">
        <f aca="false">IF(G61="","",IF(F61=0,"",G61/F61))</f>
        <v>0</v>
      </c>
      <c r="I61" s="15" t="str">
        <f aca="false">IF(E61="","SIN COMPRA",IF(F61="","NUEVO",IF(ROUND(G61,4)&gt;0,"SUBE",IF(ROUND(G61,4)&lt;0,"BAJA","IGUAL"))))</f>
        <v>IGUAL</v>
      </c>
      <c r="J61" s="14" t="n">
        <f aca="false">IF(AND(C61&lt;&gt;"",D61&lt;&gt;""),IF(C61=0,"",D61/C61-1),"")</f>
        <v>0.0864978902953586</v>
      </c>
      <c r="K61" s="9"/>
    </row>
    <row r="62" customFormat="false" ht="15" hidden="false" customHeight="false" outlineLevel="0" collapsed="false">
      <c r="A62" s="9" t="s">
        <v>62</v>
      </c>
      <c r="B62" s="9" t="s">
        <v>65</v>
      </c>
      <c r="C62" s="10" t="n">
        <v>28.66</v>
      </c>
      <c r="D62" s="10" t="n">
        <v>28.66</v>
      </c>
      <c r="E62" s="10" t="n">
        <v>28.66</v>
      </c>
      <c r="F62" s="10" t="n">
        <f aca="false">IF(D62&lt;&gt;"",D62,IF(C62&lt;&gt;"",C62,""))</f>
        <v>28.66</v>
      </c>
      <c r="G62" s="10" t="n">
        <f aca="false">IF(AND(E62&lt;&gt;"",F62&lt;&gt;""),E62-F62,"")</f>
        <v>0</v>
      </c>
      <c r="H62" s="14" t="n">
        <f aca="false">IF(G62="","",IF(F62=0,"",G62/F62))</f>
        <v>0</v>
      </c>
      <c r="I62" s="15" t="str">
        <f aca="false">IF(E62="","SIN COMPRA",IF(F62="","NUEVO",IF(ROUND(G62,4)&gt;0,"SUBE",IF(ROUND(G62,4)&lt;0,"BAJA","IGUAL"))))</f>
        <v>IGUAL</v>
      </c>
      <c r="J62" s="14" t="n">
        <f aca="false">IF(AND(C62&lt;&gt;"",D62&lt;&gt;""),IF(C62=0,"",D62/C62-1),"")</f>
        <v>0</v>
      </c>
      <c r="K62" s="9"/>
    </row>
    <row r="63" customFormat="false" ht="15" hidden="false" customHeight="false" outlineLevel="0" collapsed="false">
      <c r="A63" s="9" t="s">
        <v>62</v>
      </c>
      <c r="B63" s="9" t="s">
        <v>66</v>
      </c>
      <c r="C63" s="10" t="n">
        <v>5.86</v>
      </c>
      <c r="D63" s="10" t="n">
        <v>5.86</v>
      </c>
      <c r="E63" s="10"/>
      <c r="F63" s="10" t="n">
        <f aca="false">IF(D63&lt;&gt;"",D63,IF(C63&lt;&gt;"",C63,""))</f>
        <v>5.86</v>
      </c>
      <c r="G63" s="10" t="str">
        <f aca="false">IF(AND(E63&lt;&gt;"",F63&lt;&gt;""),E63-F63,"")</f>
        <v/>
      </c>
      <c r="H63" s="14" t="str">
        <f aca="false">IF(G63="","",IF(F63=0,"",G63/F63))</f>
        <v/>
      </c>
      <c r="I63" s="15" t="str">
        <f aca="false">IF(E63="","SIN COMPRA",IF(F63="","NUEVO",IF(ROUND(G63,4)&gt;0,"SUBE",IF(ROUND(G63,4)&lt;0,"BAJA","IGUAL"))))</f>
        <v>SIN COMPRA</v>
      </c>
      <c r="J63" s="14" t="n">
        <f aca="false">IF(AND(C63&lt;&gt;"",D63&lt;&gt;""),IF(C63=0,"",D63/C63-1),"")</f>
        <v>0</v>
      </c>
      <c r="K63" s="9"/>
    </row>
    <row r="64" customFormat="false" ht="15" hidden="false" customHeight="false" outlineLevel="0" collapsed="false">
      <c r="A64" s="9" t="s">
        <v>62</v>
      </c>
      <c r="B64" s="9" t="s">
        <v>67</v>
      </c>
      <c r="C64" s="10"/>
      <c r="D64" s="10" t="n">
        <v>36.4</v>
      </c>
      <c r="E64" s="10" t="n">
        <v>36.4</v>
      </c>
      <c r="F64" s="10" t="n">
        <f aca="false">IF(D64&lt;&gt;"",D64,IF(C64&lt;&gt;"",C64,""))</f>
        <v>36.4</v>
      </c>
      <c r="G64" s="10" t="n">
        <f aca="false">IF(AND(E64&lt;&gt;"",F64&lt;&gt;""),E64-F64,"")</f>
        <v>0</v>
      </c>
      <c r="H64" s="14" t="n">
        <f aca="false">IF(G64="","",IF(F64=0,"",G64/F64))</f>
        <v>0</v>
      </c>
      <c r="I64" s="15" t="str">
        <f aca="false">IF(E64="","SIN COMPRA",IF(F64="","NUEVO",IF(ROUND(G64,4)&gt;0,"SUBE",IF(ROUND(G64,4)&lt;0,"BAJA","IGUAL"))))</f>
        <v>IGUAL</v>
      </c>
      <c r="J64" s="14" t="str">
        <f aca="false">IF(AND(C64&lt;&gt;"",D64&lt;&gt;""),IF(C64=0,"",D64/C64-1),"")</f>
        <v/>
      </c>
      <c r="K64" s="9"/>
    </row>
    <row r="65" customFormat="false" ht="15" hidden="false" customHeight="false" outlineLevel="0" collapsed="false">
      <c r="A65" s="9" t="s">
        <v>62</v>
      </c>
      <c r="B65" s="9" t="s">
        <v>68</v>
      </c>
      <c r="C65" s="10" t="n">
        <v>5.56</v>
      </c>
      <c r="D65" s="10" t="n">
        <v>5.56</v>
      </c>
      <c r="E65" s="10" t="n">
        <v>5.86</v>
      </c>
      <c r="F65" s="10" t="n">
        <f aca="false">IF(D65&lt;&gt;"",D65,IF(C65&lt;&gt;"",C65,""))</f>
        <v>5.56</v>
      </c>
      <c r="G65" s="10" t="n">
        <f aca="false">IF(AND(E65&lt;&gt;"",F65&lt;&gt;""),E65-F65,"")</f>
        <v>0.300000000000001</v>
      </c>
      <c r="H65" s="14" t="n">
        <f aca="false">IF(G65="","",IF(F65=0,"",G65/F65))</f>
        <v>0.0539568345323742</v>
      </c>
      <c r="I65" s="15" t="str">
        <f aca="false">IF(E65="","SIN COMPRA",IF(F65="","NUEVO",IF(ROUND(G65,4)&gt;0,"SUBE",IF(ROUND(G65,4)&lt;0,"BAJA","IGUAL"))))</f>
        <v>SUBE</v>
      </c>
      <c r="J65" s="14" t="n">
        <f aca="false">IF(AND(C65&lt;&gt;"",D65&lt;&gt;""),IF(C65=0,"",D65/C65-1),"")</f>
        <v>0</v>
      </c>
      <c r="K65" s="9"/>
    </row>
    <row r="66" customFormat="false" ht="15" hidden="false" customHeight="false" outlineLevel="0" collapsed="false">
      <c r="A66" s="9" t="s">
        <v>69</v>
      </c>
      <c r="B66" s="9" t="s">
        <v>70</v>
      </c>
      <c r="C66" s="10" t="n">
        <v>52.5</v>
      </c>
      <c r="D66" s="10" t="n">
        <v>52.5</v>
      </c>
      <c r="E66" s="10" t="n">
        <v>52.5</v>
      </c>
      <c r="F66" s="10" t="n">
        <f aca="false">IF(D66&lt;&gt;"",D66,IF(C66&lt;&gt;"",C66,""))</f>
        <v>52.5</v>
      </c>
      <c r="G66" s="10" t="n">
        <f aca="false">IF(AND(E66&lt;&gt;"",F66&lt;&gt;""),E66-F66,"")</f>
        <v>0</v>
      </c>
      <c r="H66" s="14" t="n">
        <f aca="false">IF(G66="","",IF(F66=0,"",G66/F66))</f>
        <v>0</v>
      </c>
      <c r="I66" s="15" t="str">
        <f aca="false">IF(E66="","SIN COMPRA",IF(F66="","NUEVO",IF(ROUND(G66,4)&gt;0,"SUBE",IF(ROUND(G66,4)&lt;0,"BAJA","IGUAL"))))</f>
        <v>IGUAL</v>
      </c>
      <c r="J66" s="14" t="n">
        <f aca="false">IF(AND(C66&lt;&gt;"",D66&lt;&gt;""),IF(C66=0,"",D66/C66-1),"")</f>
        <v>0</v>
      </c>
      <c r="K66" s="9"/>
    </row>
    <row r="67" customFormat="false" ht="15" hidden="false" customHeight="false" outlineLevel="0" collapsed="false">
      <c r="A67" s="9" t="s">
        <v>69</v>
      </c>
      <c r="B67" s="9" t="s">
        <v>71</v>
      </c>
      <c r="C67" s="10" t="n">
        <v>9</v>
      </c>
      <c r="D67" s="10"/>
      <c r="E67" s="10" t="n">
        <v>9</v>
      </c>
      <c r="F67" s="10" t="n">
        <f aca="false">IF(D67&lt;&gt;"",D67,IF(C67&lt;&gt;"",C67,""))</f>
        <v>9</v>
      </c>
      <c r="G67" s="10" t="n">
        <f aca="false">IF(AND(E67&lt;&gt;"",F67&lt;&gt;""),E67-F67,"")</f>
        <v>0</v>
      </c>
      <c r="H67" s="14" t="n">
        <f aca="false">IF(G67="","",IF(F67=0,"",G67/F67))</f>
        <v>0</v>
      </c>
      <c r="I67" s="15" t="str">
        <f aca="false">IF(E67="","SIN COMPRA",IF(F67="","NUEVO",IF(ROUND(G67,4)&gt;0,"SUBE",IF(ROUND(G67,4)&lt;0,"BAJA","IGUAL"))))</f>
        <v>IGUAL</v>
      </c>
      <c r="J67" s="14" t="str">
        <f aca="false">IF(AND(C67&lt;&gt;"",D67&lt;&gt;""),IF(C67=0,"",D67/C67-1),"")</f>
        <v/>
      </c>
      <c r="K67" s="9"/>
    </row>
    <row r="68" customFormat="false" ht="15" hidden="false" customHeight="false" outlineLevel="0" collapsed="false">
      <c r="A68" s="9" t="s">
        <v>69</v>
      </c>
      <c r="B68" s="9" t="s">
        <v>72</v>
      </c>
      <c r="C68" s="10" t="n">
        <v>11.5</v>
      </c>
      <c r="D68" s="10"/>
      <c r="E68" s="10"/>
      <c r="F68" s="10" t="n">
        <f aca="false">IF(D68&lt;&gt;"",D68,IF(C68&lt;&gt;"",C68,""))</f>
        <v>11.5</v>
      </c>
      <c r="G68" s="10" t="str">
        <f aca="false">IF(AND(E68&lt;&gt;"",F68&lt;&gt;""),E68-F68,"")</f>
        <v/>
      </c>
      <c r="H68" s="14" t="str">
        <f aca="false">IF(G68="","",IF(F68=0,"",G68/F68))</f>
        <v/>
      </c>
      <c r="I68" s="15" t="str">
        <f aca="false">IF(E68="","SIN COMPRA",IF(F68="","NUEVO",IF(ROUND(G68,4)&gt;0,"SUBE",IF(ROUND(G68,4)&lt;0,"BAJA","IGUAL"))))</f>
        <v>SIN COMPRA</v>
      </c>
      <c r="J68" s="14" t="str">
        <f aca="false">IF(AND(C68&lt;&gt;"",D68&lt;&gt;""),IF(C68=0,"",D68/C68-1),"")</f>
        <v/>
      </c>
      <c r="K68" s="9"/>
    </row>
    <row r="69" customFormat="false" ht="15" hidden="false" customHeight="false" outlineLevel="0" collapsed="false">
      <c r="A69" s="9" t="s">
        <v>69</v>
      </c>
      <c r="B69" s="9" t="s">
        <v>73</v>
      </c>
      <c r="C69" s="10" t="n">
        <v>3.75</v>
      </c>
      <c r="D69" s="10"/>
      <c r="E69" s="10" t="n">
        <v>3.75</v>
      </c>
      <c r="F69" s="10" t="n">
        <f aca="false">IF(D69&lt;&gt;"",D69,IF(C69&lt;&gt;"",C69,""))</f>
        <v>3.75</v>
      </c>
      <c r="G69" s="10" t="n">
        <f aca="false">IF(AND(E69&lt;&gt;"",F69&lt;&gt;""),E69-F69,"")</f>
        <v>0</v>
      </c>
      <c r="H69" s="14" t="n">
        <f aca="false">IF(G69="","",IF(F69=0,"",G69/F69))</f>
        <v>0</v>
      </c>
      <c r="I69" s="15" t="str">
        <f aca="false">IF(E69="","SIN COMPRA",IF(F69="","NUEVO",IF(ROUND(G69,4)&gt;0,"SUBE",IF(ROUND(G69,4)&lt;0,"BAJA","IGUAL"))))</f>
        <v>IGUAL</v>
      </c>
      <c r="J69" s="14" t="str">
        <f aca="false">IF(AND(C69&lt;&gt;"",D69&lt;&gt;""),IF(C69=0,"",D69/C69-1),"")</f>
        <v/>
      </c>
      <c r="K69" s="9"/>
    </row>
    <row r="70" customFormat="false" ht="15" hidden="false" customHeight="false" outlineLevel="0" collapsed="false">
      <c r="A70" s="9" t="s">
        <v>69</v>
      </c>
      <c r="B70" s="9" t="s">
        <v>74</v>
      </c>
      <c r="C70" s="10" t="n">
        <v>2</v>
      </c>
      <c r="D70" s="10"/>
      <c r="E70" s="10"/>
      <c r="F70" s="10" t="n">
        <f aca="false">IF(D70&lt;&gt;"",D70,IF(C70&lt;&gt;"",C70,""))</f>
        <v>2</v>
      </c>
      <c r="G70" s="10" t="str">
        <f aca="false">IF(AND(E70&lt;&gt;"",F70&lt;&gt;""),E70-F70,"")</f>
        <v/>
      </c>
      <c r="H70" s="14" t="str">
        <f aca="false">IF(G70="","",IF(F70=0,"",G70/F70))</f>
        <v/>
      </c>
      <c r="I70" s="15" t="str">
        <f aca="false">IF(E70="","SIN COMPRA",IF(F70="","NUEVO",IF(ROUND(G70,4)&gt;0,"SUBE",IF(ROUND(G70,4)&lt;0,"BAJA","IGUAL"))))</f>
        <v>SIN COMPRA</v>
      </c>
      <c r="J70" s="14" t="str">
        <f aca="false">IF(AND(C70&lt;&gt;"",D70&lt;&gt;""),IF(C70=0,"",D70/C70-1),"")</f>
        <v/>
      </c>
      <c r="K70" s="9"/>
    </row>
    <row r="71" customFormat="false" ht="15" hidden="false" customHeight="false" outlineLevel="0" collapsed="false">
      <c r="A71" s="9" t="s">
        <v>69</v>
      </c>
      <c r="B71" s="9" t="s">
        <v>75</v>
      </c>
      <c r="C71" s="10" t="n">
        <v>4.5</v>
      </c>
      <c r="D71" s="10"/>
      <c r="E71" s="10"/>
      <c r="F71" s="10" t="n">
        <f aca="false">IF(D71&lt;&gt;"",D71,IF(C71&lt;&gt;"",C71,""))</f>
        <v>4.5</v>
      </c>
      <c r="G71" s="10" t="str">
        <f aca="false">IF(AND(E71&lt;&gt;"",F71&lt;&gt;""),E71-F71,"")</f>
        <v/>
      </c>
      <c r="H71" s="14" t="str">
        <f aca="false">IF(G71="","",IF(F71=0,"",G71/F71))</f>
        <v/>
      </c>
      <c r="I71" s="15" t="str">
        <f aca="false">IF(E71="","SIN COMPRA",IF(F71="","NUEVO",IF(ROUND(G71,4)&gt;0,"SUBE",IF(ROUND(G71,4)&lt;0,"BAJA","IGUAL"))))</f>
        <v>SIN COMPRA</v>
      </c>
      <c r="J71" s="14" t="str">
        <f aca="false">IF(AND(C71&lt;&gt;"",D71&lt;&gt;""),IF(C71=0,"",D71/C71-1),"")</f>
        <v/>
      </c>
      <c r="K71" s="9"/>
    </row>
    <row r="72" customFormat="false" ht="15" hidden="false" customHeight="false" outlineLevel="0" collapsed="false">
      <c r="A72" s="9" t="s">
        <v>69</v>
      </c>
      <c r="B72" s="9" t="s">
        <v>76</v>
      </c>
      <c r="C72" s="10" t="n">
        <v>4.5</v>
      </c>
      <c r="D72" s="10"/>
      <c r="E72" s="10" t="n">
        <v>4.5</v>
      </c>
      <c r="F72" s="10" t="n">
        <f aca="false">IF(D72&lt;&gt;"",D72,IF(C72&lt;&gt;"",C72,""))</f>
        <v>4.5</v>
      </c>
      <c r="G72" s="10" t="n">
        <f aca="false">IF(AND(E72&lt;&gt;"",F72&lt;&gt;""),E72-F72,"")</f>
        <v>0</v>
      </c>
      <c r="H72" s="14" t="n">
        <f aca="false">IF(G72="","",IF(F72=0,"",G72/F72))</f>
        <v>0</v>
      </c>
      <c r="I72" s="15" t="str">
        <f aca="false">IF(E72="","SIN COMPRA",IF(F72="","NUEVO",IF(ROUND(G72,4)&gt;0,"SUBE",IF(ROUND(G72,4)&lt;0,"BAJA","IGUAL"))))</f>
        <v>IGUAL</v>
      </c>
      <c r="J72" s="14" t="str">
        <f aca="false">IF(AND(C72&lt;&gt;"",D72&lt;&gt;""),IF(C72=0,"",D72/C72-1),"")</f>
        <v/>
      </c>
      <c r="K72" s="9"/>
    </row>
    <row r="73" customFormat="false" ht="15" hidden="false" customHeight="false" outlineLevel="0" collapsed="false">
      <c r="A73" s="9" t="s">
        <v>69</v>
      </c>
      <c r="B73" s="9" t="s">
        <v>77</v>
      </c>
      <c r="C73" s="10"/>
      <c r="D73" s="10"/>
      <c r="E73" s="10" t="n">
        <v>45</v>
      </c>
      <c r="F73" s="10" t="str">
        <f aca="false">IF(D73&lt;&gt;"",D73,IF(C73&lt;&gt;"",C73,""))</f>
        <v/>
      </c>
      <c r="G73" s="10" t="str">
        <f aca="false">IF(AND(E73&lt;&gt;"",F73&lt;&gt;""),E73-F73,"")</f>
        <v/>
      </c>
      <c r="H73" s="14" t="str">
        <f aca="false">IF(G73="","",IF(F73=0,"",G73/F73))</f>
        <v/>
      </c>
      <c r="I73" s="15" t="str">
        <f aca="false">IF(E73="","SIN COMPRA",IF(F73="","NUEVO",IF(ROUND(G73,4)&gt;0,"SUBE",IF(ROUND(G73,4)&lt;0,"BAJA","IGUAL"))))</f>
        <v>NUEVO</v>
      </c>
      <c r="J73" s="14" t="str">
        <f aca="false">IF(AND(C73&lt;&gt;"",D73&lt;&gt;""),IF(C73=0,"",D73/C73-1),"")</f>
        <v/>
      </c>
      <c r="K73" s="9"/>
    </row>
    <row r="74" customFormat="false" ht="15" hidden="false" customHeight="false" outlineLevel="0" collapsed="false">
      <c r="A74" s="9" t="s">
        <v>69</v>
      </c>
      <c r="B74" s="9" t="s">
        <v>78</v>
      </c>
      <c r="C74" s="10" t="n">
        <v>45</v>
      </c>
      <c r="D74" s="10" t="n">
        <v>45</v>
      </c>
      <c r="E74" s="10" t="n">
        <v>45</v>
      </c>
      <c r="F74" s="10" t="n">
        <f aca="false">IF(D74&lt;&gt;"",D74,IF(C74&lt;&gt;"",C74,""))</f>
        <v>45</v>
      </c>
      <c r="G74" s="10" t="n">
        <f aca="false">IF(AND(E74&lt;&gt;"",F74&lt;&gt;""),E74-F74,"")</f>
        <v>0</v>
      </c>
      <c r="H74" s="14" t="n">
        <f aca="false">IF(G74="","",IF(F74=0,"",G74/F74))</f>
        <v>0</v>
      </c>
      <c r="I74" s="15" t="str">
        <f aca="false">IF(E74="","SIN COMPRA",IF(F74="","NUEVO",IF(ROUND(G74,4)&gt;0,"SUBE",IF(ROUND(G74,4)&lt;0,"BAJA","IGUAL"))))</f>
        <v>IGUAL</v>
      </c>
      <c r="J74" s="14" t="n">
        <f aca="false">IF(AND(C74&lt;&gt;"",D74&lt;&gt;""),IF(C74=0,"",D74/C74-1),"")</f>
        <v>0</v>
      </c>
      <c r="K74" s="9"/>
    </row>
    <row r="75" customFormat="false" ht="15" hidden="false" customHeight="false" outlineLevel="0" collapsed="false">
      <c r="A75" s="9" t="s">
        <v>69</v>
      </c>
      <c r="B75" s="9" t="s">
        <v>79</v>
      </c>
      <c r="C75" s="10" t="n">
        <v>8</v>
      </c>
      <c r="D75" s="10"/>
      <c r="E75" s="10"/>
      <c r="F75" s="10" t="n">
        <f aca="false">IF(D75&lt;&gt;"",D75,IF(C75&lt;&gt;"",C75,""))</f>
        <v>8</v>
      </c>
      <c r="G75" s="10" t="str">
        <f aca="false">IF(AND(E75&lt;&gt;"",F75&lt;&gt;""),E75-F75,"")</f>
        <v/>
      </c>
      <c r="H75" s="14" t="str">
        <f aca="false">IF(G75="","",IF(F75=0,"",G75/F75))</f>
        <v/>
      </c>
      <c r="I75" s="15" t="str">
        <f aca="false">IF(E75="","SIN COMPRA",IF(F75="","NUEVO",IF(ROUND(G75,4)&gt;0,"SUBE",IF(ROUND(G75,4)&lt;0,"BAJA","IGUAL"))))</f>
        <v>SIN COMPRA</v>
      </c>
      <c r="J75" s="14" t="str">
        <f aca="false">IF(AND(C75&lt;&gt;"",D75&lt;&gt;""),IF(C75=0,"",D75/C75-1),"")</f>
        <v/>
      </c>
      <c r="K75" s="9"/>
    </row>
    <row r="76" customFormat="false" ht="15" hidden="false" customHeight="false" outlineLevel="0" collapsed="false">
      <c r="A76" s="9" t="s">
        <v>69</v>
      </c>
      <c r="B76" s="9" t="s">
        <v>80</v>
      </c>
      <c r="C76" s="10" t="n">
        <v>12.5</v>
      </c>
      <c r="D76" s="10"/>
      <c r="E76" s="10" t="n">
        <v>12.5</v>
      </c>
      <c r="F76" s="10" t="n">
        <f aca="false">IF(D76&lt;&gt;"",D76,IF(C76&lt;&gt;"",C76,""))</f>
        <v>12.5</v>
      </c>
      <c r="G76" s="10" t="n">
        <f aca="false">IF(AND(E76&lt;&gt;"",F76&lt;&gt;""),E76-F76,"")</f>
        <v>0</v>
      </c>
      <c r="H76" s="14" t="n">
        <f aca="false">IF(G76="","",IF(F76=0,"",G76/F76))</f>
        <v>0</v>
      </c>
      <c r="I76" s="15" t="str">
        <f aca="false">IF(E76="","SIN COMPRA",IF(F76="","NUEVO",IF(ROUND(G76,4)&gt;0,"SUBE",IF(ROUND(G76,4)&lt;0,"BAJA","IGUAL"))))</f>
        <v>IGUAL</v>
      </c>
      <c r="J76" s="14" t="str">
        <f aca="false">IF(AND(C76&lt;&gt;"",D76&lt;&gt;""),IF(C76=0,"",D76/C76-1),"")</f>
        <v/>
      </c>
      <c r="K76" s="9"/>
    </row>
    <row r="77" customFormat="false" ht="15" hidden="false" customHeight="false" outlineLevel="0" collapsed="false">
      <c r="A77" s="9" t="s">
        <v>69</v>
      </c>
      <c r="B77" s="9" t="s">
        <v>81</v>
      </c>
      <c r="C77" s="10" t="n">
        <v>8.5</v>
      </c>
      <c r="D77" s="10"/>
      <c r="E77" s="10" t="n">
        <v>8.5</v>
      </c>
      <c r="F77" s="10" t="n">
        <f aca="false">IF(D77&lt;&gt;"",D77,IF(C77&lt;&gt;"",C77,""))</f>
        <v>8.5</v>
      </c>
      <c r="G77" s="10" t="n">
        <f aca="false">IF(AND(E77&lt;&gt;"",F77&lt;&gt;""),E77-F77,"")</f>
        <v>0</v>
      </c>
      <c r="H77" s="14" t="n">
        <f aca="false">IF(G77="","",IF(F77=0,"",G77/F77))</f>
        <v>0</v>
      </c>
      <c r="I77" s="15" t="str">
        <f aca="false">IF(E77="","SIN COMPRA",IF(F77="","NUEVO",IF(ROUND(G77,4)&gt;0,"SUBE",IF(ROUND(G77,4)&lt;0,"BAJA","IGUAL"))))</f>
        <v>IGUAL</v>
      </c>
      <c r="J77" s="14" t="str">
        <f aca="false">IF(AND(C77&lt;&gt;"",D77&lt;&gt;""),IF(C77=0,"",D77/C77-1),"")</f>
        <v/>
      </c>
      <c r="K77" s="9"/>
    </row>
    <row r="78" customFormat="false" ht="15" hidden="false" customHeight="false" outlineLevel="0" collapsed="false">
      <c r="A78" s="9" t="s">
        <v>69</v>
      </c>
      <c r="B78" s="9" t="s">
        <v>82</v>
      </c>
      <c r="C78" s="10" t="n">
        <v>6</v>
      </c>
      <c r="D78" s="10" t="n">
        <v>6</v>
      </c>
      <c r="E78" s="10" t="n">
        <v>6</v>
      </c>
      <c r="F78" s="10" t="n">
        <f aca="false">IF(D78&lt;&gt;"",D78,IF(C78&lt;&gt;"",C78,""))</f>
        <v>6</v>
      </c>
      <c r="G78" s="10" t="n">
        <f aca="false">IF(AND(E78&lt;&gt;"",F78&lt;&gt;""),E78-F78,"")</f>
        <v>0</v>
      </c>
      <c r="H78" s="14" t="n">
        <f aca="false">IF(G78="","",IF(F78=0,"",G78/F78))</f>
        <v>0</v>
      </c>
      <c r="I78" s="15" t="str">
        <f aca="false">IF(E78="","SIN COMPRA",IF(F78="","NUEVO",IF(ROUND(G78,4)&gt;0,"SUBE",IF(ROUND(G78,4)&lt;0,"BAJA","IGUAL"))))</f>
        <v>IGUAL</v>
      </c>
      <c r="J78" s="14" t="n">
        <f aca="false">IF(AND(C78&lt;&gt;"",D78&lt;&gt;""),IF(C78=0,"",D78/C78-1),"")</f>
        <v>0</v>
      </c>
      <c r="K78" s="9"/>
    </row>
    <row r="79" customFormat="false" ht="15" hidden="false" customHeight="false" outlineLevel="0" collapsed="false">
      <c r="A79" s="9" t="s">
        <v>69</v>
      </c>
      <c r="B79" s="9" t="s">
        <v>83</v>
      </c>
      <c r="C79" s="10" t="n">
        <v>8.8</v>
      </c>
      <c r="D79" s="10" t="n">
        <v>8.8</v>
      </c>
      <c r="E79" s="10" t="n">
        <v>8.8</v>
      </c>
      <c r="F79" s="10" t="n">
        <f aca="false">IF(D79&lt;&gt;"",D79,IF(C79&lt;&gt;"",C79,""))</f>
        <v>8.8</v>
      </c>
      <c r="G79" s="10" t="n">
        <f aca="false">IF(AND(E79&lt;&gt;"",F79&lt;&gt;""),E79-F79,"")</f>
        <v>0</v>
      </c>
      <c r="H79" s="14" t="n">
        <f aca="false">IF(G79="","",IF(F79=0,"",G79/F79))</f>
        <v>0</v>
      </c>
      <c r="I79" s="15" t="str">
        <f aca="false">IF(E79="","SIN COMPRA",IF(F79="","NUEVO",IF(ROUND(G79,4)&gt;0,"SUBE",IF(ROUND(G79,4)&lt;0,"BAJA","IGUAL"))))</f>
        <v>IGUAL</v>
      </c>
      <c r="J79" s="14" t="n">
        <f aca="false">IF(AND(C79&lt;&gt;"",D79&lt;&gt;""),IF(C79=0,"",D79/C79-1),"")</f>
        <v>0</v>
      </c>
      <c r="K79" s="9"/>
    </row>
    <row r="80" customFormat="false" ht="15" hidden="false" customHeight="false" outlineLevel="0" collapsed="false">
      <c r="A80" s="9" t="s">
        <v>69</v>
      </c>
      <c r="B80" s="9" t="s">
        <v>84</v>
      </c>
      <c r="C80" s="10" t="n">
        <v>7</v>
      </c>
      <c r="D80" s="10"/>
      <c r="E80" s="10"/>
      <c r="F80" s="10" t="n">
        <f aca="false">IF(D80&lt;&gt;"",D80,IF(C80&lt;&gt;"",C80,""))</f>
        <v>7</v>
      </c>
      <c r="G80" s="10" t="str">
        <f aca="false">IF(AND(E80&lt;&gt;"",F80&lt;&gt;""),E80-F80,"")</f>
        <v/>
      </c>
      <c r="H80" s="14" t="str">
        <f aca="false">IF(G80="","",IF(F80=0,"",G80/F80))</f>
        <v/>
      </c>
      <c r="I80" s="15" t="str">
        <f aca="false">IF(E80="","SIN COMPRA",IF(F80="","NUEVO",IF(ROUND(G80,4)&gt;0,"SUBE",IF(ROUND(G80,4)&lt;0,"BAJA","IGUAL"))))</f>
        <v>SIN COMPRA</v>
      </c>
      <c r="J80" s="14" t="str">
        <f aca="false">IF(AND(C80&lt;&gt;"",D80&lt;&gt;""),IF(C80=0,"",D80/C80-1),"")</f>
        <v/>
      </c>
      <c r="K80" s="9"/>
    </row>
    <row r="81" customFormat="false" ht="15" hidden="false" customHeight="false" outlineLevel="0" collapsed="false">
      <c r="A81" s="9" t="s">
        <v>69</v>
      </c>
      <c r="B81" s="9" t="s">
        <v>85</v>
      </c>
      <c r="C81" s="10" t="n">
        <v>8.5</v>
      </c>
      <c r="D81" s="10"/>
      <c r="E81" s="10" t="n">
        <v>8.5</v>
      </c>
      <c r="F81" s="10" t="n">
        <f aca="false">IF(D81&lt;&gt;"",D81,IF(C81&lt;&gt;"",C81,""))</f>
        <v>8.5</v>
      </c>
      <c r="G81" s="10" t="n">
        <f aca="false">IF(AND(E81&lt;&gt;"",F81&lt;&gt;""),E81-F81,"")</f>
        <v>0</v>
      </c>
      <c r="H81" s="14" t="n">
        <f aca="false">IF(G81="","",IF(F81=0,"",G81/F81))</f>
        <v>0</v>
      </c>
      <c r="I81" s="15" t="str">
        <f aca="false">IF(E81="","SIN COMPRA",IF(F81="","NUEVO",IF(ROUND(G81,4)&gt;0,"SUBE",IF(ROUND(G81,4)&lt;0,"BAJA","IGUAL"))))</f>
        <v>IGUAL</v>
      </c>
      <c r="J81" s="14" t="str">
        <f aca="false">IF(AND(C81&lt;&gt;"",D81&lt;&gt;""),IF(C81=0,"",D81/C81-1),"")</f>
        <v/>
      </c>
      <c r="K81" s="9"/>
    </row>
    <row r="82" customFormat="false" ht="15" hidden="false" customHeight="false" outlineLevel="0" collapsed="false">
      <c r="A82" s="9" t="s">
        <v>69</v>
      </c>
      <c r="B82" s="9" t="s">
        <v>86</v>
      </c>
      <c r="C82" s="10" t="n">
        <v>6.5</v>
      </c>
      <c r="D82" s="10"/>
      <c r="E82" s="10"/>
      <c r="F82" s="10" t="n">
        <f aca="false">IF(D82&lt;&gt;"",D82,IF(C82&lt;&gt;"",C82,""))</f>
        <v>6.5</v>
      </c>
      <c r="G82" s="10" t="str">
        <f aca="false">IF(AND(E82&lt;&gt;"",F82&lt;&gt;""),E82-F82,"")</f>
        <v/>
      </c>
      <c r="H82" s="14" t="str">
        <f aca="false">IF(G82="","",IF(F82=0,"",G82/F82))</f>
        <v/>
      </c>
      <c r="I82" s="15" t="str">
        <f aca="false">IF(E82="","SIN COMPRA",IF(F82="","NUEVO",IF(ROUND(G82,4)&gt;0,"SUBE",IF(ROUND(G82,4)&lt;0,"BAJA","IGUAL"))))</f>
        <v>SIN COMPRA</v>
      </c>
      <c r="J82" s="14" t="str">
        <f aca="false">IF(AND(C82&lt;&gt;"",D82&lt;&gt;""),IF(C82=0,"",D82/C82-1),"")</f>
        <v/>
      </c>
      <c r="K82" s="9"/>
    </row>
    <row r="83" customFormat="false" ht="15" hidden="false" customHeight="false" outlineLevel="0" collapsed="false">
      <c r="A83" s="9" t="s">
        <v>69</v>
      </c>
      <c r="B83" s="9" t="s">
        <v>87</v>
      </c>
      <c r="C83" s="10" t="n">
        <v>7.5</v>
      </c>
      <c r="D83" s="10"/>
      <c r="E83" s="10"/>
      <c r="F83" s="10" t="n">
        <f aca="false">IF(D83&lt;&gt;"",D83,IF(C83&lt;&gt;"",C83,""))</f>
        <v>7.5</v>
      </c>
      <c r="G83" s="10" t="str">
        <f aca="false">IF(AND(E83&lt;&gt;"",F83&lt;&gt;""),E83-F83,"")</f>
        <v/>
      </c>
      <c r="H83" s="14" t="str">
        <f aca="false">IF(G83="","",IF(F83=0,"",G83/F83))</f>
        <v/>
      </c>
      <c r="I83" s="15" t="str">
        <f aca="false">IF(E83="","SIN COMPRA",IF(F83="","NUEVO",IF(ROUND(G83,4)&gt;0,"SUBE",IF(ROUND(G83,4)&lt;0,"BAJA","IGUAL"))))</f>
        <v>SIN COMPRA</v>
      </c>
      <c r="J83" s="14" t="str">
        <f aca="false">IF(AND(C83&lt;&gt;"",D83&lt;&gt;""),IF(C83=0,"",D83/C83-1),"")</f>
        <v/>
      </c>
      <c r="K83" s="9"/>
    </row>
    <row r="84" customFormat="false" ht="15" hidden="false" customHeight="false" outlineLevel="0" collapsed="false">
      <c r="A84" s="9" t="s">
        <v>69</v>
      </c>
      <c r="B84" s="9" t="s">
        <v>88</v>
      </c>
      <c r="C84" s="10" t="n">
        <v>3.5</v>
      </c>
      <c r="D84" s="10"/>
      <c r="E84" s="10" t="n">
        <v>3.5</v>
      </c>
      <c r="F84" s="10" t="n">
        <f aca="false">IF(D84&lt;&gt;"",D84,IF(C84&lt;&gt;"",C84,""))</f>
        <v>3.5</v>
      </c>
      <c r="G84" s="10" t="n">
        <f aca="false">IF(AND(E84&lt;&gt;"",F84&lt;&gt;""),E84-F84,"")</f>
        <v>0</v>
      </c>
      <c r="H84" s="14" t="n">
        <f aca="false">IF(G84="","",IF(F84=0,"",G84/F84))</f>
        <v>0</v>
      </c>
      <c r="I84" s="15" t="str">
        <f aca="false">IF(E84="","SIN COMPRA",IF(F84="","NUEVO",IF(ROUND(G84,4)&gt;0,"SUBE",IF(ROUND(G84,4)&lt;0,"BAJA","IGUAL"))))</f>
        <v>IGUAL</v>
      </c>
      <c r="J84" s="14" t="str">
        <f aca="false">IF(AND(C84&lt;&gt;"",D84&lt;&gt;""),IF(C84=0,"",D84/C84-1),"")</f>
        <v/>
      </c>
      <c r="K84" s="9"/>
    </row>
    <row r="85" customFormat="false" ht="15" hidden="false" customHeight="false" outlineLevel="0" collapsed="false">
      <c r="A85" s="9" t="s">
        <v>69</v>
      </c>
      <c r="B85" s="9" t="s">
        <v>89</v>
      </c>
      <c r="C85" s="10" t="n">
        <v>3.5</v>
      </c>
      <c r="D85" s="10" t="n">
        <v>3.5</v>
      </c>
      <c r="E85" s="10" t="n">
        <v>3.5</v>
      </c>
      <c r="F85" s="10" t="n">
        <f aca="false">IF(D85&lt;&gt;"",D85,IF(C85&lt;&gt;"",C85,""))</f>
        <v>3.5</v>
      </c>
      <c r="G85" s="10" t="n">
        <f aca="false">IF(AND(E85&lt;&gt;"",F85&lt;&gt;""),E85-F85,"")</f>
        <v>0</v>
      </c>
      <c r="H85" s="14" t="n">
        <f aca="false">IF(G85="","",IF(F85=0,"",G85/F85))</f>
        <v>0</v>
      </c>
      <c r="I85" s="15" t="str">
        <f aca="false">IF(E85="","SIN COMPRA",IF(F85="","NUEVO",IF(ROUND(G85,4)&gt;0,"SUBE",IF(ROUND(G85,4)&lt;0,"BAJA","IGUAL"))))</f>
        <v>IGUAL</v>
      </c>
      <c r="J85" s="14" t="n">
        <f aca="false">IF(AND(C85&lt;&gt;"",D85&lt;&gt;""),IF(C85=0,"",D85/C85-1),"")</f>
        <v>0</v>
      </c>
      <c r="K85" s="9"/>
    </row>
    <row r="86" customFormat="false" ht="15" hidden="false" customHeight="false" outlineLevel="0" collapsed="false">
      <c r="A86" s="9" t="s">
        <v>69</v>
      </c>
      <c r="B86" s="9" t="s">
        <v>90</v>
      </c>
      <c r="C86" s="10" t="n">
        <v>5</v>
      </c>
      <c r="D86" s="10"/>
      <c r="E86" s="10"/>
      <c r="F86" s="10" t="n">
        <f aca="false">IF(D86&lt;&gt;"",D86,IF(C86&lt;&gt;"",C86,""))</f>
        <v>5</v>
      </c>
      <c r="G86" s="10" t="str">
        <f aca="false">IF(AND(E86&lt;&gt;"",F86&lt;&gt;""),E86-F86,"")</f>
        <v/>
      </c>
      <c r="H86" s="14" t="str">
        <f aca="false">IF(G86="","",IF(F86=0,"",G86/F86))</f>
        <v/>
      </c>
      <c r="I86" s="15" t="str">
        <f aca="false">IF(E86="","SIN COMPRA",IF(F86="","NUEVO",IF(ROUND(G86,4)&gt;0,"SUBE",IF(ROUND(G86,4)&lt;0,"BAJA","IGUAL"))))</f>
        <v>SIN COMPRA</v>
      </c>
      <c r="J86" s="14" t="str">
        <f aca="false">IF(AND(C86&lt;&gt;"",D86&lt;&gt;""),IF(C86=0,"",D86/C86-1),"")</f>
        <v/>
      </c>
      <c r="K86" s="9"/>
    </row>
    <row r="87" customFormat="false" ht="15" hidden="false" customHeight="false" outlineLevel="0" collapsed="false">
      <c r="A87" s="9" t="s">
        <v>91</v>
      </c>
      <c r="B87" s="9" t="s">
        <v>92</v>
      </c>
      <c r="C87" s="10" t="n">
        <v>22</v>
      </c>
      <c r="D87" s="10"/>
      <c r="E87" s="10" t="n">
        <v>20</v>
      </c>
      <c r="F87" s="10" t="n">
        <f aca="false">IF(D87&lt;&gt;"",D87,IF(C87&lt;&gt;"",C87,""))</f>
        <v>22</v>
      </c>
      <c r="G87" s="10" t="n">
        <f aca="false">IF(AND(E87&lt;&gt;"",F87&lt;&gt;""),E87-F87,"")</f>
        <v>-2</v>
      </c>
      <c r="H87" s="14" t="n">
        <f aca="false">IF(G87="","",IF(F87=0,"",G87/F87))</f>
        <v>-0.0909090909090909</v>
      </c>
      <c r="I87" s="15" t="str">
        <f aca="false">IF(E87="","SIN COMPRA",IF(F87="","NUEVO",IF(ROUND(G87,4)&gt;0,"SUBE",IF(ROUND(G87,4)&lt;0,"BAJA","IGUAL"))))</f>
        <v>BAJA</v>
      </c>
      <c r="J87" s="14" t="str">
        <f aca="false">IF(AND(C87&lt;&gt;"",D87&lt;&gt;""),IF(C87=0,"",D87/C87-1),"")</f>
        <v/>
      </c>
      <c r="K87" s="9" t="s">
        <v>93</v>
      </c>
    </row>
    <row r="88" customFormat="false" ht="15" hidden="false" customHeight="false" outlineLevel="0" collapsed="false">
      <c r="A88" s="9" t="s">
        <v>91</v>
      </c>
      <c r="B88" s="9" t="s">
        <v>94</v>
      </c>
      <c r="C88" s="10" t="n">
        <v>26</v>
      </c>
      <c r="D88" s="10" t="n">
        <v>26</v>
      </c>
      <c r="E88" s="10"/>
      <c r="F88" s="10" t="n">
        <f aca="false">IF(D88&lt;&gt;"",D88,IF(C88&lt;&gt;"",C88,""))</f>
        <v>26</v>
      </c>
      <c r="G88" s="10" t="str">
        <f aca="false">IF(AND(E88&lt;&gt;"",F88&lt;&gt;""),E88-F88,"")</f>
        <v/>
      </c>
      <c r="H88" s="14" t="str">
        <f aca="false">IF(G88="","",IF(F88=0,"",G88/F88))</f>
        <v/>
      </c>
      <c r="I88" s="15" t="str">
        <f aca="false">IF(E88="","SIN COMPRA",IF(F88="","NUEVO",IF(ROUND(G88,4)&gt;0,"SUBE",IF(ROUND(G88,4)&lt;0,"BAJA","IGUAL"))))</f>
        <v>SIN COMPRA</v>
      </c>
      <c r="J88" s="14" t="n">
        <f aca="false">IF(AND(C88&lt;&gt;"",D88&lt;&gt;""),IF(C88=0,"",D88/C88-1),"")</f>
        <v>0</v>
      </c>
      <c r="K88" s="9" t="s">
        <v>27</v>
      </c>
    </row>
    <row r="89" customFormat="false" ht="15" hidden="false" customHeight="false" outlineLevel="0" collapsed="false">
      <c r="A89" s="9" t="s">
        <v>91</v>
      </c>
      <c r="B89" s="9" t="s">
        <v>95</v>
      </c>
      <c r="C89" s="10" t="n">
        <v>70</v>
      </c>
      <c r="D89" s="10" t="n">
        <v>70</v>
      </c>
      <c r="E89" s="10"/>
      <c r="F89" s="10" t="n">
        <f aca="false">IF(D89&lt;&gt;"",D89,IF(C89&lt;&gt;"",C89,""))</f>
        <v>70</v>
      </c>
      <c r="G89" s="10" t="str">
        <f aca="false">IF(AND(E89&lt;&gt;"",F89&lt;&gt;""),E89-F89,"")</f>
        <v/>
      </c>
      <c r="H89" s="14" t="str">
        <f aca="false">IF(G89="","",IF(F89=0,"",G89/F89))</f>
        <v/>
      </c>
      <c r="I89" s="15" t="str">
        <f aca="false">IF(E89="","SIN COMPRA",IF(F89="","NUEVO",IF(ROUND(G89,4)&gt;0,"SUBE",IF(ROUND(G89,4)&lt;0,"BAJA","IGUAL"))))</f>
        <v>SIN COMPRA</v>
      </c>
      <c r="J89" s="14" t="n">
        <f aca="false">IF(AND(C89&lt;&gt;"",D89&lt;&gt;""),IF(C89=0,"",D89/C89-1),"")</f>
        <v>0</v>
      </c>
      <c r="K89" s="9" t="s">
        <v>27</v>
      </c>
    </row>
    <row r="90" customFormat="false" ht="15" hidden="false" customHeight="false" outlineLevel="0" collapsed="false">
      <c r="A90" s="9" t="s">
        <v>91</v>
      </c>
      <c r="B90" s="9" t="s">
        <v>96</v>
      </c>
      <c r="C90" s="10" t="n">
        <v>26</v>
      </c>
      <c r="D90" s="10" t="n">
        <v>26</v>
      </c>
      <c r="E90" s="10" t="n">
        <v>26</v>
      </c>
      <c r="F90" s="10" t="n">
        <f aca="false">IF(D90&lt;&gt;"",D90,IF(C90&lt;&gt;"",C90,""))</f>
        <v>26</v>
      </c>
      <c r="G90" s="10" t="n">
        <f aca="false">IF(AND(E90&lt;&gt;"",F90&lt;&gt;""),E90-F90,"")</f>
        <v>0</v>
      </c>
      <c r="H90" s="14" t="n">
        <f aca="false">IF(G90="","",IF(F90=0,"",G90/F90))</f>
        <v>0</v>
      </c>
      <c r="I90" s="15" t="str">
        <f aca="false">IF(E90="","SIN COMPRA",IF(F90="","NUEVO",IF(ROUND(G90,4)&gt;0,"SUBE",IF(ROUND(G90,4)&lt;0,"BAJA","IGUAL"))))</f>
        <v>IGUAL</v>
      </c>
      <c r="J90" s="14" t="n">
        <f aca="false">IF(AND(C90&lt;&gt;"",D90&lt;&gt;""),IF(C90=0,"",D90/C90-1),"")</f>
        <v>0</v>
      </c>
      <c r="K90" s="9" t="s">
        <v>97</v>
      </c>
    </row>
    <row r="91" customFormat="false" ht="15" hidden="false" customHeight="false" outlineLevel="0" collapsed="false">
      <c r="A91" s="9" t="s">
        <v>91</v>
      </c>
      <c r="B91" s="9" t="s">
        <v>98</v>
      </c>
      <c r="C91" s="10" t="n">
        <v>59.7</v>
      </c>
      <c r="D91" s="10" t="n">
        <v>59.7</v>
      </c>
      <c r="E91" s="10" t="n">
        <v>59.6</v>
      </c>
      <c r="F91" s="10" t="n">
        <f aca="false">IF(D91&lt;&gt;"",D91,IF(C91&lt;&gt;"",C91,""))</f>
        <v>59.7</v>
      </c>
      <c r="G91" s="10" t="n">
        <f aca="false">IF(AND(E91&lt;&gt;"",F91&lt;&gt;""),E91-F91,"")</f>
        <v>-0.100000000000001</v>
      </c>
      <c r="H91" s="14" t="n">
        <f aca="false">IF(G91="","",IF(F91=0,"",G91/F91))</f>
        <v>-0.00167504187604692</v>
      </c>
      <c r="I91" s="15" t="str">
        <f aca="false">IF(E91="","SIN COMPRA",IF(F91="","NUEVO",IF(ROUND(G91,4)&gt;0,"SUBE",IF(ROUND(G91,4)&lt;0,"BAJA","IGUAL"))))</f>
        <v>BAJA</v>
      </c>
      <c r="J91" s="14" t="n">
        <f aca="false">IF(AND(C91&lt;&gt;"",D91&lt;&gt;""),IF(C91=0,"",D91/C91-1),"")</f>
        <v>0</v>
      </c>
      <c r="K91" s="9" t="s">
        <v>27</v>
      </c>
    </row>
    <row r="92" customFormat="false" ht="15" hidden="false" customHeight="false" outlineLevel="0" collapsed="false">
      <c r="A92" s="9" t="s">
        <v>99</v>
      </c>
      <c r="B92" s="9" t="s">
        <v>100</v>
      </c>
      <c r="C92" s="10" t="n">
        <v>17.73</v>
      </c>
      <c r="D92" s="10" t="n">
        <v>17.73</v>
      </c>
      <c r="E92" s="10" t="n">
        <v>17.73</v>
      </c>
      <c r="F92" s="10" t="n">
        <f aca="false">IF(D92&lt;&gt;"",D92,IF(C92&lt;&gt;"",C92,""))</f>
        <v>17.73</v>
      </c>
      <c r="G92" s="10" t="n">
        <f aca="false">IF(AND(E92&lt;&gt;"",F92&lt;&gt;""),E92-F92,"")</f>
        <v>0</v>
      </c>
      <c r="H92" s="14" t="n">
        <f aca="false">IF(G92="","",IF(F92=0,"",G92/F92))</f>
        <v>0</v>
      </c>
      <c r="I92" s="15" t="str">
        <f aca="false">IF(E92="","SIN COMPRA",IF(F92="","NUEVO",IF(ROUND(G92,4)&gt;0,"SUBE",IF(ROUND(G92,4)&lt;0,"BAJA","IGUAL"))))</f>
        <v>IGUAL</v>
      </c>
      <c r="J92" s="14" t="n">
        <f aca="false">IF(AND(C92&lt;&gt;"",D92&lt;&gt;""),IF(C92=0,"",D92/C92-1),"")</f>
        <v>0</v>
      </c>
      <c r="K92" s="9"/>
    </row>
    <row r="93" customFormat="false" ht="15" hidden="false" customHeight="false" outlineLevel="0" collapsed="false">
      <c r="A93" s="9" t="s">
        <v>99</v>
      </c>
      <c r="B93" s="9" t="s">
        <v>101</v>
      </c>
      <c r="C93" s="10" t="n">
        <v>88.09</v>
      </c>
      <c r="D93" s="10" t="n">
        <v>88.09</v>
      </c>
      <c r="E93" s="10" t="n">
        <v>88.09</v>
      </c>
      <c r="F93" s="10" t="n">
        <f aca="false">IF(D93&lt;&gt;"",D93,IF(C93&lt;&gt;"",C93,""))</f>
        <v>88.09</v>
      </c>
      <c r="G93" s="10" t="n">
        <f aca="false">IF(AND(E93&lt;&gt;"",F93&lt;&gt;""),E93-F93,"")</f>
        <v>0</v>
      </c>
      <c r="H93" s="14" t="n">
        <f aca="false">IF(G93="","",IF(F93=0,"",G93/F93))</f>
        <v>0</v>
      </c>
      <c r="I93" s="15" t="str">
        <f aca="false">IF(E93="","SIN COMPRA",IF(F93="","NUEVO",IF(ROUND(G93,4)&gt;0,"SUBE",IF(ROUND(G93,4)&lt;0,"BAJA","IGUAL"))))</f>
        <v>IGUAL</v>
      </c>
      <c r="J93" s="14" t="n">
        <f aca="false">IF(AND(C93&lt;&gt;"",D93&lt;&gt;""),IF(C93=0,"",D93/C93-1),"")</f>
        <v>0</v>
      </c>
      <c r="K93" s="9"/>
    </row>
    <row r="94" customFormat="false" ht="15" hidden="false" customHeight="false" outlineLevel="0" collapsed="false">
      <c r="A94" s="9" t="s">
        <v>99</v>
      </c>
      <c r="B94" s="9" t="s">
        <v>102</v>
      </c>
      <c r="C94" s="10" t="n">
        <v>11.48</v>
      </c>
      <c r="D94" s="10" t="n">
        <v>11.48</v>
      </c>
      <c r="E94" s="10" t="n">
        <v>11.48</v>
      </c>
      <c r="F94" s="10" t="n">
        <f aca="false">IF(D94&lt;&gt;"",D94,IF(C94&lt;&gt;"",C94,""))</f>
        <v>11.48</v>
      </c>
      <c r="G94" s="10" t="n">
        <f aca="false">IF(AND(E94&lt;&gt;"",F94&lt;&gt;""),E94-F94,"")</f>
        <v>0</v>
      </c>
      <c r="H94" s="14" t="n">
        <f aca="false">IF(G94="","",IF(F94=0,"",G94/F94))</f>
        <v>0</v>
      </c>
      <c r="I94" s="15" t="str">
        <f aca="false">IF(E94="","SIN COMPRA",IF(F94="","NUEVO",IF(ROUND(G94,4)&gt;0,"SUBE",IF(ROUND(G94,4)&lt;0,"BAJA","IGUAL"))))</f>
        <v>IGUAL</v>
      </c>
      <c r="J94" s="14" t="n">
        <f aca="false">IF(AND(C94&lt;&gt;"",D94&lt;&gt;""),IF(C94=0,"",D94/C94-1),"")</f>
        <v>0</v>
      </c>
      <c r="K94" s="9"/>
    </row>
    <row r="95" customFormat="false" ht="15" hidden="false" customHeight="false" outlineLevel="0" collapsed="false">
      <c r="A95" s="9" t="s">
        <v>99</v>
      </c>
      <c r="B95" s="9" t="s">
        <v>103</v>
      </c>
      <c r="C95" s="10" t="n">
        <v>25</v>
      </c>
      <c r="D95" s="10" t="n">
        <v>25</v>
      </c>
      <c r="E95" s="10"/>
      <c r="F95" s="10" t="n">
        <f aca="false">IF(D95&lt;&gt;"",D95,IF(C95&lt;&gt;"",C95,""))</f>
        <v>25</v>
      </c>
      <c r="G95" s="10" t="str">
        <f aca="false">IF(AND(E95&lt;&gt;"",F95&lt;&gt;""),E95-F95,"")</f>
        <v/>
      </c>
      <c r="H95" s="14" t="str">
        <f aca="false">IF(G95="","",IF(F95=0,"",G95/F95))</f>
        <v/>
      </c>
      <c r="I95" s="15" t="str">
        <f aca="false">IF(E95="","SIN COMPRA",IF(F95="","NUEVO",IF(ROUND(G95,4)&gt;0,"SUBE",IF(ROUND(G95,4)&lt;0,"BAJA","IGUAL"))))</f>
        <v>SIN COMPRA</v>
      </c>
      <c r="J95" s="14" t="n">
        <f aca="false">IF(AND(C95&lt;&gt;"",D95&lt;&gt;""),IF(C95=0,"",D95/C95-1),"")</f>
        <v>0</v>
      </c>
      <c r="K95" s="9"/>
    </row>
    <row r="96" customFormat="false" ht="15" hidden="false" customHeight="false" outlineLevel="0" collapsed="false">
      <c r="A96" s="9" t="s">
        <v>99</v>
      </c>
      <c r="B96" s="9" t="s">
        <v>104</v>
      </c>
      <c r="C96" s="10" t="n">
        <v>11.29</v>
      </c>
      <c r="D96" s="10" t="n">
        <v>11.29</v>
      </c>
      <c r="E96" s="10" t="n">
        <v>11.29</v>
      </c>
      <c r="F96" s="10" t="n">
        <f aca="false">IF(D96&lt;&gt;"",D96,IF(C96&lt;&gt;"",C96,""))</f>
        <v>11.29</v>
      </c>
      <c r="G96" s="10" t="n">
        <f aca="false">IF(AND(E96&lt;&gt;"",F96&lt;&gt;""),E96-F96,"")</f>
        <v>0</v>
      </c>
      <c r="H96" s="14" t="n">
        <f aca="false">IF(G96="","",IF(F96=0,"",G96/F96))</f>
        <v>0</v>
      </c>
      <c r="I96" s="15" t="str">
        <f aca="false">IF(E96="","SIN COMPRA",IF(F96="","NUEVO",IF(ROUND(G96,4)&gt;0,"SUBE",IF(ROUND(G96,4)&lt;0,"BAJA","IGUAL"))))</f>
        <v>IGUAL</v>
      </c>
      <c r="J96" s="14" t="n">
        <f aca="false">IF(AND(C96&lt;&gt;"",D96&lt;&gt;""),IF(C96=0,"",D96/C96-1),"")</f>
        <v>0</v>
      </c>
      <c r="K96" s="9"/>
    </row>
    <row r="97" customFormat="false" ht="15" hidden="false" customHeight="false" outlineLevel="0" collapsed="false">
      <c r="A97" s="9" t="s">
        <v>105</v>
      </c>
      <c r="B97" s="9" t="s">
        <v>106</v>
      </c>
      <c r="C97" s="10" t="n">
        <v>42.5</v>
      </c>
      <c r="D97" s="10" t="n">
        <v>42.5</v>
      </c>
      <c r="E97" s="10" t="n">
        <v>41.5</v>
      </c>
      <c r="F97" s="10" t="n">
        <f aca="false">IF(D97&lt;&gt;"",D97,IF(C97&lt;&gt;"",C97,""))</f>
        <v>42.5</v>
      </c>
      <c r="G97" s="10" t="n">
        <f aca="false">IF(AND(E97&lt;&gt;"",F97&lt;&gt;""),E97-F97,"")</f>
        <v>-1</v>
      </c>
      <c r="H97" s="14" t="n">
        <f aca="false">IF(G97="","",IF(F97=0,"",G97/F97))</f>
        <v>-0.0235294117647059</v>
      </c>
      <c r="I97" s="15" t="str">
        <f aca="false">IF(E97="","SIN COMPRA",IF(F97="","NUEVO",IF(ROUND(G97,4)&gt;0,"SUBE",IF(ROUND(G97,4)&lt;0,"BAJA","IGUAL"))))</f>
        <v>BAJA</v>
      </c>
      <c r="J97" s="14" t="n">
        <f aca="false">IF(AND(C97&lt;&gt;"",D97&lt;&gt;""),IF(C97=0,"",D97/C97-1),"")</f>
        <v>0</v>
      </c>
      <c r="K97" s="9" t="s">
        <v>107</v>
      </c>
    </row>
    <row r="98" customFormat="false" ht="15" hidden="false" customHeight="false" outlineLevel="0" collapsed="false">
      <c r="A98" s="9" t="s">
        <v>105</v>
      </c>
      <c r="B98" s="9" t="s">
        <v>108</v>
      </c>
      <c r="C98" s="10" t="n">
        <v>18.5</v>
      </c>
      <c r="D98" s="10" t="n">
        <v>18.5</v>
      </c>
      <c r="E98" s="10" t="n">
        <v>18.5</v>
      </c>
      <c r="F98" s="10" t="n">
        <f aca="false">IF(D98&lt;&gt;"",D98,IF(C98&lt;&gt;"",C98,""))</f>
        <v>18.5</v>
      </c>
      <c r="G98" s="10" t="n">
        <f aca="false">IF(AND(E98&lt;&gt;"",F98&lt;&gt;""),E98-F98,"")</f>
        <v>0</v>
      </c>
      <c r="H98" s="14" t="n">
        <f aca="false">IF(G98="","",IF(F98=0,"",G98/F98))</f>
        <v>0</v>
      </c>
      <c r="I98" s="15" t="str">
        <f aca="false">IF(E98="","SIN COMPRA",IF(F98="","NUEVO",IF(ROUND(G98,4)&gt;0,"SUBE",IF(ROUND(G98,4)&lt;0,"BAJA","IGUAL"))))</f>
        <v>IGUAL</v>
      </c>
      <c r="J98" s="14" t="n">
        <f aca="false">IF(AND(C98&lt;&gt;"",D98&lt;&gt;""),IF(C98=0,"",D98/C98-1),"")</f>
        <v>0</v>
      </c>
      <c r="K98" s="9"/>
    </row>
    <row r="99" customFormat="false" ht="15" hidden="false" customHeight="false" outlineLevel="0" collapsed="false">
      <c r="A99" s="9" t="s">
        <v>105</v>
      </c>
      <c r="B99" s="9" t="s">
        <v>109</v>
      </c>
      <c r="C99" s="10"/>
      <c r="D99" s="10"/>
      <c r="E99" s="10" t="n">
        <v>19</v>
      </c>
      <c r="F99" s="10" t="str">
        <f aca="false">IF(D99&lt;&gt;"",D99,IF(C99&lt;&gt;"",C99,""))</f>
        <v/>
      </c>
      <c r="G99" s="10" t="str">
        <f aca="false">IF(AND(E99&lt;&gt;"",F99&lt;&gt;""),E99-F99,"")</f>
        <v/>
      </c>
      <c r="H99" s="14" t="str">
        <f aca="false">IF(G99="","",IF(F99=0,"",G99/F99))</f>
        <v/>
      </c>
      <c r="I99" s="15" t="str">
        <f aca="false">IF(E99="","SIN COMPRA",IF(F99="","NUEVO",IF(ROUND(G99,4)&gt;0,"SUBE",IF(ROUND(G99,4)&lt;0,"BAJA","IGUAL"))))</f>
        <v>NUEVO</v>
      </c>
      <c r="J99" s="14" t="str">
        <f aca="false">IF(AND(C99&lt;&gt;"",D99&lt;&gt;""),IF(C99=0,"",D99/C99-1),"")</f>
        <v/>
      </c>
      <c r="K99" s="9"/>
    </row>
    <row r="100" customFormat="false" ht="15" hidden="false" customHeight="false" outlineLevel="0" collapsed="false">
      <c r="A100" s="9" t="s">
        <v>110</v>
      </c>
      <c r="B100" s="9" t="s">
        <v>111</v>
      </c>
      <c r="C100" s="10"/>
      <c r="D100" s="10" t="n">
        <v>11.42</v>
      </c>
      <c r="E100" s="10" t="n">
        <v>11.42</v>
      </c>
      <c r="F100" s="10" t="n">
        <f aca="false">IF(D100&lt;&gt;"",D100,IF(C100&lt;&gt;"",C100,""))</f>
        <v>11.42</v>
      </c>
      <c r="G100" s="10" t="n">
        <f aca="false">IF(AND(E100&lt;&gt;"",F100&lt;&gt;""),E100-F100,"")</f>
        <v>0</v>
      </c>
      <c r="H100" s="14" t="n">
        <f aca="false">IF(G100="","",IF(F100=0,"",G100/F100))</f>
        <v>0</v>
      </c>
      <c r="I100" s="15" t="str">
        <f aca="false">IF(E100="","SIN COMPRA",IF(F100="","NUEVO",IF(ROUND(G100,4)&gt;0,"SUBE",IF(ROUND(G100,4)&lt;0,"BAJA","IGUAL"))))</f>
        <v>IGUAL</v>
      </c>
      <c r="J100" s="14" t="str">
        <f aca="false">IF(AND(C100&lt;&gt;"",D100&lt;&gt;""),IF(C100=0,"",D100/C100-1),"")</f>
        <v/>
      </c>
      <c r="K100" s="9"/>
    </row>
    <row r="101" customFormat="false" ht="15" hidden="false" customHeight="false" outlineLevel="0" collapsed="false">
      <c r="A101" s="9" t="s">
        <v>110</v>
      </c>
      <c r="B101" s="9" t="s">
        <v>112</v>
      </c>
      <c r="C101" s="10"/>
      <c r="D101" s="10" t="n">
        <v>15.12</v>
      </c>
      <c r="E101" s="10" t="n">
        <v>15.12</v>
      </c>
      <c r="F101" s="10" t="n">
        <f aca="false">IF(D101&lt;&gt;"",D101,IF(C101&lt;&gt;"",C101,""))</f>
        <v>15.12</v>
      </c>
      <c r="G101" s="10" t="n">
        <f aca="false">IF(AND(E101&lt;&gt;"",F101&lt;&gt;""),E101-F101,"")</f>
        <v>0</v>
      </c>
      <c r="H101" s="14" t="n">
        <f aca="false">IF(G101="","",IF(F101=0,"",G101/F101))</f>
        <v>0</v>
      </c>
      <c r="I101" s="15" t="str">
        <f aca="false">IF(E101="","SIN COMPRA",IF(F101="","NUEVO",IF(ROUND(G101,4)&gt;0,"SUBE",IF(ROUND(G101,4)&lt;0,"BAJA","IGUAL"))))</f>
        <v>IGUAL</v>
      </c>
      <c r="J101" s="14" t="str">
        <f aca="false">IF(AND(C101&lt;&gt;"",D101&lt;&gt;""),IF(C101=0,"",D101/C101-1),"")</f>
        <v/>
      </c>
      <c r="K101" s="9"/>
    </row>
    <row r="102" customFormat="false" ht="15" hidden="false" customHeight="false" outlineLevel="0" collapsed="false">
      <c r="A102" s="9" t="s">
        <v>110</v>
      </c>
      <c r="B102" s="9" t="s">
        <v>113</v>
      </c>
      <c r="C102" s="10"/>
      <c r="D102" s="10" t="n">
        <v>14.12</v>
      </c>
      <c r="E102" s="10"/>
      <c r="F102" s="10" t="n">
        <f aca="false">IF(D102&lt;&gt;"",D102,IF(C102&lt;&gt;"",C102,""))</f>
        <v>14.12</v>
      </c>
      <c r="G102" s="10" t="str">
        <f aca="false">IF(AND(E102&lt;&gt;"",F102&lt;&gt;""),E102-F102,"")</f>
        <v/>
      </c>
      <c r="H102" s="14" t="str">
        <f aca="false">IF(G102="","",IF(F102=0,"",G102/F102))</f>
        <v/>
      </c>
      <c r="I102" s="15" t="str">
        <f aca="false">IF(E102="","SIN COMPRA",IF(F102="","NUEVO",IF(ROUND(G102,4)&gt;0,"SUBE",IF(ROUND(G102,4)&lt;0,"BAJA","IGUAL"))))</f>
        <v>SIN COMPRA</v>
      </c>
      <c r="J102" s="14" t="str">
        <f aca="false">IF(AND(C102&lt;&gt;"",D102&lt;&gt;""),IF(C102=0,"",D102/C102-1),"")</f>
        <v/>
      </c>
      <c r="K102" s="9"/>
    </row>
    <row r="103" customFormat="false" ht="15" hidden="false" customHeight="false" outlineLevel="0" collapsed="false">
      <c r="A103" s="9" t="s">
        <v>110</v>
      </c>
      <c r="B103" s="9" t="s">
        <v>114</v>
      </c>
      <c r="C103" s="10"/>
      <c r="D103" s="10" t="n">
        <v>9.02</v>
      </c>
      <c r="E103" s="10" t="n">
        <v>9.02</v>
      </c>
      <c r="F103" s="10" t="n">
        <f aca="false">IF(D103&lt;&gt;"",D103,IF(C103&lt;&gt;"",C103,""))</f>
        <v>9.02</v>
      </c>
      <c r="G103" s="10" t="n">
        <f aca="false">IF(AND(E103&lt;&gt;"",F103&lt;&gt;""),E103-F103,"")</f>
        <v>0</v>
      </c>
      <c r="H103" s="14" t="n">
        <f aca="false">IF(G103="","",IF(F103=0,"",G103/F103))</f>
        <v>0</v>
      </c>
      <c r="I103" s="15" t="str">
        <f aca="false">IF(E103="","SIN COMPRA",IF(F103="","NUEVO",IF(ROUND(G103,4)&gt;0,"SUBE",IF(ROUND(G103,4)&lt;0,"BAJA","IGUAL"))))</f>
        <v>IGUAL</v>
      </c>
      <c r="J103" s="14" t="str">
        <f aca="false">IF(AND(C103&lt;&gt;"",D103&lt;&gt;""),IF(C103=0,"",D103/C103-1),"")</f>
        <v/>
      </c>
      <c r="K103" s="9"/>
    </row>
    <row r="104" customFormat="false" ht="15" hidden="false" customHeight="false" outlineLevel="0" collapsed="false">
      <c r="A104" s="9" t="s">
        <v>110</v>
      </c>
      <c r="B104" s="9" t="s">
        <v>115</v>
      </c>
      <c r="C104" s="10"/>
      <c r="D104" s="10" t="n">
        <v>7.48</v>
      </c>
      <c r="E104" s="10"/>
      <c r="F104" s="10" t="n">
        <f aca="false">IF(D104&lt;&gt;"",D104,IF(C104&lt;&gt;"",C104,""))</f>
        <v>7.48</v>
      </c>
      <c r="G104" s="10" t="str">
        <f aca="false">IF(AND(E104&lt;&gt;"",F104&lt;&gt;""),E104-F104,"")</f>
        <v/>
      </c>
      <c r="H104" s="14" t="str">
        <f aca="false">IF(G104="","",IF(F104=0,"",G104/F104))</f>
        <v/>
      </c>
      <c r="I104" s="15" t="str">
        <f aca="false">IF(E104="","SIN COMPRA",IF(F104="","NUEVO",IF(ROUND(G104,4)&gt;0,"SUBE",IF(ROUND(G104,4)&lt;0,"BAJA","IGUAL"))))</f>
        <v>SIN COMPRA</v>
      </c>
      <c r="J104" s="14" t="str">
        <f aca="false">IF(AND(C104&lt;&gt;"",D104&lt;&gt;""),IF(C104=0,"",D104/C104-1),"")</f>
        <v/>
      </c>
      <c r="K104" s="9"/>
    </row>
    <row r="105" customFormat="false" ht="15" hidden="false" customHeight="false" outlineLevel="0" collapsed="false">
      <c r="A105" s="9" t="s">
        <v>110</v>
      </c>
      <c r="B105" s="9" t="s">
        <v>116</v>
      </c>
      <c r="C105" s="10"/>
      <c r="D105" s="10" t="n">
        <v>16.1</v>
      </c>
      <c r="E105" s="10" t="n">
        <v>16.1</v>
      </c>
      <c r="F105" s="10" t="n">
        <f aca="false">IF(D105&lt;&gt;"",D105,IF(C105&lt;&gt;"",C105,""))</f>
        <v>16.1</v>
      </c>
      <c r="G105" s="10" t="n">
        <f aca="false">IF(AND(E105&lt;&gt;"",F105&lt;&gt;""),E105-F105,"")</f>
        <v>0</v>
      </c>
      <c r="H105" s="14" t="n">
        <f aca="false">IF(G105="","",IF(F105=0,"",G105/F105))</f>
        <v>0</v>
      </c>
      <c r="I105" s="15" t="str">
        <f aca="false">IF(E105="","SIN COMPRA",IF(F105="","NUEVO",IF(ROUND(G105,4)&gt;0,"SUBE",IF(ROUND(G105,4)&lt;0,"BAJA","IGUAL"))))</f>
        <v>IGUAL</v>
      </c>
      <c r="J105" s="14" t="str">
        <f aca="false">IF(AND(C105&lt;&gt;"",D105&lt;&gt;""),IF(C105=0,"",D105/C105-1),"")</f>
        <v/>
      </c>
      <c r="K105" s="9"/>
    </row>
    <row r="106" customFormat="false" ht="15" hidden="false" customHeight="false" outlineLevel="0" collapsed="false">
      <c r="A106" s="9" t="s">
        <v>110</v>
      </c>
      <c r="B106" s="9" t="s">
        <v>117</v>
      </c>
      <c r="C106" s="10"/>
      <c r="D106" s="10" t="n">
        <v>18.03</v>
      </c>
      <c r="E106" s="10"/>
      <c r="F106" s="10" t="n">
        <f aca="false">IF(D106&lt;&gt;"",D106,IF(C106&lt;&gt;"",C106,""))</f>
        <v>18.03</v>
      </c>
      <c r="G106" s="10" t="str">
        <f aca="false">IF(AND(E106&lt;&gt;"",F106&lt;&gt;""),E106-F106,"")</f>
        <v/>
      </c>
      <c r="H106" s="14" t="str">
        <f aca="false">IF(G106="","",IF(F106=0,"",G106/F106))</f>
        <v/>
      </c>
      <c r="I106" s="15" t="str">
        <f aca="false">IF(E106="","SIN COMPRA",IF(F106="","NUEVO",IF(ROUND(G106,4)&gt;0,"SUBE",IF(ROUND(G106,4)&lt;0,"BAJA","IGUAL"))))</f>
        <v>SIN COMPRA</v>
      </c>
      <c r="J106" s="14" t="str">
        <f aca="false">IF(AND(C106&lt;&gt;"",D106&lt;&gt;""),IF(C106=0,"",D106/C106-1),"")</f>
        <v/>
      </c>
      <c r="K106" s="9"/>
    </row>
    <row r="107" customFormat="false" ht="15" hidden="false" customHeight="false" outlineLevel="0" collapsed="false">
      <c r="A107" s="9" t="s">
        <v>110</v>
      </c>
      <c r="B107" s="9" t="s">
        <v>118</v>
      </c>
      <c r="C107" s="10"/>
      <c r="D107" s="10" t="n">
        <v>7.03</v>
      </c>
      <c r="E107" s="10" t="n">
        <v>7.03</v>
      </c>
      <c r="F107" s="10" t="n">
        <f aca="false">IF(D107&lt;&gt;"",D107,IF(C107&lt;&gt;"",C107,""))</f>
        <v>7.03</v>
      </c>
      <c r="G107" s="10" t="n">
        <f aca="false">IF(AND(E107&lt;&gt;"",F107&lt;&gt;""),E107-F107,"")</f>
        <v>0</v>
      </c>
      <c r="H107" s="14" t="n">
        <f aca="false">IF(G107="","",IF(F107=0,"",G107/F107))</f>
        <v>0</v>
      </c>
      <c r="I107" s="15" t="str">
        <f aca="false">IF(E107="","SIN COMPRA",IF(F107="","NUEVO",IF(ROUND(G107,4)&gt;0,"SUBE",IF(ROUND(G107,4)&lt;0,"BAJA","IGUAL"))))</f>
        <v>IGUAL</v>
      </c>
      <c r="J107" s="14" t="str">
        <f aca="false">IF(AND(C107&lt;&gt;"",D107&lt;&gt;""),IF(C107=0,"",D107/C107-1),"")</f>
        <v/>
      </c>
      <c r="K107" s="9"/>
    </row>
    <row r="108" customFormat="false" ht="15" hidden="false" customHeight="false" outlineLevel="0" collapsed="false">
      <c r="A108" s="9" t="s">
        <v>110</v>
      </c>
      <c r="B108" s="9" t="s">
        <v>119</v>
      </c>
      <c r="C108" s="10"/>
      <c r="D108" s="10" t="n">
        <v>6.63</v>
      </c>
      <c r="E108" s="10"/>
      <c r="F108" s="10" t="n">
        <f aca="false">IF(D108&lt;&gt;"",D108,IF(C108&lt;&gt;"",C108,""))</f>
        <v>6.63</v>
      </c>
      <c r="G108" s="10" t="str">
        <f aca="false">IF(AND(E108&lt;&gt;"",F108&lt;&gt;""),E108-F108,"")</f>
        <v/>
      </c>
      <c r="H108" s="14" t="str">
        <f aca="false">IF(G108="","",IF(F108=0,"",G108/F108))</f>
        <v/>
      </c>
      <c r="I108" s="15" t="str">
        <f aca="false">IF(E108="","SIN COMPRA",IF(F108="","NUEVO",IF(ROUND(G108,4)&gt;0,"SUBE",IF(ROUND(G108,4)&lt;0,"BAJA","IGUAL"))))</f>
        <v>SIN COMPRA</v>
      </c>
      <c r="J108" s="14" t="str">
        <f aca="false">IF(AND(C108&lt;&gt;"",D108&lt;&gt;""),IF(C108=0,"",D108/C108-1),"")</f>
        <v/>
      </c>
      <c r="K108" s="9"/>
    </row>
    <row r="109" customFormat="false" ht="15" hidden="false" customHeight="false" outlineLevel="0" collapsed="false">
      <c r="A109" s="9" t="s">
        <v>110</v>
      </c>
      <c r="B109" s="9" t="s">
        <v>120</v>
      </c>
      <c r="C109" s="10"/>
      <c r="D109" s="10" t="n">
        <v>7.46</v>
      </c>
      <c r="E109" s="10"/>
      <c r="F109" s="10" t="n">
        <f aca="false">IF(D109&lt;&gt;"",D109,IF(C109&lt;&gt;"",C109,""))</f>
        <v>7.46</v>
      </c>
      <c r="G109" s="10" t="str">
        <f aca="false">IF(AND(E109&lt;&gt;"",F109&lt;&gt;""),E109-F109,"")</f>
        <v/>
      </c>
      <c r="H109" s="14" t="str">
        <f aca="false">IF(G109="","",IF(F109=0,"",G109/F109))</f>
        <v/>
      </c>
      <c r="I109" s="15" t="str">
        <f aca="false">IF(E109="","SIN COMPRA",IF(F109="","NUEVO",IF(ROUND(G109,4)&gt;0,"SUBE",IF(ROUND(G109,4)&lt;0,"BAJA","IGUAL"))))</f>
        <v>SIN COMPRA</v>
      </c>
      <c r="J109" s="14" t="str">
        <f aca="false">IF(AND(C109&lt;&gt;"",D109&lt;&gt;""),IF(C109=0,"",D109/C109-1),"")</f>
        <v/>
      </c>
      <c r="K109" s="9"/>
    </row>
    <row r="110" customFormat="false" ht="15" hidden="false" customHeight="false" outlineLevel="0" collapsed="false">
      <c r="A110" s="9" t="s">
        <v>110</v>
      </c>
      <c r="B110" s="9" t="s">
        <v>121</v>
      </c>
      <c r="C110" s="10"/>
      <c r="D110" s="10" t="n">
        <v>36.35</v>
      </c>
      <c r="E110" s="10"/>
      <c r="F110" s="10" t="n">
        <f aca="false">IF(D110&lt;&gt;"",D110,IF(C110&lt;&gt;"",C110,""))</f>
        <v>36.35</v>
      </c>
      <c r="G110" s="10" t="str">
        <f aca="false">IF(AND(E110&lt;&gt;"",F110&lt;&gt;""),E110-F110,"")</f>
        <v/>
      </c>
      <c r="H110" s="14" t="str">
        <f aca="false">IF(G110="","",IF(F110=0,"",G110/F110))</f>
        <v/>
      </c>
      <c r="I110" s="15" t="str">
        <f aca="false">IF(E110="","SIN COMPRA",IF(F110="","NUEVO",IF(ROUND(G110,4)&gt;0,"SUBE",IF(ROUND(G110,4)&lt;0,"BAJA","IGUAL"))))</f>
        <v>SIN COMPRA</v>
      </c>
      <c r="J110" s="14" t="str">
        <f aca="false">IF(AND(C110&lt;&gt;"",D110&lt;&gt;""),IF(C110=0,"",D110/C110-1),"")</f>
        <v/>
      </c>
      <c r="K110" s="9"/>
    </row>
    <row r="111" customFormat="false" ht="15" hidden="false" customHeight="false" outlineLevel="0" collapsed="false">
      <c r="A111" s="9" t="s">
        <v>110</v>
      </c>
      <c r="B111" s="9" t="s">
        <v>122</v>
      </c>
      <c r="C111" s="10"/>
      <c r="D111" s="10" t="n">
        <v>2.82</v>
      </c>
      <c r="E111" s="10" t="n">
        <v>2.82</v>
      </c>
      <c r="F111" s="10" t="n">
        <f aca="false">IF(D111&lt;&gt;"",D111,IF(C111&lt;&gt;"",C111,""))</f>
        <v>2.82</v>
      </c>
      <c r="G111" s="10" t="n">
        <f aca="false">IF(AND(E111&lt;&gt;"",F111&lt;&gt;""),E111-F111,"")</f>
        <v>0</v>
      </c>
      <c r="H111" s="14" t="n">
        <f aca="false">IF(G111="","",IF(F111=0,"",G111/F111))</f>
        <v>0</v>
      </c>
      <c r="I111" s="15" t="str">
        <f aca="false">IF(E111="","SIN COMPRA",IF(F111="","NUEVO",IF(ROUND(G111,4)&gt;0,"SUBE",IF(ROUND(G111,4)&lt;0,"BAJA","IGUAL"))))</f>
        <v>IGUAL</v>
      </c>
      <c r="J111" s="14" t="str">
        <f aca="false">IF(AND(C111&lt;&gt;"",D111&lt;&gt;""),IF(C111=0,"",D111/C111-1),"")</f>
        <v/>
      </c>
      <c r="K111" s="9"/>
    </row>
    <row r="112" customFormat="false" ht="15" hidden="false" customHeight="false" outlineLevel="0" collapsed="false">
      <c r="A112" s="9" t="s">
        <v>110</v>
      </c>
      <c r="B112" s="9" t="s">
        <v>123</v>
      </c>
      <c r="C112" s="10"/>
      <c r="D112" s="10" t="n">
        <v>9.78</v>
      </c>
      <c r="E112" s="10"/>
      <c r="F112" s="10" t="n">
        <f aca="false">IF(D112&lt;&gt;"",D112,IF(C112&lt;&gt;"",C112,""))</f>
        <v>9.78</v>
      </c>
      <c r="G112" s="10" t="str">
        <f aca="false">IF(AND(E112&lt;&gt;"",F112&lt;&gt;""),E112-F112,"")</f>
        <v/>
      </c>
      <c r="H112" s="14" t="str">
        <f aca="false">IF(G112="","",IF(F112=0,"",G112/F112))</f>
        <v/>
      </c>
      <c r="I112" s="15" t="str">
        <f aca="false">IF(E112="","SIN COMPRA",IF(F112="","NUEVO",IF(ROUND(G112,4)&gt;0,"SUBE",IF(ROUND(G112,4)&lt;0,"BAJA","IGUAL"))))</f>
        <v>SIN COMPRA</v>
      </c>
      <c r="J112" s="14" t="str">
        <f aca="false">IF(AND(C112&lt;&gt;"",D112&lt;&gt;""),IF(C112=0,"",D112/C112-1),"")</f>
        <v/>
      </c>
      <c r="K112" s="9"/>
    </row>
    <row r="113" customFormat="false" ht="15" hidden="false" customHeight="false" outlineLevel="0" collapsed="false">
      <c r="A113" s="9" t="s">
        <v>124</v>
      </c>
      <c r="B113" s="9" t="s">
        <v>125</v>
      </c>
      <c r="C113" s="10"/>
      <c r="D113" s="10"/>
      <c r="E113" s="10" t="n">
        <v>12.72</v>
      </c>
      <c r="F113" s="10" t="str">
        <f aca="false">IF(D113&lt;&gt;"",D113,IF(C113&lt;&gt;"",C113,""))</f>
        <v/>
      </c>
      <c r="G113" s="10" t="str">
        <f aca="false">IF(AND(E113&lt;&gt;"",F113&lt;&gt;""),E113-F113,"")</f>
        <v/>
      </c>
      <c r="H113" s="14" t="str">
        <f aca="false">IF(G113="","",IF(F113=0,"",G113/F113))</f>
        <v/>
      </c>
      <c r="I113" s="15" t="str">
        <f aca="false">IF(E113="","SIN COMPRA",IF(F113="","NUEVO",IF(ROUND(G113,4)&gt;0,"SUBE",IF(ROUND(G113,4)&lt;0,"BAJA","IGUAL"))))</f>
        <v>NUEVO</v>
      </c>
      <c r="J113" s="14" t="str">
        <f aca="false">IF(AND(C113&lt;&gt;"",D113&lt;&gt;""),IF(C113=0,"",D113/C113-1),"")</f>
        <v/>
      </c>
      <c r="K113" s="9"/>
    </row>
    <row r="114" customFormat="false" ht="15" hidden="false" customHeight="false" outlineLevel="0" collapsed="false">
      <c r="A114" s="9" t="s">
        <v>124</v>
      </c>
      <c r="B114" s="9" t="s">
        <v>126</v>
      </c>
      <c r="C114" s="10"/>
      <c r="D114" s="10"/>
      <c r="E114" s="10" t="n">
        <v>120.15</v>
      </c>
      <c r="F114" s="10" t="str">
        <f aca="false">IF(D114&lt;&gt;"",D114,IF(C114&lt;&gt;"",C114,""))</f>
        <v/>
      </c>
      <c r="G114" s="10" t="str">
        <f aca="false">IF(AND(E114&lt;&gt;"",F114&lt;&gt;""),E114-F114,"")</f>
        <v/>
      </c>
      <c r="H114" s="14" t="str">
        <f aca="false">IF(G114="","",IF(F114=0,"",G114/F114))</f>
        <v/>
      </c>
      <c r="I114" s="15" t="str">
        <f aca="false">IF(E114="","SIN COMPRA",IF(F114="","NUEVO",IF(ROUND(G114,4)&gt;0,"SUBE",IF(ROUND(G114,4)&lt;0,"BAJA","IGUAL"))))</f>
        <v>NUEVO</v>
      </c>
      <c r="J114" s="14" t="str">
        <f aca="false">IF(AND(C114&lt;&gt;"",D114&lt;&gt;""),IF(C114=0,"",D114/C114-1),"")</f>
        <v/>
      </c>
      <c r="K114" s="9"/>
    </row>
    <row r="115" customFormat="false" ht="15" hidden="false" customHeight="false" outlineLevel="0" collapsed="false">
      <c r="A115" s="9" t="s">
        <v>124</v>
      </c>
      <c r="B115" s="9" t="s">
        <v>127</v>
      </c>
      <c r="C115" s="10"/>
      <c r="D115" s="10"/>
      <c r="E115" s="10" t="n">
        <v>20.88</v>
      </c>
      <c r="F115" s="10" t="str">
        <f aca="false">IF(D115&lt;&gt;"",D115,IF(C115&lt;&gt;"",C115,""))</f>
        <v/>
      </c>
      <c r="G115" s="10" t="str">
        <f aca="false">IF(AND(E115&lt;&gt;"",F115&lt;&gt;""),E115-F115,"")</f>
        <v/>
      </c>
      <c r="H115" s="14" t="str">
        <f aca="false">IF(G115="","",IF(F115=0,"",G115/F115))</f>
        <v/>
      </c>
      <c r="I115" s="15" t="str">
        <f aca="false">IF(E115="","SIN COMPRA",IF(F115="","NUEVO",IF(ROUND(G115,4)&gt;0,"SUBE",IF(ROUND(G115,4)&lt;0,"BAJA","IGUAL"))))</f>
        <v>NUEVO</v>
      </c>
      <c r="J115" s="14" t="str">
        <f aca="false">IF(AND(C115&lt;&gt;"",D115&lt;&gt;""),IF(C115=0,"",D115/C115-1),"")</f>
        <v/>
      </c>
      <c r="K115" s="9"/>
    </row>
    <row r="116" customFormat="false" ht="15" hidden="false" customHeight="false" outlineLevel="0" collapsed="false">
      <c r="A116" s="9" t="s">
        <v>124</v>
      </c>
      <c r="B116" s="9" t="s">
        <v>128</v>
      </c>
      <c r="C116" s="10"/>
      <c r="D116" s="10"/>
      <c r="E116" s="10" t="n">
        <v>20.88</v>
      </c>
      <c r="F116" s="10" t="str">
        <f aca="false">IF(D116&lt;&gt;"",D116,IF(C116&lt;&gt;"",C116,""))</f>
        <v/>
      </c>
      <c r="G116" s="10" t="str">
        <f aca="false">IF(AND(E116&lt;&gt;"",F116&lt;&gt;""),E116-F116,"")</f>
        <v/>
      </c>
      <c r="H116" s="14" t="str">
        <f aca="false">IF(G116="","",IF(F116=0,"",G116/F116))</f>
        <v/>
      </c>
      <c r="I116" s="15" t="str">
        <f aca="false">IF(E116="","SIN COMPRA",IF(F116="","NUEVO",IF(ROUND(G116,4)&gt;0,"SUBE",IF(ROUND(G116,4)&lt;0,"BAJA","IGUAL"))))</f>
        <v>NUEVO</v>
      </c>
      <c r="J116" s="14" t="str">
        <f aca="false">IF(AND(C116&lt;&gt;"",D116&lt;&gt;""),IF(C116=0,"",D116/C116-1),"")</f>
        <v/>
      </c>
      <c r="K116" s="9"/>
    </row>
    <row r="117" customFormat="false" ht="15" hidden="false" customHeight="false" outlineLevel="0" collapsed="false">
      <c r="A117" s="9" t="s">
        <v>124</v>
      </c>
      <c r="B117" s="9" t="s">
        <v>129</v>
      </c>
      <c r="C117" s="10"/>
      <c r="D117" s="10"/>
      <c r="E117" s="10" t="n">
        <v>26.8</v>
      </c>
      <c r="F117" s="10" t="str">
        <f aca="false">IF(D117&lt;&gt;"",D117,IF(C117&lt;&gt;"",C117,""))</f>
        <v/>
      </c>
      <c r="G117" s="10" t="str">
        <f aca="false">IF(AND(E117&lt;&gt;"",F117&lt;&gt;""),E117-F117,"")</f>
        <v/>
      </c>
      <c r="H117" s="14" t="str">
        <f aca="false">IF(G117="","",IF(F117=0,"",G117/F117))</f>
        <v/>
      </c>
      <c r="I117" s="15" t="str">
        <f aca="false">IF(E117="","SIN COMPRA",IF(F117="","NUEVO",IF(ROUND(G117,4)&gt;0,"SUBE",IF(ROUND(G117,4)&lt;0,"BAJA","IGUAL"))))</f>
        <v>NUEVO</v>
      </c>
      <c r="J117" s="14" t="str">
        <f aca="false">IF(AND(C117&lt;&gt;"",D117&lt;&gt;""),IF(C117=0,"",D117/C117-1),"")</f>
        <v/>
      </c>
      <c r="K117" s="9"/>
    </row>
    <row r="118" customFormat="false" ht="15" hidden="false" customHeight="false" outlineLevel="0" collapsed="false">
      <c r="A118" s="9" t="s">
        <v>130</v>
      </c>
      <c r="B118" s="9" t="s">
        <v>131</v>
      </c>
      <c r="C118" s="10" t="n">
        <v>37</v>
      </c>
      <c r="D118" s="10"/>
      <c r="E118" s="10" t="n">
        <v>37</v>
      </c>
      <c r="F118" s="10" t="n">
        <f aca="false">IF(D118&lt;&gt;"",D118,IF(C118&lt;&gt;"",C118,""))</f>
        <v>37</v>
      </c>
      <c r="G118" s="10" t="n">
        <f aca="false">IF(AND(E118&lt;&gt;"",F118&lt;&gt;""),E118-F118,"")</f>
        <v>0</v>
      </c>
      <c r="H118" s="14" t="n">
        <f aca="false">IF(G118="","",IF(F118=0,"",G118/F118))</f>
        <v>0</v>
      </c>
      <c r="I118" s="15" t="str">
        <f aca="false">IF(E118="","SIN COMPRA",IF(F118="","NUEVO",IF(ROUND(G118,4)&gt;0,"SUBE",IF(ROUND(G118,4)&lt;0,"BAJA","IGUAL"))))</f>
        <v>IGUAL</v>
      </c>
      <c r="J118" s="14" t="str">
        <f aca="false">IF(AND(C118&lt;&gt;"",D118&lt;&gt;""),IF(C118=0,"",D118/C118-1),"")</f>
        <v/>
      </c>
      <c r="K118" s="9"/>
    </row>
    <row r="119" customFormat="false" ht="15" hidden="false" customHeight="false" outlineLevel="0" collapsed="false">
      <c r="A119" s="9" t="s">
        <v>130</v>
      </c>
      <c r="B119" s="9" t="s">
        <v>132</v>
      </c>
      <c r="C119" s="10" t="n">
        <v>35</v>
      </c>
      <c r="D119" s="10"/>
      <c r="E119" s="10" t="n">
        <v>35</v>
      </c>
      <c r="F119" s="10" t="n">
        <f aca="false">IF(D119&lt;&gt;"",D119,IF(C119&lt;&gt;"",C119,""))</f>
        <v>35</v>
      </c>
      <c r="G119" s="10" t="n">
        <f aca="false">IF(AND(E119&lt;&gt;"",F119&lt;&gt;""),E119-F119,"")</f>
        <v>0</v>
      </c>
      <c r="H119" s="14" t="n">
        <f aca="false">IF(G119="","",IF(F119=0,"",G119/F119))</f>
        <v>0</v>
      </c>
      <c r="I119" s="15" t="str">
        <f aca="false">IF(E119="","SIN COMPRA",IF(F119="","NUEVO",IF(ROUND(G119,4)&gt;0,"SUBE",IF(ROUND(G119,4)&lt;0,"BAJA","IGUAL"))))</f>
        <v>IGUAL</v>
      </c>
      <c r="J119" s="14" t="str">
        <f aca="false">IF(AND(C119&lt;&gt;"",D119&lt;&gt;""),IF(C119=0,"",D119/C119-1),"")</f>
        <v/>
      </c>
      <c r="K119" s="9"/>
    </row>
    <row r="120" customFormat="false" ht="15" hidden="false" customHeight="false" outlineLevel="0" collapsed="false">
      <c r="A120" s="9" t="s">
        <v>133</v>
      </c>
      <c r="B120" s="9" t="s">
        <v>134</v>
      </c>
      <c r="C120" s="10" t="n">
        <v>48.6</v>
      </c>
      <c r="D120" s="10" t="n">
        <v>48.6</v>
      </c>
      <c r="E120" s="10" t="n">
        <v>51</v>
      </c>
      <c r="F120" s="10" t="n">
        <f aca="false">IF(D120&lt;&gt;"",D120,IF(C120&lt;&gt;"",C120,""))</f>
        <v>48.6</v>
      </c>
      <c r="G120" s="10" t="n">
        <f aca="false">IF(AND(E120&lt;&gt;"",F120&lt;&gt;""),E120-F120,"")</f>
        <v>2.4</v>
      </c>
      <c r="H120" s="14" t="n">
        <f aca="false">IF(G120="","",IF(F120=0,"",G120/F120))</f>
        <v>0.0493827160493827</v>
      </c>
      <c r="I120" s="15" t="str">
        <f aca="false">IF(E120="","SIN COMPRA",IF(F120="","NUEVO",IF(ROUND(G120,4)&gt;0,"SUBE",IF(ROUND(G120,4)&lt;0,"BAJA","IGUAL"))))</f>
        <v>SUBE</v>
      </c>
      <c r="J120" s="14" t="n">
        <f aca="false">IF(AND(C120&lt;&gt;"",D120&lt;&gt;""),IF(C120=0,"",D120/C120-1),"")</f>
        <v>0</v>
      </c>
      <c r="K120" s="9" t="s">
        <v>135</v>
      </c>
    </row>
    <row r="121" customFormat="false" ht="15" hidden="false" customHeight="false" outlineLevel="0" collapsed="false">
      <c r="A121" s="9" t="s">
        <v>133</v>
      </c>
      <c r="B121" s="9" t="s">
        <v>136</v>
      </c>
      <c r="C121" s="10" t="n">
        <v>2.3</v>
      </c>
      <c r="D121" s="10"/>
      <c r="E121" s="10" t="n">
        <v>2.3</v>
      </c>
      <c r="F121" s="10" t="n">
        <f aca="false">IF(D121&lt;&gt;"",D121,IF(C121&lt;&gt;"",C121,""))</f>
        <v>2.3</v>
      </c>
      <c r="G121" s="10" t="n">
        <f aca="false">IF(AND(E121&lt;&gt;"",F121&lt;&gt;""),E121-F121,"")</f>
        <v>0</v>
      </c>
      <c r="H121" s="14" t="n">
        <f aca="false">IF(G121="","",IF(F121=0,"",G121/F121))</f>
        <v>0</v>
      </c>
      <c r="I121" s="15" t="str">
        <f aca="false">IF(E121="","SIN COMPRA",IF(F121="","NUEVO",IF(ROUND(G121,4)&gt;0,"SUBE",IF(ROUND(G121,4)&lt;0,"BAJA","IGUAL"))))</f>
        <v>IGUAL</v>
      </c>
      <c r="J121" s="14" t="str">
        <f aca="false">IF(AND(C121&lt;&gt;"",D121&lt;&gt;""),IF(C121=0,"",D121/C121-1),"")</f>
        <v/>
      </c>
      <c r="K121" s="9"/>
    </row>
    <row r="122" customFormat="false" ht="15" hidden="false" customHeight="false" outlineLevel="0" collapsed="false">
      <c r="A122" s="9" t="s">
        <v>133</v>
      </c>
      <c r="B122" s="9" t="s">
        <v>137</v>
      </c>
      <c r="C122" s="10" t="n">
        <v>22</v>
      </c>
      <c r="D122" s="10" t="n">
        <v>22</v>
      </c>
      <c r="E122" s="10"/>
      <c r="F122" s="10" t="n">
        <f aca="false">IF(D122&lt;&gt;"",D122,IF(C122&lt;&gt;"",C122,""))</f>
        <v>22</v>
      </c>
      <c r="G122" s="10" t="str">
        <f aca="false">IF(AND(E122&lt;&gt;"",F122&lt;&gt;""),E122-F122,"")</f>
        <v/>
      </c>
      <c r="H122" s="14" t="str">
        <f aca="false">IF(G122="","",IF(F122=0,"",G122/F122))</f>
        <v/>
      </c>
      <c r="I122" s="15" t="str">
        <f aca="false">IF(E122="","SIN COMPRA",IF(F122="","NUEVO",IF(ROUND(G122,4)&gt;0,"SUBE",IF(ROUND(G122,4)&lt;0,"BAJA","IGUAL"))))</f>
        <v>SIN COMPRA</v>
      </c>
      <c r="J122" s="14" t="n">
        <f aca="false">IF(AND(C122&lt;&gt;"",D122&lt;&gt;""),IF(C122=0,"",D122/C122-1),"")</f>
        <v>0</v>
      </c>
      <c r="K122" s="9"/>
    </row>
    <row r="123" customFormat="false" ht="15" hidden="false" customHeight="false" outlineLevel="0" collapsed="false">
      <c r="A123" s="9" t="s">
        <v>133</v>
      </c>
      <c r="B123" s="9" t="s">
        <v>138</v>
      </c>
      <c r="C123" s="10"/>
      <c r="D123" s="10"/>
      <c r="E123" s="10" t="n">
        <v>22</v>
      </c>
      <c r="F123" s="10" t="str">
        <f aca="false">IF(D123&lt;&gt;"",D123,IF(C123&lt;&gt;"",C123,""))</f>
        <v/>
      </c>
      <c r="G123" s="10" t="str">
        <f aca="false">IF(AND(E123&lt;&gt;"",F123&lt;&gt;""),E123-F123,"")</f>
        <v/>
      </c>
      <c r="H123" s="14" t="str">
        <f aca="false">IF(G123="","",IF(F123=0,"",G123/F123))</f>
        <v/>
      </c>
      <c r="I123" s="15" t="str">
        <f aca="false">IF(E123="","SIN COMPRA",IF(F123="","NUEVO",IF(ROUND(G123,4)&gt;0,"SUBE",IF(ROUND(G123,4)&lt;0,"BAJA","IGUAL"))))</f>
        <v>NUEVO</v>
      </c>
      <c r="J123" s="14" t="str">
        <f aca="false">IF(AND(C123&lt;&gt;"",D123&lt;&gt;""),IF(C123=0,"",D123/C123-1),"")</f>
        <v/>
      </c>
      <c r="K123" s="9"/>
    </row>
    <row r="124" customFormat="false" ht="15" hidden="false" customHeight="false" outlineLevel="0" collapsed="false">
      <c r="A124" s="9" t="s">
        <v>139</v>
      </c>
      <c r="B124" s="9" t="s">
        <v>140</v>
      </c>
      <c r="C124" s="10" t="n">
        <v>22.9</v>
      </c>
      <c r="D124" s="10" t="n">
        <v>22.9</v>
      </c>
      <c r="E124" s="10" t="n">
        <v>22.9</v>
      </c>
      <c r="F124" s="10" t="n">
        <f aca="false">IF(D124&lt;&gt;"",D124,IF(C124&lt;&gt;"",C124,""))</f>
        <v>22.9</v>
      </c>
      <c r="G124" s="10" t="n">
        <f aca="false">IF(AND(E124&lt;&gt;"",F124&lt;&gt;""),E124-F124,"")</f>
        <v>0</v>
      </c>
      <c r="H124" s="14" t="n">
        <f aca="false">IF(G124="","",IF(F124=0,"",G124/F124))</f>
        <v>0</v>
      </c>
      <c r="I124" s="15" t="str">
        <f aca="false">IF(E124="","SIN COMPRA",IF(F124="","NUEVO",IF(ROUND(G124,4)&gt;0,"SUBE",IF(ROUND(G124,4)&lt;0,"BAJA","IGUAL"))))</f>
        <v>IGUAL</v>
      </c>
      <c r="J124" s="14" t="n">
        <f aca="false">IF(AND(C124&lt;&gt;"",D124&lt;&gt;""),IF(C124=0,"",D124/C124-1),"")</f>
        <v>0</v>
      </c>
      <c r="K124" s="9"/>
    </row>
    <row r="125" customFormat="false" ht="15" hidden="false" customHeight="false" outlineLevel="0" collapsed="false">
      <c r="A125" s="9" t="s">
        <v>141</v>
      </c>
      <c r="B125" s="9" t="s">
        <v>142</v>
      </c>
      <c r="C125" s="10" t="n">
        <v>10.5</v>
      </c>
      <c r="D125" s="10" t="n">
        <v>9.8</v>
      </c>
      <c r="E125" s="10"/>
      <c r="F125" s="10" t="n">
        <f aca="false">IF(D125&lt;&gt;"",D125,IF(C125&lt;&gt;"",C125,""))</f>
        <v>9.8</v>
      </c>
      <c r="G125" s="10" t="str">
        <f aca="false">IF(AND(E125&lt;&gt;"",F125&lt;&gt;""),E125-F125,"")</f>
        <v/>
      </c>
      <c r="H125" s="14" t="str">
        <f aca="false">IF(G125="","",IF(F125=0,"",G125/F125))</f>
        <v/>
      </c>
      <c r="I125" s="15" t="str">
        <f aca="false">IF(E125="","SIN COMPRA",IF(F125="","NUEVO",IF(ROUND(G125,4)&gt;0,"SUBE",IF(ROUND(G125,4)&lt;0,"BAJA","IGUAL"))))</f>
        <v>SIN COMPRA</v>
      </c>
      <c r="J125" s="14" t="n">
        <f aca="false">IF(AND(C125&lt;&gt;"",D125&lt;&gt;""),IF(C125=0,"",D125/C125-1),"")</f>
        <v>-0.0666666666666667</v>
      </c>
      <c r="K125" s="9" t="s">
        <v>143</v>
      </c>
    </row>
    <row r="126" customFormat="false" ht="15" hidden="false" customHeight="false" outlineLevel="0" collapsed="false">
      <c r="A126" s="9" t="s">
        <v>141</v>
      </c>
      <c r="B126" s="9" t="s">
        <v>144</v>
      </c>
      <c r="C126" s="10" t="n">
        <v>2.5</v>
      </c>
      <c r="D126" s="10" t="n">
        <v>2.5</v>
      </c>
      <c r="E126" s="10"/>
      <c r="F126" s="10" t="n">
        <f aca="false">IF(D126&lt;&gt;"",D126,IF(C126&lt;&gt;"",C126,""))</f>
        <v>2.5</v>
      </c>
      <c r="G126" s="10" t="str">
        <f aca="false">IF(AND(E126&lt;&gt;"",F126&lt;&gt;""),E126-F126,"")</f>
        <v/>
      </c>
      <c r="H126" s="14" t="str">
        <f aca="false">IF(G126="","",IF(F126=0,"",G126/F126))</f>
        <v/>
      </c>
      <c r="I126" s="15" t="str">
        <f aca="false">IF(E126="","SIN COMPRA",IF(F126="","NUEVO",IF(ROUND(G126,4)&gt;0,"SUBE",IF(ROUND(G126,4)&lt;0,"BAJA","IGUAL"))))</f>
        <v>SIN COMPRA</v>
      </c>
      <c r="J126" s="14" t="n">
        <f aca="false">IF(AND(C126&lt;&gt;"",D126&lt;&gt;""),IF(C126=0,"",D126/C126-1),"")</f>
        <v>0</v>
      </c>
      <c r="K126" s="9" t="s">
        <v>27</v>
      </c>
    </row>
    <row r="127" customFormat="false" ht="15" hidden="false" customHeight="false" outlineLevel="0" collapsed="false">
      <c r="A127" s="9" t="s">
        <v>141</v>
      </c>
      <c r="B127" s="9" t="s">
        <v>145</v>
      </c>
      <c r="C127" s="10" t="n">
        <v>1.4</v>
      </c>
      <c r="D127" s="10" t="n">
        <v>1.4</v>
      </c>
      <c r="E127" s="10"/>
      <c r="F127" s="10" t="n">
        <f aca="false">IF(D127&lt;&gt;"",D127,IF(C127&lt;&gt;"",C127,""))</f>
        <v>1.4</v>
      </c>
      <c r="G127" s="10" t="str">
        <f aca="false">IF(AND(E127&lt;&gt;"",F127&lt;&gt;""),E127-F127,"")</f>
        <v/>
      </c>
      <c r="H127" s="14" t="str">
        <f aca="false">IF(G127="","",IF(F127=0,"",G127/F127))</f>
        <v/>
      </c>
      <c r="I127" s="15" t="str">
        <f aca="false">IF(E127="","SIN COMPRA",IF(F127="","NUEVO",IF(ROUND(G127,4)&gt;0,"SUBE",IF(ROUND(G127,4)&lt;0,"BAJA","IGUAL"))))</f>
        <v>SIN COMPRA</v>
      </c>
      <c r="J127" s="14" t="n">
        <f aca="false">IF(AND(C127&lt;&gt;"",D127&lt;&gt;""),IF(C127=0,"",D127/C127-1),"")</f>
        <v>0</v>
      </c>
      <c r="K127" s="9" t="s">
        <v>146</v>
      </c>
    </row>
    <row r="128" customFormat="false" ht="15" hidden="false" customHeight="false" outlineLevel="0" collapsed="false">
      <c r="A128" s="9" t="s">
        <v>141</v>
      </c>
      <c r="B128" s="9" t="s">
        <v>147</v>
      </c>
      <c r="C128" s="10" t="n">
        <v>2.1</v>
      </c>
      <c r="D128" s="10" t="n">
        <v>2</v>
      </c>
      <c r="E128" s="10" t="n">
        <v>2.2</v>
      </c>
      <c r="F128" s="10" t="n">
        <f aca="false">IF(D128&lt;&gt;"",D128,IF(C128&lt;&gt;"",C128,""))</f>
        <v>2</v>
      </c>
      <c r="G128" s="10" t="n">
        <f aca="false">IF(AND(E128&lt;&gt;"",F128&lt;&gt;""),E128-F128,"")</f>
        <v>0.2</v>
      </c>
      <c r="H128" s="14" t="n">
        <f aca="false">IF(G128="","",IF(F128=0,"",G128/F128))</f>
        <v>0.1</v>
      </c>
      <c r="I128" s="15" t="str">
        <f aca="false">IF(E128="","SIN COMPRA",IF(F128="","NUEVO",IF(ROUND(G128,4)&gt;0,"SUBE",IF(ROUND(G128,4)&lt;0,"BAJA","IGUAL"))))</f>
        <v>SUBE</v>
      </c>
      <c r="J128" s="14" t="n">
        <f aca="false">IF(AND(C128&lt;&gt;"",D128&lt;&gt;""),IF(C128=0,"",D128/C128-1),"")</f>
        <v>-0.0476190476190477</v>
      </c>
      <c r="K128" s="9" t="s">
        <v>148</v>
      </c>
    </row>
    <row r="129" customFormat="false" ht="15" hidden="false" customHeight="false" outlineLevel="0" collapsed="false">
      <c r="A129" s="9" t="s">
        <v>141</v>
      </c>
      <c r="B129" s="9" t="s">
        <v>149</v>
      </c>
      <c r="C129" s="10"/>
      <c r="D129" s="10" t="n">
        <v>2.35</v>
      </c>
      <c r="E129" s="10"/>
      <c r="F129" s="10" t="n">
        <f aca="false">IF(D129&lt;&gt;"",D129,IF(C129&lt;&gt;"",C129,""))</f>
        <v>2.35</v>
      </c>
      <c r="G129" s="10" t="str">
        <f aca="false">IF(AND(E129&lt;&gt;"",F129&lt;&gt;""),E129-F129,"")</f>
        <v/>
      </c>
      <c r="H129" s="14" t="str">
        <f aca="false">IF(G129="","",IF(F129=0,"",G129/F129))</f>
        <v/>
      </c>
      <c r="I129" s="15" t="str">
        <f aca="false">IF(E129="","SIN COMPRA",IF(F129="","NUEVO",IF(ROUND(G129,4)&gt;0,"SUBE",IF(ROUND(G129,4)&lt;0,"BAJA","IGUAL"))))</f>
        <v>SIN COMPRA</v>
      </c>
      <c r="J129" s="14" t="str">
        <f aca="false">IF(AND(C129&lt;&gt;"",D129&lt;&gt;""),IF(C129=0,"",D129/C129-1),"")</f>
        <v/>
      </c>
      <c r="K129" s="9" t="s">
        <v>27</v>
      </c>
    </row>
    <row r="130" customFormat="false" ht="15" hidden="false" customHeight="false" outlineLevel="0" collapsed="false">
      <c r="A130" s="9" t="s">
        <v>141</v>
      </c>
      <c r="B130" s="9" t="s">
        <v>150</v>
      </c>
      <c r="C130" s="10" t="n">
        <v>2.4</v>
      </c>
      <c r="D130" s="10"/>
      <c r="E130" s="10"/>
      <c r="F130" s="10" t="n">
        <f aca="false">IF(D130&lt;&gt;"",D130,IF(C130&lt;&gt;"",C130,""))</f>
        <v>2.4</v>
      </c>
      <c r="G130" s="10" t="str">
        <f aca="false">IF(AND(E130&lt;&gt;"",F130&lt;&gt;""),E130-F130,"")</f>
        <v/>
      </c>
      <c r="H130" s="14" t="str">
        <f aca="false">IF(G130="","",IF(F130=0,"",G130/F130))</f>
        <v/>
      </c>
      <c r="I130" s="15" t="str">
        <f aca="false">IF(E130="","SIN COMPRA",IF(F130="","NUEVO",IF(ROUND(G130,4)&gt;0,"SUBE",IF(ROUND(G130,4)&lt;0,"BAJA","IGUAL"))))</f>
        <v>SIN COMPRA</v>
      </c>
      <c r="J130" s="14" t="str">
        <f aca="false">IF(AND(C130&lt;&gt;"",D130&lt;&gt;""),IF(C130=0,"",D130/C130-1),"")</f>
        <v/>
      </c>
      <c r="K130" s="9" t="s">
        <v>27</v>
      </c>
    </row>
    <row r="131" customFormat="false" ht="15" hidden="false" customHeight="false" outlineLevel="0" collapsed="false">
      <c r="A131" s="9" t="s">
        <v>141</v>
      </c>
      <c r="B131" s="9" t="s">
        <v>151</v>
      </c>
      <c r="C131" s="10" t="n">
        <v>2.2</v>
      </c>
      <c r="D131" s="10" t="n">
        <v>2</v>
      </c>
      <c r="E131" s="10" t="n">
        <v>2.1</v>
      </c>
      <c r="F131" s="10" t="n">
        <f aca="false">IF(D131&lt;&gt;"",D131,IF(C131&lt;&gt;"",C131,""))</f>
        <v>2</v>
      </c>
      <c r="G131" s="10" t="n">
        <f aca="false">IF(AND(E131&lt;&gt;"",F131&lt;&gt;""),E131-F131,"")</f>
        <v>0.1</v>
      </c>
      <c r="H131" s="14" t="n">
        <f aca="false">IF(G131="","",IF(F131=0,"",G131/F131))</f>
        <v>0.05</v>
      </c>
      <c r="I131" s="15" t="str">
        <f aca="false">IF(E131="","SIN COMPRA",IF(F131="","NUEVO",IF(ROUND(G131,4)&gt;0,"SUBE",IF(ROUND(G131,4)&lt;0,"BAJA","IGUAL"))))</f>
        <v>SUBE</v>
      </c>
      <c r="J131" s="14" t="n">
        <f aca="false">IF(AND(C131&lt;&gt;"",D131&lt;&gt;""),IF(C131=0,"",D131/C131-1),"")</f>
        <v>-0.0909090909090909</v>
      </c>
      <c r="K131" s="9" t="s">
        <v>152</v>
      </c>
    </row>
    <row r="132" customFormat="false" ht="15" hidden="false" customHeight="false" outlineLevel="0" collapsed="false">
      <c r="A132" s="9" t="s">
        <v>141</v>
      </c>
      <c r="B132" s="9" t="s">
        <v>153</v>
      </c>
      <c r="C132" s="10" t="n">
        <v>3.3</v>
      </c>
      <c r="D132" s="10" t="n">
        <v>3.3</v>
      </c>
      <c r="E132" s="10" t="n">
        <v>3.6</v>
      </c>
      <c r="F132" s="10" t="n">
        <f aca="false">IF(D132&lt;&gt;"",D132,IF(C132&lt;&gt;"",C132,""))</f>
        <v>3.3</v>
      </c>
      <c r="G132" s="10" t="n">
        <f aca="false">IF(AND(E132&lt;&gt;"",F132&lt;&gt;""),E132-F132,"")</f>
        <v>0.3</v>
      </c>
      <c r="H132" s="14" t="n">
        <f aca="false">IF(G132="","",IF(F132=0,"",G132/F132))</f>
        <v>0.090909090909091</v>
      </c>
      <c r="I132" s="15" t="str">
        <f aca="false">IF(E132="","SIN COMPRA",IF(F132="","NUEVO",IF(ROUND(G132,4)&gt;0,"SUBE",IF(ROUND(G132,4)&lt;0,"BAJA","IGUAL"))))</f>
        <v>SUBE</v>
      </c>
      <c r="J132" s="14" t="n">
        <f aca="false">IF(AND(C132&lt;&gt;"",D132&lt;&gt;""),IF(C132=0,"",D132/C132-1),"")</f>
        <v>0</v>
      </c>
      <c r="K132" s="9" t="s">
        <v>154</v>
      </c>
    </row>
    <row r="133" customFormat="false" ht="15" hidden="false" customHeight="false" outlineLevel="0" collapsed="false">
      <c r="A133" s="9" t="s">
        <v>141</v>
      </c>
      <c r="B133" s="9" t="s">
        <v>155</v>
      </c>
      <c r="C133" s="10" t="n">
        <v>4.5</v>
      </c>
      <c r="D133" s="10"/>
      <c r="E133" s="10"/>
      <c r="F133" s="10" t="n">
        <f aca="false">IF(D133&lt;&gt;"",D133,IF(C133&lt;&gt;"",C133,""))</f>
        <v>4.5</v>
      </c>
      <c r="G133" s="10" t="str">
        <f aca="false">IF(AND(E133&lt;&gt;"",F133&lt;&gt;""),E133-F133,"")</f>
        <v/>
      </c>
      <c r="H133" s="14" t="str">
        <f aca="false">IF(G133="","",IF(F133=0,"",G133/F133))</f>
        <v/>
      </c>
      <c r="I133" s="15" t="str">
        <f aca="false">IF(E133="","SIN COMPRA",IF(F133="","NUEVO",IF(ROUND(G133,4)&gt;0,"SUBE",IF(ROUND(G133,4)&lt;0,"BAJA","IGUAL"))))</f>
        <v>SIN COMPRA</v>
      </c>
      <c r="J133" s="14" t="str">
        <f aca="false">IF(AND(C133&lt;&gt;"",D133&lt;&gt;""),IF(C133=0,"",D133/C133-1),"")</f>
        <v/>
      </c>
      <c r="K133" s="9" t="s">
        <v>27</v>
      </c>
    </row>
    <row r="134" customFormat="false" ht="15" hidden="false" customHeight="false" outlineLevel="0" collapsed="false">
      <c r="A134" s="9" t="s">
        <v>141</v>
      </c>
      <c r="B134" s="9" t="s">
        <v>156</v>
      </c>
      <c r="C134" s="10" t="n">
        <v>1</v>
      </c>
      <c r="D134" s="10" t="n">
        <v>1</v>
      </c>
      <c r="E134" s="10"/>
      <c r="F134" s="10" t="n">
        <f aca="false">IF(D134&lt;&gt;"",D134,IF(C134&lt;&gt;"",C134,""))</f>
        <v>1</v>
      </c>
      <c r="G134" s="10" t="str">
        <f aca="false">IF(AND(E134&lt;&gt;"",F134&lt;&gt;""),E134-F134,"")</f>
        <v/>
      </c>
      <c r="H134" s="14" t="str">
        <f aca="false">IF(G134="","",IF(F134=0,"",G134/F134))</f>
        <v/>
      </c>
      <c r="I134" s="15" t="str">
        <f aca="false">IF(E134="","SIN COMPRA",IF(F134="","NUEVO",IF(ROUND(G134,4)&gt;0,"SUBE",IF(ROUND(G134,4)&lt;0,"BAJA","IGUAL"))))</f>
        <v>SIN COMPRA</v>
      </c>
      <c r="J134" s="14" t="n">
        <f aca="false">IF(AND(C134&lt;&gt;"",D134&lt;&gt;""),IF(C134=0,"",D134/C134-1),"")</f>
        <v>0</v>
      </c>
      <c r="K134" s="9" t="s">
        <v>27</v>
      </c>
    </row>
    <row r="135" customFormat="false" ht="15" hidden="false" customHeight="false" outlineLevel="0" collapsed="false">
      <c r="A135" s="9" t="s">
        <v>141</v>
      </c>
      <c r="B135" s="9" t="s">
        <v>157</v>
      </c>
      <c r="C135" s="10" t="n">
        <v>1.6</v>
      </c>
      <c r="D135" s="10" t="n">
        <v>1.5</v>
      </c>
      <c r="E135" s="10" t="n">
        <v>1.6</v>
      </c>
      <c r="F135" s="10" t="n">
        <f aca="false">IF(D135&lt;&gt;"",D135,IF(C135&lt;&gt;"",C135,""))</f>
        <v>1.5</v>
      </c>
      <c r="G135" s="10" t="n">
        <f aca="false">IF(AND(E135&lt;&gt;"",F135&lt;&gt;""),E135-F135,"")</f>
        <v>0.1</v>
      </c>
      <c r="H135" s="14" t="n">
        <f aca="false">IF(G135="","",IF(F135=0,"",G135/F135))</f>
        <v>0.0666666666666667</v>
      </c>
      <c r="I135" s="15" t="str">
        <f aca="false">IF(E135="","SIN COMPRA",IF(F135="","NUEVO",IF(ROUND(G135,4)&gt;0,"SUBE",IF(ROUND(G135,4)&lt;0,"BAJA","IGUAL"))))</f>
        <v>SUBE</v>
      </c>
      <c r="J135" s="14" t="n">
        <f aca="false">IF(AND(C135&lt;&gt;"",D135&lt;&gt;""),IF(C135=0,"",D135/C135-1),"")</f>
        <v>-0.0625</v>
      </c>
      <c r="K135" s="9" t="s">
        <v>27</v>
      </c>
    </row>
    <row r="136" customFormat="false" ht="15" hidden="false" customHeight="false" outlineLevel="0" collapsed="false">
      <c r="A136" s="9" t="s">
        <v>141</v>
      </c>
      <c r="B136" s="9" t="s">
        <v>158</v>
      </c>
      <c r="C136" s="10" t="n">
        <v>4.8</v>
      </c>
      <c r="D136" s="10"/>
      <c r="E136" s="10" t="n">
        <v>4.3</v>
      </c>
      <c r="F136" s="10" t="n">
        <f aca="false">IF(D136&lt;&gt;"",D136,IF(C136&lt;&gt;"",C136,""))</f>
        <v>4.8</v>
      </c>
      <c r="G136" s="10" t="n">
        <f aca="false">IF(AND(E136&lt;&gt;"",F136&lt;&gt;""),E136-F136,"")</f>
        <v>-0.5</v>
      </c>
      <c r="H136" s="14" t="n">
        <f aca="false">IF(G136="","",IF(F136=0,"",G136/F136))</f>
        <v>-0.104166666666667</v>
      </c>
      <c r="I136" s="15" t="str">
        <f aca="false">IF(E136="","SIN COMPRA",IF(F136="","NUEVO",IF(ROUND(G136,4)&gt;0,"SUBE",IF(ROUND(G136,4)&lt;0,"BAJA","IGUAL"))))</f>
        <v>BAJA</v>
      </c>
      <c r="J136" s="14" t="str">
        <f aca="false">IF(AND(C136&lt;&gt;"",D136&lt;&gt;""),IF(C136=0,"",D136/C136-1),"")</f>
        <v/>
      </c>
      <c r="K136" s="9" t="s">
        <v>27</v>
      </c>
    </row>
    <row r="137" customFormat="false" ht="15" hidden="false" customHeight="false" outlineLevel="0" collapsed="false">
      <c r="A137" s="9" t="s">
        <v>141</v>
      </c>
      <c r="B137" s="9" t="s">
        <v>159</v>
      </c>
      <c r="C137" s="10" t="n">
        <v>2.5</v>
      </c>
      <c r="D137" s="10"/>
      <c r="E137" s="10"/>
      <c r="F137" s="10" t="n">
        <f aca="false">IF(D137&lt;&gt;"",D137,IF(C137&lt;&gt;"",C137,""))</f>
        <v>2.5</v>
      </c>
      <c r="G137" s="10" t="str">
        <f aca="false">IF(AND(E137&lt;&gt;"",F137&lt;&gt;""),E137-F137,"")</f>
        <v/>
      </c>
      <c r="H137" s="14" t="str">
        <f aca="false">IF(G137="","",IF(F137=0,"",G137/F137))</f>
        <v/>
      </c>
      <c r="I137" s="15" t="str">
        <f aca="false">IF(E137="","SIN COMPRA",IF(F137="","NUEVO",IF(ROUND(G137,4)&gt;0,"SUBE",IF(ROUND(G137,4)&lt;0,"BAJA","IGUAL"))))</f>
        <v>SIN COMPRA</v>
      </c>
      <c r="J137" s="14" t="str">
        <f aca="false">IF(AND(C137&lt;&gt;"",D137&lt;&gt;""),IF(C137=0,"",D137/C137-1),"")</f>
        <v/>
      </c>
      <c r="K137" s="9" t="s">
        <v>27</v>
      </c>
    </row>
    <row r="138" customFormat="false" ht="15" hidden="false" customHeight="false" outlineLevel="0" collapsed="false">
      <c r="A138" s="9" t="s">
        <v>141</v>
      </c>
      <c r="B138" s="9" t="s">
        <v>160</v>
      </c>
      <c r="C138" s="10" t="n">
        <v>7.9</v>
      </c>
      <c r="D138" s="10" t="n">
        <v>8.5</v>
      </c>
      <c r="E138" s="10" t="n">
        <v>5.8</v>
      </c>
      <c r="F138" s="10" t="n">
        <f aca="false">IF(D138&lt;&gt;"",D138,IF(C138&lt;&gt;"",C138,""))</f>
        <v>8.5</v>
      </c>
      <c r="G138" s="10" t="n">
        <f aca="false">IF(AND(E138&lt;&gt;"",F138&lt;&gt;""),E138-F138,"")</f>
        <v>-2.7</v>
      </c>
      <c r="H138" s="14" t="n">
        <f aca="false">IF(G138="","",IF(F138=0,"",G138/F138))</f>
        <v>-0.317647058823529</v>
      </c>
      <c r="I138" s="15" t="str">
        <f aca="false">IF(E138="","SIN COMPRA",IF(F138="","NUEVO",IF(ROUND(G138,4)&gt;0,"SUBE",IF(ROUND(G138,4)&lt;0,"BAJA","IGUAL"))))</f>
        <v>BAJA</v>
      </c>
      <c r="J138" s="14" t="n">
        <f aca="false">IF(AND(C138&lt;&gt;"",D138&lt;&gt;""),IF(C138=0,"",D138/C138-1),"")</f>
        <v>0.0759493670886076</v>
      </c>
      <c r="K138" s="9" t="s">
        <v>161</v>
      </c>
    </row>
    <row r="139" customFormat="false" ht="15" hidden="false" customHeight="false" outlineLevel="0" collapsed="false">
      <c r="A139" s="9" t="s">
        <v>141</v>
      </c>
      <c r="B139" s="9" t="s">
        <v>162</v>
      </c>
      <c r="C139" s="10" t="n">
        <v>2.35</v>
      </c>
      <c r="D139" s="10"/>
      <c r="E139" s="10"/>
      <c r="F139" s="10" t="n">
        <f aca="false">IF(D139&lt;&gt;"",D139,IF(C139&lt;&gt;"",C139,""))</f>
        <v>2.35</v>
      </c>
      <c r="G139" s="10" t="str">
        <f aca="false">IF(AND(E139&lt;&gt;"",F139&lt;&gt;""),E139-F139,"")</f>
        <v/>
      </c>
      <c r="H139" s="14" t="str">
        <f aca="false">IF(G139="","",IF(F139=0,"",G139/F139))</f>
        <v/>
      </c>
      <c r="I139" s="15" t="str">
        <f aca="false">IF(E139="","SIN COMPRA",IF(F139="","NUEVO",IF(ROUND(G139,4)&gt;0,"SUBE",IF(ROUND(G139,4)&lt;0,"BAJA","IGUAL"))))</f>
        <v>SIN COMPRA</v>
      </c>
      <c r="J139" s="14" t="str">
        <f aca="false">IF(AND(C139&lt;&gt;"",D139&lt;&gt;""),IF(C139=0,"",D139/C139-1),"")</f>
        <v/>
      </c>
      <c r="K139" s="9" t="s">
        <v>27</v>
      </c>
    </row>
    <row r="140" customFormat="false" ht="15" hidden="false" customHeight="false" outlineLevel="0" collapsed="false">
      <c r="A140" s="9" t="s">
        <v>141</v>
      </c>
      <c r="B140" s="9" t="s">
        <v>163</v>
      </c>
      <c r="C140" s="10" t="n">
        <v>1.35</v>
      </c>
      <c r="D140" s="10"/>
      <c r="E140" s="10"/>
      <c r="F140" s="10" t="n">
        <f aca="false">IF(D140&lt;&gt;"",D140,IF(C140&lt;&gt;"",C140,""))</f>
        <v>1.35</v>
      </c>
      <c r="G140" s="10" t="str">
        <f aca="false">IF(AND(E140&lt;&gt;"",F140&lt;&gt;""),E140-F140,"")</f>
        <v/>
      </c>
      <c r="H140" s="14" t="str">
        <f aca="false">IF(G140="","",IF(F140=0,"",G140/F140))</f>
        <v/>
      </c>
      <c r="I140" s="15" t="str">
        <f aca="false">IF(E140="","SIN COMPRA",IF(F140="","NUEVO",IF(ROUND(G140,4)&gt;0,"SUBE",IF(ROUND(G140,4)&lt;0,"BAJA","IGUAL"))))</f>
        <v>SIN COMPRA</v>
      </c>
      <c r="J140" s="14" t="str">
        <f aca="false">IF(AND(C140&lt;&gt;"",D140&lt;&gt;""),IF(C140=0,"",D140/C140-1),"")</f>
        <v/>
      </c>
      <c r="K140" s="9" t="s">
        <v>27</v>
      </c>
    </row>
    <row r="141" customFormat="false" ht="15" hidden="false" customHeight="false" outlineLevel="0" collapsed="false">
      <c r="A141" s="9" t="s">
        <v>164</v>
      </c>
      <c r="B141" s="9" t="s">
        <v>31</v>
      </c>
      <c r="C141" s="10" t="n">
        <v>9.09</v>
      </c>
      <c r="D141" s="10" t="n">
        <v>10</v>
      </c>
      <c r="E141" s="10" t="n">
        <v>12</v>
      </c>
      <c r="F141" s="10" t="n">
        <f aca="false">IF(D141&lt;&gt;"",D141,IF(C141&lt;&gt;"",C141,""))</f>
        <v>10</v>
      </c>
      <c r="G141" s="10" t="n">
        <f aca="false">IF(AND(E141&lt;&gt;"",F141&lt;&gt;""),E141-F141,"")</f>
        <v>2</v>
      </c>
      <c r="H141" s="14" t="n">
        <f aca="false">IF(G141="","",IF(F141=0,"",G141/F141))</f>
        <v>0.2</v>
      </c>
      <c r="I141" s="15" t="str">
        <f aca="false">IF(E141="","SIN COMPRA",IF(F141="","NUEVO",IF(ROUND(G141,4)&gt;0,"SUBE",IF(ROUND(G141,4)&lt;0,"BAJA","IGUAL"))))</f>
        <v>SUBE</v>
      </c>
      <c r="J141" s="14" t="n">
        <f aca="false">IF(AND(C141&lt;&gt;"",D141&lt;&gt;""),IF(C141=0,"",D141/C141-1),"")</f>
        <v>0.1001100110011</v>
      </c>
      <c r="K141" s="9" t="s">
        <v>165</v>
      </c>
    </row>
    <row r="142" customFormat="false" ht="15" hidden="false" customHeight="false" outlineLevel="0" collapsed="false">
      <c r="A142" s="9" t="s">
        <v>164</v>
      </c>
      <c r="B142" s="9" t="s">
        <v>166</v>
      </c>
      <c r="C142" s="10" t="n">
        <v>27.27</v>
      </c>
      <c r="D142" s="10" t="n">
        <v>27.27</v>
      </c>
      <c r="E142" s="10"/>
      <c r="F142" s="10" t="n">
        <f aca="false">IF(D142&lt;&gt;"",D142,IF(C142&lt;&gt;"",C142,""))</f>
        <v>27.27</v>
      </c>
      <c r="G142" s="10" t="str">
        <f aca="false">IF(AND(E142&lt;&gt;"",F142&lt;&gt;""),E142-F142,"")</f>
        <v/>
      </c>
      <c r="H142" s="14" t="str">
        <f aca="false">IF(G142="","",IF(F142=0,"",G142/F142))</f>
        <v/>
      </c>
      <c r="I142" s="15" t="str">
        <f aca="false">IF(E142="","SIN COMPRA",IF(F142="","NUEVO",IF(ROUND(G142,4)&gt;0,"SUBE",IF(ROUND(G142,4)&lt;0,"BAJA","IGUAL"))))</f>
        <v>SIN COMPRA</v>
      </c>
      <c r="J142" s="14" t="n">
        <f aca="false">IF(AND(C142&lt;&gt;"",D142&lt;&gt;""),IF(C142=0,"",D142/C142-1),"")</f>
        <v>0</v>
      </c>
      <c r="K142" s="9" t="s">
        <v>27</v>
      </c>
    </row>
    <row r="143" customFormat="false" ht="15" hidden="false" customHeight="false" outlineLevel="0" collapsed="false">
      <c r="A143" s="9" t="s">
        <v>164</v>
      </c>
      <c r="B143" s="9" t="s">
        <v>167</v>
      </c>
      <c r="C143" s="10"/>
      <c r="D143" s="10" t="n">
        <v>6.36</v>
      </c>
      <c r="E143" s="10" t="n">
        <v>7.8</v>
      </c>
      <c r="F143" s="10" t="n">
        <f aca="false">IF(D143&lt;&gt;"",D143,IF(C143&lt;&gt;"",C143,""))</f>
        <v>6.36</v>
      </c>
      <c r="G143" s="10" t="n">
        <f aca="false">IF(AND(E143&lt;&gt;"",F143&lt;&gt;""),E143-F143,"")</f>
        <v>1.44</v>
      </c>
      <c r="H143" s="14" t="n">
        <f aca="false">IF(G143="","",IF(F143=0,"",G143/F143))</f>
        <v>0.226415094339623</v>
      </c>
      <c r="I143" s="15" t="str">
        <f aca="false">IF(E143="","SIN COMPRA",IF(F143="","NUEVO",IF(ROUND(G143,4)&gt;0,"SUBE",IF(ROUND(G143,4)&lt;0,"BAJA","IGUAL"))))</f>
        <v>SUBE</v>
      </c>
      <c r="J143" s="14" t="str">
        <f aca="false">IF(AND(C143&lt;&gt;"",D143&lt;&gt;""),IF(C143=0,"",D143/C143-1),"")</f>
        <v/>
      </c>
      <c r="K143" s="9" t="s">
        <v>168</v>
      </c>
    </row>
    <row r="144" customFormat="false" ht="15" hidden="false" customHeight="false" outlineLevel="0" collapsed="false">
      <c r="A144" s="9" t="s">
        <v>169</v>
      </c>
      <c r="B144" s="9" t="s">
        <v>170</v>
      </c>
      <c r="C144" s="10" t="n">
        <v>44.95</v>
      </c>
      <c r="D144" s="10" t="n">
        <v>44.95</v>
      </c>
      <c r="E144" s="10" t="n">
        <v>44.95</v>
      </c>
      <c r="F144" s="10" t="n">
        <f aca="false">IF(D144&lt;&gt;"",D144,IF(C144&lt;&gt;"",C144,""))</f>
        <v>44.95</v>
      </c>
      <c r="G144" s="10" t="n">
        <f aca="false">IF(AND(E144&lt;&gt;"",F144&lt;&gt;""),E144-F144,"")</f>
        <v>0</v>
      </c>
      <c r="H144" s="14" t="n">
        <f aca="false">IF(G144="","",IF(F144=0,"",G144/F144))</f>
        <v>0</v>
      </c>
      <c r="I144" s="15" t="str">
        <f aca="false">IF(E144="","SIN COMPRA",IF(F144="","NUEVO",IF(ROUND(G144,4)&gt;0,"SUBE",IF(ROUND(G144,4)&lt;0,"BAJA","IGUAL"))))</f>
        <v>IGUAL</v>
      </c>
      <c r="J144" s="14" t="n">
        <f aca="false">IF(AND(C144&lt;&gt;"",D144&lt;&gt;""),IF(C144=0,"",D144/C144-1),"")</f>
        <v>0</v>
      </c>
      <c r="K144" s="9"/>
    </row>
    <row r="145" customFormat="false" ht="15" hidden="false" customHeight="false" outlineLevel="0" collapsed="false">
      <c r="A145" s="9" t="s">
        <v>169</v>
      </c>
      <c r="B145" s="9" t="s">
        <v>171</v>
      </c>
      <c r="C145" s="10" t="n">
        <v>25.95</v>
      </c>
      <c r="D145" s="10" t="n">
        <v>23.95</v>
      </c>
      <c r="E145" s="10" t="n">
        <v>23.95</v>
      </c>
      <c r="F145" s="10" t="n">
        <f aca="false">IF(D145&lt;&gt;"",D145,IF(C145&lt;&gt;"",C145,""))</f>
        <v>23.95</v>
      </c>
      <c r="G145" s="10" t="n">
        <f aca="false">IF(AND(E145&lt;&gt;"",F145&lt;&gt;""),E145-F145,"")</f>
        <v>0</v>
      </c>
      <c r="H145" s="14" t="n">
        <f aca="false">IF(G145="","",IF(F145=0,"",G145/F145))</f>
        <v>0</v>
      </c>
      <c r="I145" s="15" t="str">
        <f aca="false">IF(E145="","SIN COMPRA",IF(F145="","NUEVO",IF(ROUND(G145,4)&gt;0,"SUBE",IF(ROUND(G145,4)&lt;0,"BAJA","IGUAL"))))</f>
        <v>IGUAL</v>
      </c>
      <c r="J145" s="14" t="n">
        <f aca="false">IF(AND(C145&lt;&gt;"",D145&lt;&gt;""),IF(C145=0,"",D145/C145-1),"")</f>
        <v>-0.0770712909441234</v>
      </c>
      <c r="K145" s="9" t="s">
        <v>172</v>
      </c>
    </row>
    <row r="146" customFormat="false" ht="15" hidden="false" customHeight="false" outlineLevel="0" collapsed="false">
      <c r="A146" s="9" t="s">
        <v>169</v>
      </c>
      <c r="B146" s="9" t="s">
        <v>173</v>
      </c>
      <c r="C146" s="10" t="n">
        <v>28.95</v>
      </c>
      <c r="D146" s="10" t="n">
        <v>26.95</v>
      </c>
      <c r="E146" s="10"/>
      <c r="F146" s="10" t="n">
        <f aca="false">IF(D146&lt;&gt;"",D146,IF(C146&lt;&gt;"",C146,""))</f>
        <v>26.95</v>
      </c>
      <c r="G146" s="10" t="str">
        <f aca="false">IF(AND(E146&lt;&gt;"",F146&lt;&gt;""),E146-F146,"")</f>
        <v/>
      </c>
      <c r="H146" s="14" t="str">
        <f aca="false">IF(G146="","",IF(F146=0,"",G146/F146))</f>
        <v/>
      </c>
      <c r="I146" s="15" t="str">
        <f aca="false">IF(E146="","SIN COMPRA",IF(F146="","NUEVO",IF(ROUND(G146,4)&gt;0,"SUBE",IF(ROUND(G146,4)&lt;0,"BAJA","IGUAL"))))</f>
        <v>SIN COMPRA</v>
      </c>
      <c r="J146" s="14" t="n">
        <f aca="false">IF(AND(C146&lt;&gt;"",D146&lt;&gt;""),IF(C146=0,"",D146/C146-1),"")</f>
        <v>-0.0690846286701209</v>
      </c>
      <c r="K146" s="9" t="s">
        <v>174</v>
      </c>
    </row>
    <row r="147" customFormat="false" ht="15" hidden="false" customHeight="false" outlineLevel="0" collapsed="false">
      <c r="A147" s="9" t="s">
        <v>169</v>
      </c>
      <c r="B147" s="9" t="s">
        <v>175</v>
      </c>
      <c r="C147" s="10" t="n">
        <v>7.95</v>
      </c>
      <c r="D147" s="10" t="n">
        <v>7.95</v>
      </c>
      <c r="E147" s="10" t="n">
        <v>7.95</v>
      </c>
      <c r="F147" s="10" t="n">
        <f aca="false">IF(D147&lt;&gt;"",D147,IF(C147&lt;&gt;"",C147,""))</f>
        <v>7.95</v>
      </c>
      <c r="G147" s="10" t="n">
        <f aca="false">IF(AND(E147&lt;&gt;"",F147&lt;&gt;""),E147-F147,"")</f>
        <v>0</v>
      </c>
      <c r="H147" s="14" t="n">
        <f aca="false">IF(G147="","",IF(F147=0,"",G147/F147))</f>
        <v>0</v>
      </c>
      <c r="I147" s="15" t="str">
        <f aca="false">IF(E147="","SIN COMPRA",IF(F147="","NUEVO",IF(ROUND(G147,4)&gt;0,"SUBE",IF(ROUND(G147,4)&lt;0,"BAJA","IGUAL"))))</f>
        <v>IGUAL</v>
      </c>
      <c r="J147" s="14" t="n">
        <f aca="false">IF(AND(C147&lt;&gt;"",D147&lt;&gt;""),IF(C147=0,"",D147/C147-1),"")</f>
        <v>0</v>
      </c>
      <c r="K147" s="9"/>
    </row>
    <row r="148" customFormat="false" ht="15" hidden="false" customHeight="false" outlineLevel="0" collapsed="false">
      <c r="A148" s="9" t="s">
        <v>176</v>
      </c>
      <c r="B148" s="9" t="s">
        <v>177</v>
      </c>
      <c r="C148" s="10" t="n">
        <v>16.71</v>
      </c>
      <c r="D148" s="10"/>
      <c r="E148" s="10" t="n">
        <v>17.92</v>
      </c>
      <c r="F148" s="10" t="n">
        <f aca="false">IF(D148&lt;&gt;"",D148,IF(C148&lt;&gt;"",C148,""))</f>
        <v>16.71</v>
      </c>
      <c r="G148" s="10" t="n">
        <f aca="false">IF(AND(E148&lt;&gt;"",F148&lt;&gt;""),E148-F148,"")</f>
        <v>1.21</v>
      </c>
      <c r="H148" s="14" t="n">
        <f aca="false">IF(G148="","",IF(F148=0,"",G148/F148))</f>
        <v>0.0724117295032915</v>
      </c>
      <c r="I148" s="15" t="str">
        <f aca="false">IF(E148="","SIN COMPRA",IF(F148="","NUEVO",IF(ROUND(G148,4)&gt;0,"SUBE",IF(ROUND(G148,4)&lt;0,"BAJA","IGUAL"))))</f>
        <v>SUBE</v>
      </c>
      <c r="J148" s="14" t="str">
        <f aca="false">IF(AND(C148&lt;&gt;"",D148&lt;&gt;""),IF(C148=0,"",D148/C148-1),"")</f>
        <v/>
      </c>
      <c r="K148" s="9" t="s">
        <v>27</v>
      </c>
    </row>
    <row r="149" customFormat="false" ht="15" hidden="false" customHeight="false" outlineLevel="0" collapsed="false">
      <c r="A149" s="9" t="s">
        <v>178</v>
      </c>
      <c r="B149" s="9" t="s">
        <v>179</v>
      </c>
      <c r="C149" s="10" t="n">
        <v>6.9</v>
      </c>
      <c r="D149" s="10" t="n">
        <v>7.35</v>
      </c>
      <c r="E149" s="10" t="n">
        <v>7.35</v>
      </c>
      <c r="F149" s="10" t="n">
        <f aca="false">IF(D149&lt;&gt;"",D149,IF(C149&lt;&gt;"",C149,""))</f>
        <v>7.35</v>
      </c>
      <c r="G149" s="10" t="n">
        <f aca="false">IF(AND(E149&lt;&gt;"",F149&lt;&gt;""),E149-F149,"")</f>
        <v>0</v>
      </c>
      <c r="H149" s="14" t="n">
        <f aca="false">IF(G149="","",IF(F149=0,"",G149/F149))</f>
        <v>0</v>
      </c>
      <c r="I149" s="15" t="str">
        <f aca="false">IF(E149="","SIN COMPRA",IF(F149="","NUEVO",IF(ROUND(G149,4)&gt;0,"SUBE",IF(ROUND(G149,4)&lt;0,"BAJA","IGUAL"))))</f>
        <v>IGUAL</v>
      </c>
      <c r="J149" s="14" t="n">
        <f aca="false">IF(AND(C149&lt;&gt;"",D149&lt;&gt;""),IF(C149=0,"",D149/C149-1),"")</f>
        <v>0.0652173913043477</v>
      </c>
      <c r="K149" s="9"/>
    </row>
    <row r="150" customFormat="false" ht="15" hidden="false" customHeight="false" outlineLevel="0" collapsed="false">
      <c r="A150" s="9" t="s">
        <v>178</v>
      </c>
      <c r="B150" s="9" t="s">
        <v>180</v>
      </c>
      <c r="C150" s="10" t="n">
        <v>7.35</v>
      </c>
      <c r="D150" s="10" t="n">
        <v>16</v>
      </c>
      <c r="E150" s="10"/>
      <c r="F150" s="10" t="n">
        <f aca="false">IF(D150&lt;&gt;"",D150,IF(C150&lt;&gt;"",C150,""))</f>
        <v>16</v>
      </c>
      <c r="G150" s="10" t="str">
        <f aca="false">IF(AND(E150&lt;&gt;"",F150&lt;&gt;""),E150-F150,"")</f>
        <v/>
      </c>
      <c r="H150" s="14" t="str">
        <f aca="false">IF(G150="","",IF(F150=0,"",G150/F150))</f>
        <v/>
      </c>
      <c r="I150" s="15" t="str">
        <f aca="false">IF(E150="","SIN COMPRA",IF(F150="","NUEVO",IF(ROUND(G150,4)&gt;0,"SUBE",IF(ROUND(G150,4)&lt;0,"BAJA","IGUAL"))))</f>
        <v>SIN COMPRA</v>
      </c>
      <c r="J150" s="14" t="n">
        <f aca="false">IF(AND(C150&lt;&gt;"",D150&lt;&gt;""),IF(C150=0,"",D150/C150-1),"")</f>
        <v>1.17687074829932</v>
      </c>
      <c r="K150" s="9"/>
    </row>
    <row r="151" customFormat="false" ht="15" hidden="false" customHeight="false" outlineLevel="0" collapsed="false">
      <c r="A151" s="9" t="s">
        <v>178</v>
      </c>
      <c r="B151" s="9" t="s">
        <v>181</v>
      </c>
      <c r="C151" s="10" t="n">
        <v>13.9</v>
      </c>
      <c r="D151" s="10" t="n">
        <v>13.9</v>
      </c>
      <c r="E151" s="10" t="n">
        <v>13.9</v>
      </c>
      <c r="F151" s="10" t="n">
        <f aca="false">IF(D151&lt;&gt;"",D151,IF(C151&lt;&gt;"",C151,""))</f>
        <v>13.9</v>
      </c>
      <c r="G151" s="10" t="n">
        <f aca="false">IF(AND(E151&lt;&gt;"",F151&lt;&gt;""),E151-F151,"")</f>
        <v>0</v>
      </c>
      <c r="H151" s="14" t="n">
        <f aca="false">IF(G151="","",IF(F151=0,"",G151/F151))</f>
        <v>0</v>
      </c>
      <c r="I151" s="15" t="str">
        <f aca="false">IF(E151="","SIN COMPRA",IF(F151="","NUEVO",IF(ROUND(G151,4)&gt;0,"SUBE",IF(ROUND(G151,4)&lt;0,"BAJA","IGUAL"))))</f>
        <v>IGUAL</v>
      </c>
      <c r="J151" s="14" t="n">
        <f aca="false">IF(AND(C151&lt;&gt;"",D151&lt;&gt;""),IF(C151=0,"",D151/C151-1),"")</f>
        <v>0</v>
      </c>
      <c r="K151" s="9"/>
    </row>
    <row r="152" customFormat="false" ht="15" hidden="false" customHeight="false" outlineLevel="0" collapsed="false">
      <c r="A152" s="9" t="s">
        <v>182</v>
      </c>
      <c r="B152" s="9" t="s">
        <v>183</v>
      </c>
      <c r="C152" s="10" t="n">
        <v>100</v>
      </c>
      <c r="D152" s="10" t="n">
        <v>95</v>
      </c>
      <c r="E152" s="10" t="n">
        <v>25</v>
      </c>
      <c r="F152" s="10" t="n">
        <f aca="false">IF(D152&lt;&gt;"",D152,IF(C152&lt;&gt;"",C152,""))</f>
        <v>95</v>
      </c>
      <c r="G152" s="10" t="n">
        <f aca="false">IF(AND(E152&lt;&gt;"",F152&lt;&gt;""),E152-F152,"")</f>
        <v>-70</v>
      </c>
      <c r="H152" s="14" t="n">
        <f aca="false">IF(G152="","",IF(F152=0,"",G152/F152))</f>
        <v>-0.736842105263158</v>
      </c>
      <c r="I152" s="15" t="str">
        <f aca="false">IF(E152="","SIN COMPRA",IF(F152="","NUEVO",IF(ROUND(G152,4)&gt;0,"SUBE",IF(ROUND(G152,4)&lt;0,"BAJA","IGUAL"))))</f>
        <v>BAJA</v>
      </c>
      <c r="J152" s="14" t="n">
        <f aca="false">IF(AND(C152&lt;&gt;"",D152&lt;&gt;""),IF(C152=0,"",D152/C152-1),"")</f>
        <v>-0.05</v>
      </c>
      <c r="K152" s="9" t="s">
        <v>184</v>
      </c>
    </row>
    <row r="153" customFormat="false" ht="15" hidden="false" customHeight="false" outlineLevel="0" collapsed="false">
      <c r="A153" s="9" t="s">
        <v>182</v>
      </c>
      <c r="B153" s="9" t="s">
        <v>185</v>
      </c>
      <c r="C153" s="10"/>
      <c r="D153" s="10"/>
      <c r="E153" s="10" t="n">
        <v>98</v>
      </c>
      <c r="F153" s="10" t="str">
        <f aca="false">IF(D153&lt;&gt;"",D153,IF(C153&lt;&gt;"",C153,""))</f>
        <v/>
      </c>
      <c r="G153" s="10" t="str">
        <f aca="false">IF(AND(E153&lt;&gt;"",F153&lt;&gt;""),E153-F153,"")</f>
        <v/>
      </c>
      <c r="H153" s="14" t="str">
        <f aca="false">IF(G153="","",IF(F153=0,"",G153/F153))</f>
        <v/>
      </c>
      <c r="I153" s="15" t="str">
        <f aca="false">IF(E153="","SIN COMPRA",IF(F153="","NUEVO",IF(ROUND(G153,4)&gt;0,"SUBE",IF(ROUND(G153,4)&lt;0,"BAJA","IGUAL"))))</f>
        <v>NUEVO</v>
      </c>
      <c r="J153" s="14" t="str">
        <f aca="false">IF(AND(C153&lt;&gt;"",D153&lt;&gt;""),IF(C153=0,"",D153/C153-1),"")</f>
        <v/>
      </c>
      <c r="K153" s="9" t="s">
        <v>27</v>
      </c>
    </row>
    <row r="154" customFormat="false" ht="15" hidden="false" customHeight="false" outlineLevel="0" collapsed="false">
      <c r="A154" s="9" t="s">
        <v>182</v>
      </c>
      <c r="B154" s="9" t="s">
        <v>186</v>
      </c>
      <c r="C154" s="10" t="n">
        <v>100</v>
      </c>
      <c r="D154" s="10"/>
      <c r="E154" s="10"/>
      <c r="F154" s="10" t="n">
        <f aca="false">IF(D154&lt;&gt;"",D154,IF(C154&lt;&gt;"",C154,""))</f>
        <v>100</v>
      </c>
      <c r="G154" s="10" t="str">
        <f aca="false">IF(AND(E154&lt;&gt;"",F154&lt;&gt;""),E154-F154,"")</f>
        <v/>
      </c>
      <c r="H154" s="14" t="str">
        <f aca="false">IF(G154="","",IF(F154=0,"",G154/F154))</f>
        <v/>
      </c>
      <c r="I154" s="15" t="str">
        <f aca="false">IF(E154="","SIN COMPRA",IF(F154="","NUEVO",IF(ROUND(G154,4)&gt;0,"SUBE",IF(ROUND(G154,4)&lt;0,"BAJA","IGUAL"))))</f>
        <v>SIN COMPRA</v>
      </c>
      <c r="J154" s="14" t="str">
        <f aca="false">IF(AND(C154&lt;&gt;"",D154&lt;&gt;""),IF(C154=0,"",D154/C154-1),"")</f>
        <v/>
      </c>
      <c r="K154" s="9" t="s">
        <v>187</v>
      </c>
    </row>
    <row r="155" customFormat="false" ht="15" hidden="false" customHeight="false" outlineLevel="0" collapsed="false">
      <c r="A155" s="9" t="s">
        <v>182</v>
      </c>
      <c r="B155" s="9" t="s">
        <v>188</v>
      </c>
      <c r="C155" s="10" t="n">
        <v>50</v>
      </c>
      <c r="D155" s="10"/>
      <c r="E155" s="10" t="n">
        <v>50</v>
      </c>
      <c r="F155" s="10" t="n">
        <f aca="false">IF(D155&lt;&gt;"",D155,IF(C155&lt;&gt;"",C155,""))</f>
        <v>50</v>
      </c>
      <c r="G155" s="10" t="n">
        <f aca="false">IF(AND(E155&lt;&gt;"",F155&lt;&gt;""),E155-F155,"")</f>
        <v>0</v>
      </c>
      <c r="H155" s="14" t="n">
        <f aca="false">IF(G155="","",IF(F155=0,"",G155/F155))</f>
        <v>0</v>
      </c>
      <c r="I155" s="15" t="str">
        <f aca="false">IF(E155="","SIN COMPRA",IF(F155="","NUEVO",IF(ROUND(G155,4)&gt;0,"SUBE",IF(ROUND(G155,4)&lt;0,"BAJA","IGUAL"))))</f>
        <v>IGUAL</v>
      </c>
      <c r="J155" s="14" t="str">
        <f aca="false">IF(AND(C155&lt;&gt;"",D155&lt;&gt;""),IF(C155=0,"",D155/C155-1),"")</f>
        <v/>
      </c>
      <c r="K155" s="9" t="s">
        <v>189</v>
      </c>
    </row>
    <row r="156" customFormat="false" ht="15" hidden="false" customHeight="false" outlineLevel="0" collapsed="false">
      <c r="A156" s="9" t="s">
        <v>182</v>
      </c>
      <c r="B156" s="9" t="s">
        <v>190</v>
      </c>
      <c r="C156" s="10" t="n">
        <v>50</v>
      </c>
      <c r="D156" s="10"/>
      <c r="E156" s="10"/>
      <c r="F156" s="10" t="n">
        <f aca="false">IF(D156&lt;&gt;"",D156,IF(C156&lt;&gt;"",C156,""))</f>
        <v>50</v>
      </c>
      <c r="G156" s="10" t="str">
        <f aca="false">IF(AND(E156&lt;&gt;"",F156&lt;&gt;""),E156-F156,"")</f>
        <v/>
      </c>
      <c r="H156" s="14" t="str">
        <f aca="false">IF(G156="","",IF(F156=0,"",G156/F156))</f>
        <v/>
      </c>
      <c r="I156" s="15" t="str">
        <f aca="false">IF(E156="","SIN COMPRA",IF(F156="","NUEVO",IF(ROUND(G156,4)&gt;0,"SUBE",IF(ROUND(G156,4)&lt;0,"BAJA","IGUAL"))))</f>
        <v>SIN COMPRA</v>
      </c>
      <c r="J156" s="14" t="str">
        <f aca="false">IF(AND(C156&lt;&gt;"",D156&lt;&gt;""),IF(C156=0,"",D156/C156-1),"")</f>
        <v/>
      </c>
      <c r="K156" s="9" t="s">
        <v>191</v>
      </c>
    </row>
    <row r="157" customFormat="false" ht="15" hidden="false" customHeight="false" outlineLevel="0" collapsed="false">
      <c r="A157" s="9" t="s">
        <v>182</v>
      </c>
      <c r="B157" s="9" t="s">
        <v>192</v>
      </c>
      <c r="C157" s="10"/>
      <c r="D157" s="10"/>
      <c r="E157" s="10" t="n">
        <v>50</v>
      </c>
      <c r="F157" s="10" t="str">
        <f aca="false">IF(D157&lt;&gt;"",D157,IF(C157&lt;&gt;"",C157,""))</f>
        <v/>
      </c>
      <c r="G157" s="10" t="str">
        <f aca="false">IF(AND(E157&lt;&gt;"",F157&lt;&gt;""),E157-F157,"")</f>
        <v/>
      </c>
      <c r="H157" s="14" t="str">
        <f aca="false">IF(G157="","",IF(F157=0,"",G157/F157))</f>
        <v/>
      </c>
      <c r="I157" s="15" t="str">
        <f aca="false">IF(E157="","SIN COMPRA",IF(F157="","NUEVO",IF(ROUND(G157,4)&gt;0,"SUBE",IF(ROUND(G157,4)&lt;0,"BAJA","IGUAL"))))</f>
        <v>NUEVO</v>
      </c>
      <c r="J157" s="14" t="str">
        <f aca="false">IF(AND(C157&lt;&gt;"",D157&lt;&gt;""),IF(C157=0,"",D157/C157-1),"")</f>
        <v/>
      </c>
      <c r="K157" s="9" t="s">
        <v>27</v>
      </c>
    </row>
    <row r="158" customFormat="false" ht="15" hidden="false" customHeight="false" outlineLevel="0" collapsed="false">
      <c r="A158" s="9" t="s">
        <v>182</v>
      </c>
      <c r="B158" s="9" t="s">
        <v>193</v>
      </c>
      <c r="C158" s="10" t="n">
        <v>2.7</v>
      </c>
      <c r="D158" s="10"/>
      <c r="E158" s="10" t="n">
        <v>2.7</v>
      </c>
      <c r="F158" s="10" t="n">
        <f aca="false">IF(D158&lt;&gt;"",D158,IF(C158&lt;&gt;"",C158,""))</f>
        <v>2.7</v>
      </c>
      <c r="G158" s="10" t="n">
        <f aca="false">IF(AND(E158&lt;&gt;"",F158&lt;&gt;""),E158-F158,"")</f>
        <v>0</v>
      </c>
      <c r="H158" s="14" t="n">
        <f aca="false">IF(G158="","",IF(F158=0,"",G158/F158))</f>
        <v>0</v>
      </c>
      <c r="I158" s="15" t="str">
        <f aca="false">IF(E158="","SIN COMPRA",IF(F158="","NUEVO",IF(ROUND(G158,4)&gt;0,"SUBE",IF(ROUND(G158,4)&lt;0,"BAJA","IGUAL"))))</f>
        <v>IGUAL</v>
      </c>
      <c r="J158" s="14" t="str">
        <f aca="false">IF(AND(C158&lt;&gt;"",D158&lt;&gt;""),IF(C158=0,"",D158/C158-1),"")</f>
        <v/>
      </c>
      <c r="K158" s="9" t="s">
        <v>27</v>
      </c>
    </row>
    <row r="159" customFormat="false" ht="15" hidden="false" customHeight="false" outlineLevel="0" collapsed="false">
      <c r="A159" s="9" t="s">
        <v>182</v>
      </c>
      <c r="B159" s="9" t="s">
        <v>194</v>
      </c>
      <c r="C159" s="10" t="n">
        <v>95</v>
      </c>
      <c r="D159" s="10"/>
      <c r="E159" s="10" t="n">
        <v>95</v>
      </c>
      <c r="F159" s="10" t="n">
        <f aca="false">IF(D159&lt;&gt;"",D159,IF(C159&lt;&gt;"",C159,""))</f>
        <v>95</v>
      </c>
      <c r="G159" s="10" t="n">
        <f aca="false">IF(AND(E159&lt;&gt;"",F159&lt;&gt;""),E159-F159,"")</f>
        <v>0</v>
      </c>
      <c r="H159" s="14" t="n">
        <f aca="false">IF(G159="","",IF(F159=0,"",G159/F159))</f>
        <v>0</v>
      </c>
      <c r="I159" s="15" t="str">
        <f aca="false">IF(E159="","SIN COMPRA",IF(F159="","NUEVO",IF(ROUND(G159,4)&gt;0,"SUBE",IF(ROUND(G159,4)&lt;0,"BAJA","IGUAL"))))</f>
        <v>IGUAL</v>
      </c>
      <c r="J159" s="14" t="str">
        <f aca="false">IF(AND(C159&lt;&gt;"",D159&lt;&gt;""),IF(C159=0,"",D159/C159-1),"")</f>
        <v/>
      </c>
      <c r="K159" s="9" t="s">
        <v>27</v>
      </c>
    </row>
    <row r="160" customFormat="false" ht="15" hidden="false" customHeight="false" outlineLevel="0" collapsed="false">
      <c r="A160" s="9" t="s">
        <v>195</v>
      </c>
      <c r="B160" s="9" t="s">
        <v>196</v>
      </c>
      <c r="C160" s="10"/>
      <c r="D160" s="10" t="n">
        <v>5.63</v>
      </c>
      <c r="E160" s="10" t="n">
        <v>5.63</v>
      </c>
      <c r="F160" s="10" t="n">
        <f aca="false">IF(D160&lt;&gt;"",D160,IF(C160&lt;&gt;"",C160,""))</f>
        <v>5.63</v>
      </c>
      <c r="G160" s="10" t="n">
        <f aca="false">IF(AND(E160&lt;&gt;"",F160&lt;&gt;""),E160-F160,"")</f>
        <v>0</v>
      </c>
      <c r="H160" s="14" t="n">
        <f aca="false">IF(G160="","",IF(F160=0,"",G160/F160))</f>
        <v>0</v>
      </c>
      <c r="I160" s="15" t="str">
        <f aca="false">IF(E160="","SIN COMPRA",IF(F160="","NUEVO",IF(ROUND(G160,4)&gt;0,"SUBE",IF(ROUND(G160,4)&lt;0,"BAJA","IGUAL"))))</f>
        <v>IGUAL</v>
      </c>
      <c r="J160" s="14" t="str">
        <f aca="false">IF(AND(C160&lt;&gt;"",D160&lt;&gt;""),IF(C160=0,"",D160/C160-1),"")</f>
        <v/>
      </c>
      <c r="K160" s="9"/>
    </row>
    <row r="161" customFormat="false" ht="15" hidden="false" customHeight="false" outlineLevel="0" collapsed="false">
      <c r="A161" s="9" t="s">
        <v>195</v>
      </c>
      <c r="B161" s="9" t="s">
        <v>113</v>
      </c>
      <c r="C161" s="10"/>
      <c r="D161" s="10" t="n">
        <v>11.77</v>
      </c>
      <c r="E161" s="10" t="n">
        <v>11.77</v>
      </c>
      <c r="F161" s="10" t="n">
        <f aca="false">IF(D161&lt;&gt;"",D161,IF(C161&lt;&gt;"",C161,""))</f>
        <v>11.77</v>
      </c>
      <c r="G161" s="10" t="n">
        <f aca="false">IF(AND(E161&lt;&gt;"",F161&lt;&gt;""),E161-F161,"")</f>
        <v>0</v>
      </c>
      <c r="H161" s="14" t="n">
        <f aca="false">IF(G161="","",IF(F161=0,"",G161/F161))</f>
        <v>0</v>
      </c>
      <c r="I161" s="15" t="str">
        <f aca="false">IF(E161="","SIN COMPRA",IF(F161="","NUEVO",IF(ROUND(G161,4)&gt;0,"SUBE",IF(ROUND(G161,4)&lt;0,"BAJA","IGUAL"))))</f>
        <v>IGUAL</v>
      </c>
      <c r="J161" s="14" t="str">
        <f aca="false">IF(AND(C161&lt;&gt;"",D161&lt;&gt;""),IF(C161=0,"",D161/C161-1),"")</f>
        <v/>
      </c>
      <c r="K161" s="9"/>
    </row>
    <row r="162" customFormat="false" ht="15" hidden="false" customHeight="false" outlineLevel="0" collapsed="false">
      <c r="A162" s="9" t="s">
        <v>195</v>
      </c>
      <c r="B162" s="9" t="s">
        <v>197</v>
      </c>
      <c r="C162" s="10"/>
      <c r="D162" s="10" t="n">
        <v>13.91</v>
      </c>
      <c r="E162" s="10" t="n">
        <v>13.91</v>
      </c>
      <c r="F162" s="10" t="n">
        <f aca="false">IF(D162&lt;&gt;"",D162,IF(C162&lt;&gt;"",C162,""))</f>
        <v>13.91</v>
      </c>
      <c r="G162" s="10" t="n">
        <f aca="false">IF(AND(E162&lt;&gt;"",F162&lt;&gt;""),E162-F162,"")</f>
        <v>0</v>
      </c>
      <c r="H162" s="14" t="n">
        <f aca="false">IF(G162="","",IF(F162=0,"",G162/F162))</f>
        <v>0</v>
      </c>
      <c r="I162" s="15" t="str">
        <f aca="false">IF(E162="","SIN COMPRA",IF(F162="","NUEVO",IF(ROUND(G162,4)&gt;0,"SUBE",IF(ROUND(G162,4)&lt;0,"BAJA","IGUAL"))))</f>
        <v>IGUAL</v>
      </c>
      <c r="J162" s="14" t="str">
        <f aca="false">IF(AND(C162&lt;&gt;"",D162&lt;&gt;""),IF(C162=0,"",D162/C162-1),"")</f>
        <v/>
      </c>
      <c r="K162" s="9"/>
    </row>
    <row r="163" customFormat="false" ht="15" hidden="false" customHeight="false" outlineLevel="0" collapsed="false">
      <c r="A163" s="9" t="s">
        <v>195</v>
      </c>
      <c r="B163" s="9" t="s">
        <v>198</v>
      </c>
      <c r="C163" s="10"/>
      <c r="D163" s="10" t="n">
        <v>4.42</v>
      </c>
      <c r="E163" s="10"/>
      <c r="F163" s="10" t="n">
        <f aca="false">IF(D163&lt;&gt;"",D163,IF(C163&lt;&gt;"",C163,""))</f>
        <v>4.42</v>
      </c>
      <c r="G163" s="10" t="str">
        <f aca="false">IF(AND(E163&lt;&gt;"",F163&lt;&gt;""),E163-F163,"")</f>
        <v/>
      </c>
      <c r="H163" s="14" t="str">
        <f aca="false">IF(G163="","",IF(F163=0,"",G163/F163))</f>
        <v/>
      </c>
      <c r="I163" s="15" t="str">
        <f aca="false">IF(E163="","SIN COMPRA",IF(F163="","NUEVO",IF(ROUND(G163,4)&gt;0,"SUBE",IF(ROUND(G163,4)&lt;0,"BAJA","IGUAL"))))</f>
        <v>SIN COMPRA</v>
      </c>
      <c r="J163" s="14" t="str">
        <f aca="false">IF(AND(C163&lt;&gt;"",D163&lt;&gt;""),IF(C163=0,"",D163/C163-1),"")</f>
        <v/>
      </c>
      <c r="K163" s="9"/>
    </row>
    <row r="164" customFormat="false" ht="15" hidden="false" customHeight="false" outlineLevel="0" collapsed="false">
      <c r="A164" s="9" t="s">
        <v>195</v>
      </c>
      <c r="B164" s="9" t="s">
        <v>199</v>
      </c>
      <c r="C164" s="10"/>
      <c r="D164" s="10" t="n">
        <v>5.3</v>
      </c>
      <c r="E164" s="10"/>
      <c r="F164" s="10" t="n">
        <f aca="false">IF(D164&lt;&gt;"",D164,IF(C164&lt;&gt;"",C164,""))</f>
        <v>5.3</v>
      </c>
      <c r="G164" s="10" t="str">
        <f aca="false">IF(AND(E164&lt;&gt;"",F164&lt;&gt;""),E164-F164,"")</f>
        <v/>
      </c>
      <c r="H164" s="14" t="str">
        <f aca="false">IF(G164="","",IF(F164=0,"",G164/F164))</f>
        <v/>
      </c>
      <c r="I164" s="15" t="str">
        <f aca="false">IF(E164="","SIN COMPRA",IF(F164="","NUEVO",IF(ROUND(G164,4)&gt;0,"SUBE",IF(ROUND(G164,4)&lt;0,"BAJA","IGUAL"))))</f>
        <v>SIN COMPRA</v>
      </c>
      <c r="J164" s="14" t="str">
        <f aca="false">IF(AND(C164&lt;&gt;"",D164&lt;&gt;""),IF(C164=0,"",D164/C164-1),"")</f>
        <v/>
      </c>
      <c r="K164" s="9"/>
    </row>
    <row r="165" customFormat="false" ht="15" hidden="false" customHeight="false" outlineLevel="0" collapsed="false">
      <c r="A165" s="9" t="s">
        <v>195</v>
      </c>
      <c r="B165" s="9" t="s">
        <v>200</v>
      </c>
      <c r="C165" s="10"/>
      <c r="D165" s="10" t="n">
        <v>7.88</v>
      </c>
      <c r="E165" s="10" t="n">
        <v>7.88</v>
      </c>
      <c r="F165" s="10" t="n">
        <f aca="false">IF(D165&lt;&gt;"",D165,IF(C165&lt;&gt;"",C165,""))</f>
        <v>7.88</v>
      </c>
      <c r="G165" s="10" t="n">
        <f aca="false">IF(AND(E165&lt;&gt;"",F165&lt;&gt;""),E165-F165,"")</f>
        <v>0</v>
      </c>
      <c r="H165" s="14" t="n">
        <f aca="false">IF(G165="","",IF(F165=0,"",G165/F165))</f>
        <v>0</v>
      </c>
      <c r="I165" s="15" t="str">
        <f aca="false">IF(E165="","SIN COMPRA",IF(F165="","NUEVO",IF(ROUND(G165,4)&gt;0,"SUBE",IF(ROUND(G165,4)&lt;0,"BAJA","IGUAL"))))</f>
        <v>IGUAL</v>
      </c>
      <c r="J165" s="14" t="str">
        <f aca="false">IF(AND(C165&lt;&gt;"",D165&lt;&gt;""),IF(C165=0,"",D165/C165-1),"")</f>
        <v/>
      </c>
      <c r="K165" s="9"/>
    </row>
    <row r="166" customFormat="false" ht="15" hidden="false" customHeight="false" outlineLevel="0" collapsed="false">
      <c r="A166" s="9" t="s">
        <v>195</v>
      </c>
      <c r="B166" s="9" t="s">
        <v>201</v>
      </c>
      <c r="C166" s="10"/>
      <c r="D166" s="10" t="n">
        <v>4.67</v>
      </c>
      <c r="E166" s="10" t="n">
        <v>4.67</v>
      </c>
      <c r="F166" s="10" t="n">
        <f aca="false">IF(D166&lt;&gt;"",D166,IF(C166&lt;&gt;"",C166,""))</f>
        <v>4.67</v>
      </c>
      <c r="G166" s="10" t="n">
        <f aca="false">IF(AND(E166&lt;&gt;"",F166&lt;&gt;""),E166-F166,"")</f>
        <v>0</v>
      </c>
      <c r="H166" s="14" t="n">
        <f aca="false">IF(G166="","",IF(F166=0,"",G166/F166))</f>
        <v>0</v>
      </c>
      <c r="I166" s="15" t="str">
        <f aca="false">IF(E166="","SIN COMPRA",IF(F166="","NUEVO",IF(ROUND(G166,4)&gt;0,"SUBE",IF(ROUND(G166,4)&lt;0,"BAJA","IGUAL"))))</f>
        <v>IGUAL</v>
      </c>
      <c r="J166" s="14" t="str">
        <f aca="false">IF(AND(C166&lt;&gt;"",D166&lt;&gt;""),IF(C166=0,"",D166/C166-1),"")</f>
        <v/>
      </c>
      <c r="K166" s="9"/>
    </row>
    <row r="167" customFormat="false" ht="15" hidden="false" customHeight="false" outlineLevel="0" collapsed="false">
      <c r="A167" s="9" t="s">
        <v>195</v>
      </c>
      <c r="B167" s="9" t="s">
        <v>202</v>
      </c>
      <c r="C167" s="10"/>
      <c r="D167" s="10" t="n">
        <v>8.78</v>
      </c>
      <c r="E167" s="10" t="n">
        <v>8.78</v>
      </c>
      <c r="F167" s="10" t="n">
        <f aca="false">IF(D167&lt;&gt;"",D167,IF(C167&lt;&gt;"",C167,""))</f>
        <v>8.78</v>
      </c>
      <c r="G167" s="10" t="n">
        <f aca="false">IF(AND(E167&lt;&gt;"",F167&lt;&gt;""),E167-F167,"")</f>
        <v>0</v>
      </c>
      <c r="H167" s="14" t="n">
        <f aca="false">IF(G167="","",IF(F167=0,"",G167/F167))</f>
        <v>0</v>
      </c>
      <c r="I167" s="15" t="str">
        <f aca="false">IF(E167="","SIN COMPRA",IF(F167="","NUEVO",IF(ROUND(G167,4)&gt;0,"SUBE",IF(ROUND(G167,4)&lt;0,"BAJA","IGUAL"))))</f>
        <v>IGUAL</v>
      </c>
      <c r="J167" s="14" t="str">
        <f aca="false">IF(AND(C167&lt;&gt;"",D167&lt;&gt;""),IF(C167=0,"",D167/C167-1),"")</f>
        <v/>
      </c>
      <c r="K167" s="9"/>
    </row>
    <row r="168" customFormat="false" ht="15" hidden="false" customHeight="false" outlineLevel="0" collapsed="false">
      <c r="A168" s="9" t="s">
        <v>195</v>
      </c>
      <c r="B168" s="9" t="s">
        <v>203</v>
      </c>
      <c r="C168" s="10"/>
      <c r="D168" s="10" t="n">
        <v>21.38</v>
      </c>
      <c r="E168" s="10" t="n">
        <v>21.38</v>
      </c>
      <c r="F168" s="10" t="n">
        <f aca="false">IF(D168&lt;&gt;"",D168,IF(C168&lt;&gt;"",C168,""))</f>
        <v>21.38</v>
      </c>
      <c r="G168" s="10" t="n">
        <f aca="false">IF(AND(E168&lt;&gt;"",F168&lt;&gt;""),E168-F168,"")</f>
        <v>0</v>
      </c>
      <c r="H168" s="14" t="n">
        <f aca="false">IF(G168="","",IF(F168=0,"",G168/F168))</f>
        <v>0</v>
      </c>
      <c r="I168" s="15" t="str">
        <f aca="false">IF(E168="","SIN COMPRA",IF(F168="","NUEVO",IF(ROUND(G168,4)&gt;0,"SUBE",IF(ROUND(G168,4)&lt;0,"BAJA","IGUAL"))))</f>
        <v>IGUAL</v>
      </c>
      <c r="J168" s="14" t="str">
        <f aca="false">IF(AND(C168&lt;&gt;"",D168&lt;&gt;""),IF(C168=0,"",D168/C168-1),"")</f>
        <v/>
      </c>
      <c r="K168" s="9"/>
    </row>
    <row r="169" customFormat="false" ht="15" hidden="false" customHeight="false" outlineLevel="0" collapsed="false">
      <c r="A169" s="9" t="s">
        <v>195</v>
      </c>
      <c r="B169" s="9" t="s">
        <v>204</v>
      </c>
      <c r="C169" s="10"/>
      <c r="D169" s="10" t="n">
        <v>5.44</v>
      </c>
      <c r="E169" s="10" t="n">
        <v>5.44</v>
      </c>
      <c r="F169" s="10" t="n">
        <f aca="false">IF(D169&lt;&gt;"",D169,IF(C169&lt;&gt;"",C169,""))</f>
        <v>5.44</v>
      </c>
      <c r="G169" s="10" t="n">
        <f aca="false">IF(AND(E169&lt;&gt;"",F169&lt;&gt;""),E169-F169,"")</f>
        <v>0</v>
      </c>
      <c r="H169" s="14" t="n">
        <f aca="false">IF(G169="","",IF(F169=0,"",G169/F169))</f>
        <v>0</v>
      </c>
      <c r="I169" s="15" t="str">
        <f aca="false">IF(E169="","SIN COMPRA",IF(F169="","NUEVO",IF(ROUND(G169,4)&gt;0,"SUBE",IF(ROUND(G169,4)&lt;0,"BAJA","IGUAL"))))</f>
        <v>IGUAL</v>
      </c>
      <c r="J169" s="14" t="str">
        <f aca="false">IF(AND(C169&lt;&gt;"",D169&lt;&gt;""),IF(C169=0,"",D169/C169-1),"")</f>
        <v/>
      </c>
      <c r="K169" s="9"/>
    </row>
    <row r="170" customFormat="false" ht="15" hidden="false" customHeight="false" outlineLevel="0" collapsed="false">
      <c r="A170" s="9" t="s">
        <v>195</v>
      </c>
      <c r="B170" s="9" t="s">
        <v>205</v>
      </c>
      <c r="C170" s="10"/>
      <c r="D170" s="10" t="n">
        <v>6.08</v>
      </c>
      <c r="E170" s="10"/>
      <c r="F170" s="10" t="n">
        <f aca="false">IF(D170&lt;&gt;"",D170,IF(C170&lt;&gt;"",C170,""))</f>
        <v>6.08</v>
      </c>
      <c r="G170" s="10" t="str">
        <f aca="false">IF(AND(E170&lt;&gt;"",F170&lt;&gt;""),E170-F170,"")</f>
        <v/>
      </c>
      <c r="H170" s="14" t="str">
        <f aca="false">IF(G170="","",IF(F170=0,"",G170/F170))</f>
        <v/>
      </c>
      <c r="I170" s="15" t="str">
        <f aca="false">IF(E170="","SIN COMPRA",IF(F170="","NUEVO",IF(ROUND(G170,4)&gt;0,"SUBE",IF(ROUND(G170,4)&lt;0,"BAJA","IGUAL"))))</f>
        <v>SIN COMPRA</v>
      </c>
      <c r="J170" s="14" t="str">
        <f aca="false">IF(AND(C170&lt;&gt;"",D170&lt;&gt;""),IF(C170=0,"",D170/C170-1),"")</f>
        <v/>
      </c>
      <c r="K170" s="9"/>
    </row>
    <row r="171" customFormat="false" ht="15" hidden="false" customHeight="false" outlineLevel="0" collapsed="false">
      <c r="A171" s="9" t="s">
        <v>206</v>
      </c>
      <c r="B171" s="9" t="s">
        <v>207</v>
      </c>
      <c r="C171" s="10"/>
      <c r="D171" s="10"/>
      <c r="E171" s="10" t="n">
        <v>0.95</v>
      </c>
      <c r="F171" s="10" t="str">
        <f aca="false">IF(D171&lt;&gt;"",D171,IF(C171&lt;&gt;"",C171,""))</f>
        <v/>
      </c>
      <c r="G171" s="10" t="str">
        <f aca="false">IF(AND(E171&lt;&gt;"",F171&lt;&gt;""),E171-F171,"")</f>
        <v/>
      </c>
      <c r="H171" s="14" t="str">
        <f aca="false">IF(G171="","",IF(F171=0,"",G171/F171))</f>
        <v/>
      </c>
      <c r="I171" s="15" t="str">
        <f aca="false">IF(E171="","SIN COMPRA",IF(F171="","NUEVO",IF(ROUND(G171,4)&gt;0,"SUBE",IF(ROUND(G171,4)&lt;0,"BAJA","IGUAL"))))</f>
        <v>NUEVO</v>
      </c>
      <c r="J171" s="14" t="str">
        <f aca="false">IF(AND(C171&lt;&gt;"",D171&lt;&gt;""),IF(C171=0,"",D171/C171-1),"")</f>
        <v/>
      </c>
      <c r="K171" s="9" t="s">
        <v>208</v>
      </c>
    </row>
    <row r="172" customFormat="false" ht="15" hidden="false" customHeight="false" outlineLevel="0" collapsed="false">
      <c r="A172" s="9" t="s">
        <v>206</v>
      </c>
      <c r="B172" s="9" t="s">
        <v>209</v>
      </c>
      <c r="C172" s="10"/>
      <c r="D172" s="10"/>
      <c r="E172" s="10" t="n">
        <v>0.93</v>
      </c>
      <c r="F172" s="10" t="str">
        <f aca="false">IF(D172&lt;&gt;"",D172,IF(C172&lt;&gt;"",C172,""))</f>
        <v/>
      </c>
      <c r="G172" s="10" t="str">
        <f aca="false">IF(AND(E172&lt;&gt;"",F172&lt;&gt;""),E172-F172,"")</f>
        <v/>
      </c>
      <c r="H172" s="14" t="str">
        <f aca="false">IF(G172="","",IF(F172=0,"",G172/F172))</f>
        <v/>
      </c>
      <c r="I172" s="15" t="str">
        <f aca="false">IF(E172="","SIN COMPRA",IF(F172="","NUEVO",IF(ROUND(G172,4)&gt;0,"SUBE",IF(ROUND(G172,4)&lt;0,"BAJA","IGUAL"))))</f>
        <v>NUEVO</v>
      </c>
      <c r="J172" s="14" t="str">
        <f aca="false">IF(AND(C172&lt;&gt;"",D172&lt;&gt;""),IF(C172=0,"",D172/C172-1),"")</f>
        <v/>
      </c>
      <c r="K172" s="9" t="s">
        <v>210</v>
      </c>
    </row>
    <row r="173" customFormat="false" ht="15" hidden="false" customHeight="false" outlineLevel="0" collapsed="false">
      <c r="A173" s="9" t="s">
        <v>211</v>
      </c>
      <c r="B173" s="9" t="s">
        <v>212</v>
      </c>
      <c r="C173" s="10" t="n">
        <v>48</v>
      </c>
      <c r="D173" s="10" t="n">
        <v>48</v>
      </c>
      <c r="E173" s="10" t="n">
        <v>48</v>
      </c>
      <c r="F173" s="10" t="n">
        <f aca="false">IF(D173&lt;&gt;"",D173,IF(C173&lt;&gt;"",C173,""))</f>
        <v>48</v>
      </c>
      <c r="G173" s="10" t="n">
        <f aca="false">IF(AND(E173&lt;&gt;"",F173&lt;&gt;""),E173-F173,"")</f>
        <v>0</v>
      </c>
      <c r="H173" s="14" t="n">
        <f aca="false">IF(G173="","",IF(F173=0,"",G173/F173))</f>
        <v>0</v>
      </c>
      <c r="I173" s="15" t="str">
        <f aca="false">IF(E173="","SIN COMPRA",IF(F173="","NUEVO",IF(ROUND(G173,4)&gt;0,"SUBE",IF(ROUND(G173,4)&lt;0,"BAJA","IGUAL"))))</f>
        <v>IGUAL</v>
      </c>
      <c r="J173" s="14" t="n">
        <f aca="false">IF(AND(C173&lt;&gt;"",D173&lt;&gt;""),IF(C173=0,"",D173/C173-1),"")</f>
        <v>0</v>
      </c>
      <c r="K173" s="9" t="s">
        <v>27</v>
      </c>
    </row>
    <row r="174" customFormat="false" ht="15" hidden="false" customHeight="false" outlineLevel="0" collapsed="false">
      <c r="A174" s="9" t="s">
        <v>213</v>
      </c>
      <c r="B174" s="9" t="s">
        <v>214</v>
      </c>
      <c r="C174" s="10" t="n">
        <v>87</v>
      </c>
      <c r="D174" s="10"/>
      <c r="E174" s="10" t="n">
        <v>78</v>
      </c>
      <c r="F174" s="10" t="n">
        <f aca="false">IF(D174&lt;&gt;"",D174,IF(C174&lt;&gt;"",C174,""))</f>
        <v>87</v>
      </c>
      <c r="G174" s="10" t="n">
        <f aca="false">IF(AND(E174&lt;&gt;"",F174&lt;&gt;""),E174-F174,"")</f>
        <v>-9</v>
      </c>
      <c r="H174" s="14" t="n">
        <f aca="false">IF(G174="","",IF(F174=0,"",G174/F174))</f>
        <v>-0.103448275862069</v>
      </c>
      <c r="I174" s="15" t="str">
        <f aca="false">IF(E174="","SIN COMPRA",IF(F174="","NUEVO",IF(ROUND(G174,4)&gt;0,"SUBE",IF(ROUND(G174,4)&lt;0,"BAJA","IGUAL"))))</f>
        <v>BAJA</v>
      </c>
      <c r="J174" s="14" t="str">
        <f aca="false">IF(AND(C174&lt;&gt;"",D174&lt;&gt;""),IF(C174=0,"",D174/C174-1),"")</f>
        <v/>
      </c>
      <c r="K174" s="9" t="s">
        <v>215</v>
      </c>
    </row>
    <row r="175" customFormat="false" ht="15" hidden="false" customHeight="false" outlineLevel="0" collapsed="false">
      <c r="A175" s="9" t="s">
        <v>213</v>
      </c>
      <c r="B175" s="9" t="s">
        <v>183</v>
      </c>
      <c r="C175" s="10" t="n">
        <v>18.5</v>
      </c>
      <c r="D175" s="10"/>
      <c r="E175" s="10"/>
      <c r="F175" s="10" t="n">
        <f aca="false">IF(D175&lt;&gt;"",D175,IF(C175&lt;&gt;"",C175,""))</f>
        <v>18.5</v>
      </c>
      <c r="G175" s="10" t="str">
        <f aca="false">IF(AND(E175&lt;&gt;"",F175&lt;&gt;""),E175-F175,"")</f>
        <v/>
      </c>
      <c r="H175" s="14" t="str">
        <f aca="false">IF(G175="","",IF(F175=0,"",G175/F175))</f>
        <v/>
      </c>
      <c r="I175" s="15" t="str">
        <f aca="false">IF(E175="","SIN COMPRA",IF(F175="","NUEVO",IF(ROUND(G175,4)&gt;0,"SUBE",IF(ROUND(G175,4)&lt;0,"BAJA","IGUAL"))))</f>
        <v>SIN COMPRA</v>
      </c>
      <c r="J175" s="14" t="str">
        <f aca="false">IF(AND(C175&lt;&gt;"",D175&lt;&gt;""),IF(C175=0,"",D175/C175-1),"")</f>
        <v/>
      </c>
      <c r="K175" s="9" t="s">
        <v>27</v>
      </c>
    </row>
    <row r="176" customFormat="false" ht="15" hidden="false" customHeight="false" outlineLevel="0" collapsed="false">
      <c r="A176" s="9" t="s">
        <v>213</v>
      </c>
      <c r="B176" s="9" t="s">
        <v>216</v>
      </c>
      <c r="C176" s="10" t="n">
        <v>26.5</v>
      </c>
      <c r="D176" s="10" t="n">
        <v>21.5</v>
      </c>
      <c r="E176" s="10" t="n">
        <v>21.5</v>
      </c>
      <c r="F176" s="10" t="n">
        <f aca="false">IF(D176&lt;&gt;"",D176,IF(C176&lt;&gt;"",C176,""))</f>
        <v>21.5</v>
      </c>
      <c r="G176" s="10" t="n">
        <f aca="false">IF(AND(E176&lt;&gt;"",F176&lt;&gt;""),E176-F176,"")</f>
        <v>0</v>
      </c>
      <c r="H176" s="14" t="n">
        <f aca="false">IF(G176="","",IF(F176=0,"",G176/F176))</f>
        <v>0</v>
      </c>
      <c r="I176" s="15" t="str">
        <f aca="false">IF(E176="","SIN COMPRA",IF(F176="","NUEVO",IF(ROUND(G176,4)&gt;0,"SUBE",IF(ROUND(G176,4)&lt;0,"BAJA","IGUAL"))))</f>
        <v>IGUAL</v>
      </c>
      <c r="J176" s="14" t="n">
        <f aca="false">IF(AND(C176&lt;&gt;"",D176&lt;&gt;""),IF(C176=0,"",D176/C176-1),"")</f>
        <v>-0.188679245283019</v>
      </c>
      <c r="K176" s="9" t="s">
        <v>217</v>
      </c>
    </row>
    <row r="177" customFormat="false" ht="15" hidden="false" customHeight="false" outlineLevel="0" collapsed="false">
      <c r="A177" s="9" t="s">
        <v>213</v>
      </c>
      <c r="B177" s="9" t="s">
        <v>218</v>
      </c>
      <c r="C177" s="10" t="n">
        <v>98</v>
      </c>
      <c r="D177" s="10" t="n">
        <v>118</v>
      </c>
      <c r="E177" s="10" t="n">
        <v>98</v>
      </c>
      <c r="F177" s="10" t="n">
        <f aca="false">IF(D177&lt;&gt;"",D177,IF(C177&lt;&gt;"",C177,""))</f>
        <v>118</v>
      </c>
      <c r="G177" s="10" t="n">
        <f aca="false">IF(AND(E177&lt;&gt;"",F177&lt;&gt;""),E177-F177,"")</f>
        <v>-20</v>
      </c>
      <c r="H177" s="14" t="n">
        <f aca="false">IF(G177="","",IF(F177=0,"",G177/F177))</f>
        <v>-0.169491525423729</v>
      </c>
      <c r="I177" s="15" t="str">
        <f aca="false">IF(E177="","SIN COMPRA",IF(F177="","NUEVO",IF(ROUND(G177,4)&gt;0,"SUBE",IF(ROUND(G177,4)&lt;0,"BAJA","IGUAL"))))</f>
        <v>BAJA</v>
      </c>
      <c r="J177" s="14" t="n">
        <f aca="false">IF(AND(C177&lt;&gt;"",D177&lt;&gt;""),IF(C177=0,"",D177/C177-1),"")</f>
        <v>0.204081632653061</v>
      </c>
      <c r="K177" s="9" t="s">
        <v>219</v>
      </c>
    </row>
    <row r="178" customFormat="false" ht="15" hidden="false" customHeight="false" outlineLevel="0" collapsed="false">
      <c r="A178" s="9" t="s">
        <v>213</v>
      </c>
      <c r="B178" s="9" t="s">
        <v>220</v>
      </c>
      <c r="C178" s="10" t="n">
        <v>11.5</v>
      </c>
      <c r="D178" s="10"/>
      <c r="E178" s="10"/>
      <c r="F178" s="10" t="n">
        <f aca="false">IF(D178&lt;&gt;"",D178,IF(C178&lt;&gt;"",C178,""))</f>
        <v>11.5</v>
      </c>
      <c r="G178" s="10" t="str">
        <f aca="false">IF(AND(E178&lt;&gt;"",F178&lt;&gt;""),E178-F178,"")</f>
        <v/>
      </c>
      <c r="H178" s="14" t="str">
        <f aca="false">IF(G178="","",IF(F178=0,"",G178/F178))</f>
        <v/>
      </c>
      <c r="I178" s="15" t="str">
        <f aca="false">IF(E178="","SIN COMPRA",IF(F178="","NUEVO",IF(ROUND(G178,4)&gt;0,"SUBE",IF(ROUND(G178,4)&lt;0,"BAJA","IGUAL"))))</f>
        <v>SIN COMPRA</v>
      </c>
      <c r="J178" s="14" t="str">
        <f aca="false">IF(AND(C178&lt;&gt;"",D178&lt;&gt;""),IF(C178=0,"",D178/C178-1),"")</f>
        <v/>
      </c>
      <c r="K178" s="9" t="s">
        <v>27</v>
      </c>
    </row>
    <row r="179" customFormat="false" ht="15" hidden="false" customHeight="false" outlineLevel="0" collapsed="false">
      <c r="A179" s="9" t="s">
        <v>213</v>
      </c>
      <c r="B179" s="9" t="s">
        <v>221</v>
      </c>
      <c r="C179" s="10" t="n">
        <v>59</v>
      </c>
      <c r="D179" s="10" t="n">
        <v>72</v>
      </c>
      <c r="E179" s="10" t="n">
        <v>75</v>
      </c>
      <c r="F179" s="10" t="n">
        <f aca="false">IF(D179&lt;&gt;"",D179,IF(C179&lt;&gt;"",C179,""))</f>
        <v>72</v>
      </c>
      <c r="G179" s="10" t="n">
        <f aca="false">IF(AND(E179&lt;&gt;"",F179&lt;&gt;""),E179-F179,"")</f>
        <v>3</v>
      </c>
      <c r="H179" s="14" t="n">
        <f aca="false">IF(G179="","",IF(F179=0,"",G179/F179))</f>
        <v>0.0416666666666667</v>
      </c>
      <c r="I179" s="15" t="str">
        <f aca="false">IF(E179="","SIN COMPRA",IF(F179="","NUEVO",IF(ROUND(G179,4)&gt;0,"SUBE",IF(ROUND(G179,4)&lt;0,"BAJA","IGUAL"))))</f>
        <v>SUBE</v>
      </c>
      <c r="J179" s="14" t="n">
        <f aca="false">IF(AND(C179&lt;&gt;"",D179&lt;&gt;""),IF(C179=0,"",D179/C179-1),"")</f>
        <v>0.220338983050848</v>
      </c>
      <c r="K179" s="9" t="s">
        <v>222</v>
      </c>
    </row>
    <row r="180" customFormat="false" ht="15" hidden="false" customHeight="false" outlineLevel="0" collapsed="false">
      <c r="A180" s="9" t="s">
        <v>213</v>
      </c>
      <c r="B180" s="9" t="s">
        <v>223</v>
      </c>
      <c r="C180" s="10" t="n">
        <v>58</v>
      </c>
      <c r="D180" s="10" t="n">
        <v>58</v>
      </c>
      <c r="E180" s="10"/>
      <c r="F180" s="10" t="n">
        <f aca="false">IF(D180&lt;&gt;"",D180,IF(C180&lt;&gt;"",C180,""))</f>
        <v>58</v>
      </c>
      <c r="G180" s="10" t="str">
        <f aca="false">IF(AND(E180&lt;&gt;"",F180&lt;&gt;""),E180-F180,"")</f>
        <v/>
      </c>
      <c r="H180" s="14" t="str">
        <f aca="false">IF(G180="","",IF(F180=0,"",G180/F180))</f>
        <v/>
      </c>
      <c r="I180" s="15" t="str">
        <f aca="false">IF(E180="","SIN COMPRA",IF(F180="","NUEVO",IF(ROUND(G180,4)&gt;0,"SUBE",IF(ROUND(G180,4)&lt;0,"BAJA","IGUAL"))))</f>
        <v>SIN COMPRA</v>
      </c>
      <c r="J180" s="14" t="n">
        <f aca="false">IF(AND(C180&lt;&gt;"",D180&lt;&gt;""),IF(C180=0,"",D180/C180-1),"")</f>
        <v>0</v>
      </c>
      <c r="K180" s="9" t="s">
        <v>27</v>
      </c>
    </row>
    <row r="181" customFormat="false" ht="15" hidden="false" customHeight="false" outlineLevel="0" collapsed="false">
      <c r="A181" s="9" t="s">
        <v>213</v>
      </c>
      <c r="B181" s="9" t="s">
        <v>224</v>
      </c>
      <c r="C181" s="10" t="n">
        <v>28.5</v>
      </c>
      <c r="D181" s="10" t="n">
        <v>28.5</v>
      </c>
      <c r="E181" s="10" t="n">
        <v>30</v>
      </c>
      <c r="F181" s="10" t="n">
        <f aca="false">IF(D181&lt;&gt;"",D181,IF(C181&lt;&gt;"",C181,""))</f>
        <v>28.5</v>
      </c>
      <c r="G181" s="10" t="n">
        <f aca="false">IF(AND(E181&lt;&gt;"",F181&lt;&gt;""),E181-F181,"")</f>
        <v>1.5</v>
      </c>
      <c r="H181" s="14" t="n">
        <f aca="false">IF(G181="","",IF(F181=0,"",G181/F181))</f>
        <v>0.0526315789473684</v>
      </c>
      <c r="I181" s="15" t="str">
        <f aca="false">IF(E181="","SIN COMPRA",IF(F181="","NUEVO",IF(ROUND(G181,4)&gt;0,"SUBE",IF(ROUND(G181,4)&lt;0,"BAJA","IGUAL"))))</f>
        <v>SUBE</v>
      </c>
      <c r="J181" s="14" t="n">
        <f aca="false">IF(AND(C181&lt;&gt;"",D181&lt;&gt;""),IF(C181=0,"",D181/C181-1),"")</f>
        <v>0</v>
      </c>
      <c r="K181" s="9" t="s">
        <v>27</v>
      </c>
    </row>
    <row r="182" customFormat="false" ht="15" hidden="false" customHeight="false" outlineLevel="0" collapsed="false">
      <c r="A182" s="9" t="s">
        <v>213</v>
      </c>
      <c r="B182" s="9" t="s">
        <v>225</v>
      </c>
      <c r="C182" s="10" t="n">
        <v>88</v>
      </c>
      <c r="D182" s="10" t="n">
        <v>88</v>
      </c>
      <c r="E182" s="10"/>
      <c r="F182" s="10" t="n">
        <f aca="false">IF(D182&lt;&gt;"",D182,IF(C182&lt;&gt;"",C182,""))</f>
        <v>88</v>
      </c>
      <c r="G182" s="10" t="str">
        <f aca="false">IF(AND(E182&lt;&gt;"",F182&lt;&gt;""),E182-F182,"")</f>
        <v/>
      </c>
      <c r="H182" s="14" t="str">
        <f aca="false">IF(G182="","",IF(F182=0,"",G182/F182))</f>
        <v/>
      </c>
      <c r="I182" s="15" t="str">
        <f aca="false">IF(E182="","SIN COMPRA",IF(F182="","NUEVO",IF(ROUND(G182,4)&gt;0,"SUBE",IF(ROUND(G182,4)&lt;0,"BAJA","IGUAL"))))</f>
        <v>SIN COMPRA</v>
      </c>
      <c r="J182" s="14" t="n">
        <f aca="false">IF(AND(C182&lt;&gt;"",D182&lt;&gt;""),IF(C182=0,"",D182/C182-1),"")</f>
        <v>0</v>
      </c>
      <c r="K182" s="9" t="s">
        <v>226</v>
      </c>
    </row>
    <row r="183" customFormat="false" ht="15" hidden="false" customHeight="false" outlineLevel="0" collapsed="false">
      <c r="A183" s="9" t="s">
        <v>213</v>
      </c>
      <c r="B183" s="9" t="s">
        <v>227</v>
      </c>
      <c r="C183" s="10" t="n">
        <v>35</v>
      </c>
      <c r="D183" s="10" t="n">
        <v>35</v>
      </c>
      <c r="E183" s="10" t="n">
        <v>35</v>
      </c>
      <c r="F183" s="10" t="n">
        <f aca="false">IF(D183&lt;&gt;"",D183,IF(C183&lt;&gt;"",C183,""))</f>
        <v>35</v>
      </c>
      <c r="G183" s="10" t="n">
        <f aca="false">IF(AND(E183&lt;&gt;"",F183&lt;&gt;""),E183-F183,"")</f>
        <v>0</v>
      </c>
      <c r="H183" s="14" t="n">
        <f aca="false">IF(G183="","",IF(F183=0,"",G183/F183))</f>
        <v>0</v>
      </c>
      <c r="I183" s="15" t="str">
        <f aca="false">IF(E183="","SIN COMPRA",IF(F183="","NUEVO",IF(ROUND(G183,4)&gt;0,"SUBE",IF(ROUND(G183,4)&lt;0,"BAJA","IGUAL"))))</f>
        <v>IGUAL</v>
      </c>
      <c r="J183" s="14" t="n">
        <f aca="false">IF(AND(C183&lt;&gt;"",D183&lt;&gt;""),IF(C183=0,"",D183/C183-1),"")</f>
        <v>0</v>
      </c>
      <c r="K183" s="9" t="s">
        <v>228</v>
      </c>
    </row>
    <row r="184" customFormat="false" ht="15" hidden="false" customHeight="false" outlineLevel="0" collapsed="false">
      <c r="A184" s="9" t="s">
        <v>213</v>
      </c>
      <c r="B184" s="9" t="s">
        <v>229</v>
      </c>
      <c r="C184" s="10" t="n">
        <v>70</v>
      </c>
      <c r="D184" s="10"/>
      <c r="E184" s="10"/>
      <c r="F184" s="10" t="n">
        <f aca="false">IF(D184&lt;&gt;"",D184,IF(C184&lt;&gt;"",C184,""))</f>
        <v>70</v>
      </c>
      <c r="G184" s="10" t="str">
        <f aca="false">IF(AND(E184&lt;&gt;"",F184&lt;&gt;""),E184-F184,"")</f>
        <v/>
      </c>
      <c r="H184" s="14" t="str">
        <f aca="false">IF(G184="","",IF(F184=0,"",G184/F184))</f>
        <v/>
      </c>
      <c r="I184" s="15" t="str">
        <f aca="false">IF(E184="","SIN COMPRA",IF(F184="","NUEVO",IF(ROUND(G184,4)&gt;0,"SUBE",IF(ROUND(G184,4)&lt;0,"BAJA","IGUAL"))))</f>
        <v>SIN COMPRA</v>
      </c>
      <c r="J184" s="14" t="str">
        <f aca="false">IF(AND(C184&lt;&gt;"",D184&lt;&gt;""),IF(C184=0,"",D184/C184-1),"")</f>
        <v/>
      </c>
      <c r="K184" s="9" t="s">
        <v>27</v>
      </c>
    </row>
    <row r="185" customFormat="false" ht="15" hidden="false" customHeight="false" outlineLevel="0" collapsed="false">
      <c r="A185" s="9" t="s">
        <v>213</v>
      </c>
      <c r="B185" s="9" t="s">
        <v>230</v>
      </c>
      <c r="C185" s="10" t="n">
        <v>32.5</v>
      </c>
      <c r="D185" s="10" t="n">
        <v>29</v>
      </c>
      <c r="E185" s="10" t="n">
        <v>29.5</v>
      </c>
      <c r="F185" s="10" t="n">
        <f aca="false">IF(D185&lt;&gt;"",D185,IF(C185&lt;&gt;"",C185,""))</f>
        <v>29</v>
      </c>
      <c r="G185" s="10" t="n">
        <f aca="false">IF(AND(E185&lt;&gt;"",F185&lt;&gt;""),E185-F185,"")</f>
        <v>0.5</v>
      </c>
      <c r="H185" s="14" t="n">
        <f aca="false">IF(G185="","",IF(F185=0,"",G185/F185))</f>
        <v>0.0172413793103448</v>
      </c>
      <c r="I185" s="15" t="str">
        <f aca="false">IF(E185="","SIN COMPRA",IF(F185="","NUEVO",IF(ROUND(G185,4)&gt;0,"SUBE",IF(ROUND(G185,4)&lt;0,"BAJA","IGUAL"))))</f>
        <v>SUBE</v>
      </c>
      <c r="J185" s="14" t="n">
        <f aca="false">IF(AND(C185&lt;&gt;"",D185&lt;&gt;""),IF(C185=0,"",D185/C185-1),"")</f>
        <v>-0.107692307692308</v>
      </c>
      <c r="K185" s="9" t="s">
        <v>231</v>
      </c>
    </row>
    <row r="186" customFormat="false" ht="15" hidden="false" customHeight="false" outlineLevel="0" collapsed="false">
      <c r="A186" s="9" t="s">
        <v>213</v>
      </c>
      <c r="B186" s="9" t="s">
        <v>232</v>
      </c>
      <c r="C186" s="10" t="n">
        <v>13</v>
      </c>
      <c r="D186" s="10" t="n">
        <v>13</v>
      </c>
      <c r="E186" s="10"/>
      <c r="F186" s="10" t="n">
        <f aca="false">IF(D186&lt;&gt;"",D186,IF(C186&lt;&gt;"",C186,""))</f>
        <v>13</v>
      </c>
      <c r="G186" s="10" t="str">
        <f aca="false">IF(AND(E186&lt;&gt;"",F186&lt;&gt;""),E186-F186,"")</f>
        <v/>
      </c>
      <c r="H186" s="14" t="str">
        <f aca="false">IF(G186="","",IF(F186=0,"",G186/F186))</f>
        <v/>
      </c>
      <c r="I186" s="15" t="str">
        <f aca="false">IF(E186="","SIN COMPRA",IF(F186="","NUEVO",IF(ROUND(G186,4)&gt;0,"SUBE",IF(ROUND(G186,4)&lt;0,"BAJA","IGUAL"))))</f>
        <v>SIN COMPRA</v>
      </c>
      <c r="J186" s="14" t="n">
        <f aca="false">IF(AND(C186&lt;&gt;"",D186&lt;&gt;""),IF(C186=0,"",D186/C186-1),"")</f>
        <v>0</v>
      </c>
      <c r="K186" s="9" t="s">
        <v>233</v>
      </c>
    </row>
    <row r="187" customFormat="false" ht="15" hidden="false" customHeight="false" outlineLevel="0" collapsed="false">
      <c r="A187" s="9" t="s">
        <v>213</v>
      </c>
      <c r="B187" s="9" t="s">
        <v>234</v>
      </c>
      <c r="C187" s="10" t="n">
        <v>30.5</v>
      </c>
      <c r="D187" s="10" t="n">
        <v>30.5</v>
      </c>
      <c r="E187" s="10" t="n">
        <v>30.5</v>
      </c>
      <c r="F187" s="10" t="n">
        <f aca="false">IF(D187&lt;&gt;"",D187,IF(C187&lt;&gt;"",C187,""))</f>
        <v>30.5</v>
      </c>
      <c r="G187" s="10" t="n">
        <f aca="false">IF(AND(E187&lt;&gt;"",F187&lt;&gt;""),E187-F187,"")</f>
        <v>0</v>
      </c>
      <c r="H187" s="14" t="n">
        <f aca="false">IF(G187="","",IF(F187=0,"",G187/F187))</f>
        <v>0</v>
      </c>
      <c r="I187" s="15" t="str">
        <f aca="false">IF(E187="","SIN COMPRA",IF(F187="","NUEVO",IF(ROUND(G187,4)&gt;0,"SUBE",IF(ROUND(G187,4)&lt;0,"BAJA","IGUAL"))))</f>
        <v>IGUAL</v>
      </c>
      <c r="J187" s="14" t="n">
        <f aca="false">IF(AND(C187&lt;&gt;"",D187&lt;&gt;""),IF(C187=0,"",D187/C187-1),"")</f>
        <v>0</v>
      </c>
      <c r="K187" s="9" t="s">
        <v>27</v>
      </c>
    </row>
    <row r="188" customFormat="false" ht="15" hidden="false" customHeight="false" outlineLevel="0" collapsed="false">
      <c r="A188" s="9" t="s">
        <v>213</v>
      </c>
      <c r="B188" s="9" t="s">
        <v>235</v>
      </c>
      <c r="C188" s="10" t="n">
        <v>58</v>
      </c>
      <c r="D188" s="10" t="n">
        <v>58</v>
      </c>
      <c r="E188" s="10" t="n">
        <v>59</v>
      </c>
      <c r="F188" s="10" t="n">
        <f aca="false">IF(D188&lt;&gt;"",D188,IF(C188&lt;&gt;"",C188,""))</f>
        <v>58</v>
      </c>
      <c r="G188" s="10" t="n">
        <f aca="false">IF(AND(E188&lt;&gt;"",F188&lt;&gt;""),E188-F188,"")</f>
        <v>1</v>
      </c>
      <c r="H188" s="14" t="n">
        <f aca="false">IF(G188="","",IF(F188=0,"",G188/F188))</f>
        <v>0.0172413793103448</v>
      </c>
      <c r="I188" s="15" t="str">
        <f aca="false">IF(E188="","SIN COMPRA",IF(F188="","NUEVO",IF(ROUND(G188,4)&gt;0,"SUBE",IF(ROUND(G188,4)&lt;0,"BAJA","IGUAL"))))</f>
        <v>SUBE</v>
      </c>
      <c r="J188" s="14" t="n">
        <f aca="false">IF(AND(C188&lt;&gt;"",D188&lt;&gt;""),IF(C188=0,"",D188/C188-1),"")</f>
        <v>0</v>
      </c>
      <c r="K188" s="9" t="s">
        <v>236</v>
      </c>
    </row>
    <row r="189" customFormat="false" ht="15" hidden="false" customHeight="false" outlineLevel="0" collapsed="false">
      <c r="A189" s="9" t="s">
        <v>213</v>
      </c>
      <c r="B189" s="9" t="s">
        <v>237</v>
      </c>
      <c r="C189" s="10" t="n">
        <v>28</v>
      </c>
      <c r="D189" s="10"/>
      <c r="E189" s="10"/>
      <c r="F189" s="10" t="n">
        <f aca="false">IF(D189&lt;&gt;"",D189,IF(C189&lt;&gt;"",C189,""))</f>
        <v>28</v>
      </c>
      <c r="G189" s="10" t="str">
        <f aca="false">IF(AND(E189&lt;&gt;"",F189&lt;&gt;""),E189-F189,"")</f>
        <v/>
      </c>
      <c r="H189" s="14" t="str">
        <f aca="false">IF(G189="","",IF(F189=0,"",G189/F189))</f>
        <v/>
      </c>
      <c r="I189" s="15" t="str">
        <f aca="false">IF(E189="","SIN COMPRA",IF(F189="","NUEVO",IF(ROUND(G189,4)&gt;0,"SUBE",IF(ROUND(G189,4)&lt;0,"BAJA","IGUAL"))))</f>
        <v>SIN COMPRA</v>
      </c>
      <c r="J189" s="14" t="str">
        <f aca="false">IF(AND(C189&lt;&gt;"",D189&lt;&gt;""),IF(C189=0,"",D189/C189-1),"")</f>
        <v/>
      </c>
      <c r="K189" s="9" t="s">
        <v>27</v>
      </c>
    </row>
    <row r="190" customFormat="false" ht="15" hidden="false" customHeight="false" outlineLevel="0" collapsed="false">
      <c r="A190" s="9" t="s">
        <v>213</v>
      </c>
      <c r="B190" s="9" t="s">
        <v>238</v>
      </c>
      <c r="C190" s="10" t="n">
        <v>15.5</v>
      </c>
      <c r="D190" s="10" t="n">
        <v>15.5</v>
      </c>
      <c r="E190" s="10" t="n">
        <v>15.5</v>
      </c>
      <c r="F190" s="10" t="n">
        <f aca="false">IF(D190&lt;&gt;"",D190,IF(C190&lt;&gt;"",C190,""))</f>
        <v>15.5</v>
      </c>
      <c r="G190" s="10" t="n">
        <f aca="false">IF(AND(E190&lt;&gt;"",F190&lt;&gt;""),E190-F190,"")</f>
        <v>0</v>
      </c>
      <c r="H190" s="14" t="n">
        <f aca="false">IF(G190="","",IF(F190=0,"",G190/F190))</f>
        <v>0</v>
      </c>
      <c r="I190" s="15" t="str">
        <f aca="false">IF(E190="","SIN COMPRA",IF(F190="","NUEVO",IF(ROUND(G190,4)&gt;0,"SUBE",IF(ROUND(G190,4)&lt;0,"BAJA","IGUAL"))))</f>
        <v>IGUAL</v>
      </c>
      <c r="J190" s="14" t="n">
        <f aca="false">IF(AND(C190&lt;&gt;"",D190&lt;&gt;""),IF(C190=0,"",D190/C190-1),"")</f>
        <v>0</v>
      </c>
      <c r="K190" s="9" t="s">
        <v>27</v>
      </c>
    </row>
    <row r="191" customFormat="false" ht="15" hidden="false" customHeight="false" outlineLevel="0" collapsed="false">
      <c r="A191" s="9" t="s">
        <v>239</v>
      </c>
      <c r="B191" s="9" t="s">
        <v>240</v>
      </c>
      <c r="C191" s="10" t="n">
        <v>27.9</v>
      </c>
      <c r="D191" s="10" t="n">
        <v>27.9</v>
      </c>
      <c r="E191" s="10"/>
      <c r="F191" s="10" t="n">
        <f aca="false">IF(D191&lt;&gt;"",D191,IF(C191&lt;&gt;"",C191,""))</f>
        <v>27.9</v>
      </c>
      <c r="G191" s="10" t="str">
        <f aca="false">IF(AND(E191&lt;&gt;"",F191&lt;&gt;""),E191-F191,"")</f>
        <v/>
      </c>
      <c r="H191" s="14" t="str">
        <f aca="false">IF(G191="","",IF(F191=0,"",G191/F191))</f>
        <v/>
      </c>
      <c r="I191" s="15" t="str">
        <f aca="false">IF(E191="","SIN COMPRA",IF(F191="","NUEVO",IF(ROUND(G191,4)&gt;0,"SUBE",IF(ROUND(G191,4)&lt;0,"BAJA","IGUAL"))))</f>
        <v>SIN COMPRA</v>
      </c>
      <c r="J191" s="14" t="n">
        <f aca="false">IF(AND(C191&lt;&gt;"",D191&lt;&gt;""),IF(C191=0,"",D191/C191-1),"")</f>
        <v>0</v>
      </c>
      <c r="K191" s="9"/>
    </row>
    <row r="192" customFormat="false" ht="15" hidden="false" customHeight="false" outlineLevel="0" collapsed="false">
      <c r="A192" s="9" t="s">
        <v>239</v>
      </c>
      <c r="B192" s="9" t="s">
        <v>241</v>
      </c>
      <c r="C192" s="10" t="n">
        <v>27.9</v>
      </c>
      <c r="D192" s="10" t="n">
        <v>27.9</v>
      </c>
      <c r="E192" s="10" t="n">
        <v>27.9</v>
      </c>
      <c r="F192" s="10" t="n">
        <f aca="false">IF(D192&lt;&gt;"",D192,IF(C192&lt;&gt;"",C192,""))</f>
        <v>27.9</v>
      </c>
      <c r="G192" s="10" t="n">
        <f aca="false">IF(AND(E192&lt;&gt;"",F192&lt;&gt;""),E192-F192,"")</f>
        <v>0</v>
      </c>
      <c r="H192" s="14" t="n">
        <f aca="false">IF(G192="","",IF(F192=0,"",G192/F192))</f>
        <v>0</v>
      </c>
      <c r="I192" s="15" t="str">
        <f aca="false">IF(E192="","SIN COMPRA",IF(F192="","NUEVO",IF(ROUND(G192,4)&gt;0,"SUBE",IF(ROUND(G192,4)&lt;0,"BAJA","IGUAL"))))</f>
        <v>IGUAL</v>
      </c>
      <c r="J192" s="14" t="n">
        <f aca="false">IF(AND(C192&lt;&gt;"",D192&lt;&gt;""),IF(C192=0,"",D192/C192-1),"")</f>
        <v>0</v>
      </c>
      <c r="K192" s="9"/>
    </row>
    <row r="193" customFormat="false" ht="15" hidden="false" customHeight="false" outlineLevel="0" collapsed="false">
      <c r="A193" s="9" t="s">
        <v>239</v>
      </c>
      <c r="B193" s="9" t="s">
        <v>242</v>
      </c>
      <c r="C193" s="10" t="n">
        <v>8.9</v>
      </c>
      <c r="D193" s="10" t="n">
        <v>8.9</v>
      </c>
      <c r="E193" s="10" t="n">
        <v>8.9</v>
      </c>
      <c r="F193" s="10" t="n">
        <f aca="false">IF(D193&lt;&gt;"",D193,IF(C193&lt;&gt;"",C193,""))</f>
        <v>8.9</v>
      </c>
      <c r="G193" s="10" t="n">
        <f aca="false">IF(AND(E193&lt;&gt;"",F193&lt;&gt;""),E193-F193,"")</f>
        <v>0</v>
      </c>
      <c r="H193" s="14" t="n">
        <f aca="false">IF(G193="","",IF(F193=0,"",G193/F193))</f>
        <v>0</v>
      </c>
      <c r="I193" s="15" t="str">
        <f aca="false">IF(E193="","SIN COMPRA",IF(F193="","NUEVO",IF(ROUND(G193,4)&gt;0,"SUBE",IF(ROUND(G193,4)&lt;0,"BAJA","IGUAL"))))</f>
        <v>IGUAL</v>
      </c>
      <c r="J193" s="14" t="n">
        <f aca="false">IF(AND(C193&lt;&gt;"",D193&lt;&gt;""),IF(C193=0,"",D193/C193-1),"")</f>
        <v>0</v>
      </c>
      <c r="K193" s="9"/>
    </row>
    <row r="194" customFormat="false" ht="15" hidden="false" customHeight="false" outlineLevel="0" collapsed="false">
      <c r="A194" s="9" t="s">
        <v>239</v>
      </c>
      <c r="B194" s="9" t="s">
        <v>243</v>
      </c>
      <c r="C194" s="10" t="n">
        <v>8.9</v>
      </c>
      <c r="D194" s="10" t="n">
        <v>8.9</v>
      </c>
      <c r="E194" s="10" t="n">
        <v>8.9</v>
      </c>
      <c r="F194" s="10" t="n">
        <f aca="false">IF(D194&lt;&gt;"",D194,IF(C194&lt;&gt;"",C194,""))</f>
        <v>8.9</v>
      </c>
      <c r="G194" s="10" t="n">
        <f aca="false">IF(AND(E194&lt;&gt;"",F194&lt;&gt;""),E194-F194,"")</f>
        <v>0</v>
      </c>
      <c r="H194" s="14" t="n">
        <f aca="false">IF(G194="","",IF(F194=0,"",G194/F194))</f>
        <v>0</v>
      </c>
      <c r="I194" s="15" t="str">
        <f aca="false">IF(E194="","SIN COMPRA",IF(F194="","NUEVO",IF(ROUND(G194,4)&gt;0,"SUBE",IF(ROUND(G194,4)&lt;0,"BAJA","IGUAL"))))</f>
        <v>IGUAL</v>
      </c>
      <c r="J194" s="14" t="n">
        <f aca="false">IF(AND(C194&lt;&gt;"",D194&lt;&gt;""),IF(C194=0,"",D194/C194-1),"")</f>
        <v>0</v>
      </c>
      <c r="K194" s="9"/>
    </row>
    <row r="195" customFormat="false" ht="15" hidden="false" customHeight="false" outlineLevel="0" collapsed="false">
      <c r="A195" s="9" t="s">
        <v>244</v>
      </c>
      <c r="B195" s="9" t="s">
        <v>245</v>
      </c>
      <c r="C195" s="10" t="n">
        <v>25.2</v>
      </c>
      <c r="D195" s="10"/>
      <c r="E195" s="10" t="n">
        <v>25.2</v>
      </c>
      <c r="F195" s="10" t="n">
        <f aca="false">IF(D195&lt;&gt;"",D195,IF(C195&lt;&gt;"",C195,""))</f>
        <v>25.2</v>
      </c>
      <c r="G195" s="10" t="n">
        <f aca="false">IF(AND(E195&lt;&gt;"",F195&lt;&gt;""),E195-F195,"")</f>
        <v>0</v>
      </c>
      <c r="H195" s="14" t="n">
        <f aca="false">IF(G195="","",IF(F195=0,"",G195/F195))</f>
        <v>0</v>
      </c>
      <c r="I195" s="15" t="str">
        <f aca="false">IF(E195="","SIN COMPRA",IF(F195="","NUEVO",IF(ROUND(G195,4)&gt;0,"SUBE",IF(ROUND(G195,4)&lt;0,"BAJA","IGUAL"))))</f>
        <v>IGUAL</v>
      </c>
      <c r="J195" s="14" t="str">
        <f aca="false">IF(AND(C195&lt;&gt;"",D195&lt;&gt;""),IF(C195=0,"",D195/C195-1),"")</f>
        <v/>
      </c>
      <c r="K195" s="9"/>
    </row>
    <row r="196" customFormat="false" ht="15" hidden="false" customHeight="false" outlineLevel="0" collapsed="false">
      <c r="A196" s="9" t="s">
        <v>246</v>
      </c>
      <c r="B196" s="9" t="s">
        <v>247</v>
      </c>
      <c r="C196" s="10"/>
      <c r="D196" s="10" t="n">
        <v>11.85</v>
      </c>
      <c r="E196" s="10" t="n">
        <v>11.85</v>
      </c>
      <c r="F196" s="10" t="n">
        <f aca="false">IF(D196&lt;&gt;"",D196,IF(C196&lt;&gt;"",C196,""))</f>
        <v>11.85</v>
      </c>
      <c r="G196" s="10" t="n">
        <f aca="false">IF(AND(E196&lt;&gt;"",F196&lt;&gt;""),E196-F196,"")</f>
        <v>0</v>
      </c>
      <c r="H196" s="14" t="n">
        <f aca="false">IF(G196="","",IF(F196=0,"",G196/F196))</f>
        <v>0</v>
      </c>
      <c r="I196" s="15" t="str">
        <f aca="false">IF(E196="","SIN COMPRA",IF(F196="","NUEVO",IF(ROUND(G196,4)&gt;0,"SUBE",IF(ROUND(G196,4)&lt;0,"BAJA","IGUAL"))))</f>
        <v>IGUAL</v>
      </c>
      <c r="J196" s="14" t="str">
        <f aca="false">IF(AND(C196&lt;&gt;"",D196&lt;&gt;""),IF(C196=0,"",D196/C196-1),"")</f>
        <v/>
      </c>
      <c r="K196" s="9"/>
    </row>
    <row r="197" customFormat="false" ht="15" hidden="false" customHeight="false" outlineLevel="0" collapsed="false">
      <c r="A197" s="9" t="s">
        <v>246</v>
      </c>
      <c r="B197" s="9" t="s">
        <v>248</v>
      </c>
      <c r="C197" s="10"/>
      <c r="D197" s="10" t="n">
        <v>132.94</v>
      </c>
      <c r="E197" s="10"/>
      <c r="F197" s="10" t="n">
        <f aca="false">IF(D197&lt;&gt;"",D197,IF(C197&lt;&gt;"",C197,""))</f>
        <v>132.94</v>
      </c>
      <c r="G197" s="10" t="str">
        <f aca="false">IF(AND(E197&lt;&gt;"",F197&lt;&gt;""),E197-F197,"")</f>
        <v/>
      </c>
      <c r="H197" s="14" t="str">
        <f aca="false">IF(G197="","",IF(F197=0,"",G197/F197))</f>
        <v/>
      </c>
      <c r="I197" s="15" t="str">
        <f aca="false">IF(E197="","SIN COMPRA",IF(F197="","NUEVO",IF(ROUND(G197,4)&gt;0,"SUBE",IF(ROUND(G197,4)&lt;0,"BAJA","IGUAL"))))</f>
        <v>SIN COMPRA</v>
      </c>
      <c r="J197" s="14" t="str">
        <f aca="false">IF(AND(C197&lt;&gt;"",D197&lt;&gt;""),IF(C197=0,"",D197/C197-1),"")</f>
        <v/>
      </c>
      <c r="K197" s="9"/>
    </row>
    <row r="198" customFormat="false" ht="15" hidden="false" customHeight="false" outlineLevel="0" collapsed="false">
      <c r="A198" s="9" t="s">
        <v>246</v>
      </c>
      <c r="B198" s="9" t="s">
        <v>249</v>
      </c>
      <c r="C198" s="10"/>
      <c r="D198" s="10" t="n">
        <v>19.98</v>
      </c>
      <c r="E198" s="10"/>
      <c r="F198" s="10" t="n">
        <f aca="false">IF(D198&lt;&gt;"",D198,IF(C198&lt;&gt;"",C198,""))</f>
        <v>19.98</v>
      </c>
      <c r="G198" s="10" t="str">
        <f aca="false">IF(AND(E198&lt;&gt;"",F198&lt;&gt;""),E198-F198,"")</f>
        <v/>
      </c>
      <c r="H198" s="14" t="str">
        <f aca="false">IF(G198="","",IF(F198=0,"",G198/F198))</f>
        <v/>
      </c>
      <c r="I198" s="15" t="str">
        <f aca="false">IF(E198="","SIN COMPRA",IF(F198="","NUEVO",IF(ROUND(G198,4)&gt;0,"SUBE",IF(ROUND(G198,4)&lt;0,"BAJA","IGUAL"))))</f>
        <v>SIN COMPRA</v>
      </c>
      <c r="J198" s="14" t="str">
        <f aca="false">IF(AND(C198&lt;&gt;"",D198&lt;&gt;""),IF(C198=0,"",D198/C198-1),"")</f>
        <v/>
      </c>
      <c r="K198" s="9"/>
    </row>
    <row r="199" customFormat="false" ht="15" hidden="false" customHeight="false" outlineLevel="0" collapsed="false">
      <c r="A199" s="9" t="s">
        <v>246</v>
      </c>
      <c r="B199" s="9" t="s">
        <v>250</v>
      </c>
      <c r="C199" s="10"/>
      <c r="D199" s="10" t="n">
        <v>11.17</v>
      </c>
      <c r="E199" s="10" t="n">
        <v>11.17</v>
      </c>
      <c r="F199" s="10" t="n">
        <f aca="false">IF(D199&lt;&gt;"",D199,IF(C199&lt;&gt;"",C199,""))</f>
        <v>11.17</v>
      </c>
      <c r="G199" s="10" t="n">
        <f aca="false">IF(AND(E199&lt;&gt;"",F199&lt;&gt;""),E199-F199,"")</f>
        <v>0</v>
      </c>
      <c r="H199" s="14" t="n">
        <f aca="false">IF(G199="","",IF(F199=0,"",G199/F199))</f>
        <v>0</v>
      </c>
      <c r="I199" s="15" t="str">
        <f aca="false">IF(E199="","SIN COMPRA",IF(F199="","NUEVO",IF(ROUND(G199,4)&gt;0,"SUBE",IF(ROUND(G199,4)&lt;0,"BAJA","IGUAL"))))</f>
        <v>IGUAL</v>
      </c>
      <c r="J199" s="14" t="str">
        <f aca="false">IF(AND(C199&lt;&gt;"",D199&lt;&gt;""),IF(C199=0,"",D199/C199-1),"")</f>
        <v/>
      </c>
      <c r="K199" s="9"/>
    </row>
    <row r="200" customFormat="false" ht="15" hidden="false" customHeight="false" outlineLevel="0" collapsed="false">
      <c r="A200" s="9" t="s">
        <v>246</v>
      </c>
      <c r="B200" s="9" t="s">
        <v>251</v>
      </c>
      <c r="C200" s="10"/>
      <c r="D200" s="10" t="n">
        <v>11.12</v>
      </c>
      <c r="E200" s="10"/>
      <c r="F200" s="10" t="n">
        <f aca="false">IF(D200&lt;&gt;"",D200,IF(C200&lt;&gt;"",C200,""))</f>
        <v>11.12</v>
      </c>
      <c r="G200" s="10" t="str">
        <f aca="false">IF(AND(E200&lt;&gt;"",F200&lt;&gt;""),E200-F200,"")</f>
        <v/>
      </c>
      <c r="H200" s="14" t="str">
        <f aca="false">IF(G200="","",IF(F200=0,"",G200/F200))</f>
        <v/>
      </c>
      <c r="I200" s="15" t="str">
        <f aca="false">IF(E200="","SIN COMPRA",IF(F200="","NUEVO",IF(ROUND(G200,4)&gt;0,"SUBE",IF(ROUND(G200,4)&lt;0,"BAJA","IGUAL"))))</f>
        <v>SIN COMPRA</v>
      </c>
      <c r="J200" s="14" t="str">
        <f aca="false">IF(AND(C200&lt;&gt;"",D200&lt;&gt;""),IF(C200=0,"",D200/C200-1),"")</f>
        <v/>
      </c>
      <c r="K200" s="9"/>
    </row>
    <row r="201" customFormat="false" ht="15" hidden="false" customHeight="false" outlineLevel="0" collapsed="false">
      <c r="A201" s="9" t="s">
        <v>246</v>
      </c>
      <c r="B201" s="9" t="s">
        <v>252</v>
      </c>
      <c r="C201" s="10"/>
      <c r="D201" s="10" t="n">
        <v>13.69</v>
      </c>
      <c r="E201" s="10"/>
      <c r="F201" s="10" t="n">
        <f aca="false">IF(D201&lt;&gt;"",D201,IF(C201&lt;&gt;"",C201,""))</f>
        <v>13.69</v>
      </c>
      <c r="G201" s="10" t="str">
        <f aca="false">IF(AND(E201&lt;&gt;"",F201&lt;&gt;""),E201-F201,"")</f>
        <v/>
      </c>
      <c r="H201" s="14" t="str">
        <f aca="false">IF(G201="","",IF(F201=0,"",G201/F201))</f>
        <v/>
      </c>
      <c r="I201" s="15" t="str">
        <f aca="false">IF(E201="","SIN COMPRA",IF(F201="","NUEVO",IF(ROUND(G201,4)&gt;0,"SUBE",IF(ROUND(G201,4)&lt;0,"BAJA","IGUAL"))))</f>
        <v>SIN COMPRA</v>
      </c>
      <c r="J201" s="14" t="str">
        <f aca="false">IF(AND(C201&lt;&gt;"",D201&lt;&gt;""),IF(C201=0,"",D201/C201-1),"")</f>
        <v/>
      </c>
      <c r="K201" s="9"/>
    </row>
    <row r="202" customFormat="false" ht="15" hidden="false" customHeight="false" outlineLevel="0" collapsed="false">
      <c r="A202" s="9" t="s">
        <v>246</v>
      </c>
      <c r="B202" s="9" t="s">
        <v>253</v>
      </c>
      <c r="C202" s="10"/>
      <c r="D202" s="10" t="n">
        <v>11.55</v>
      </c>
      <c r="E202" s="10" t="n">
        <v>11.55</v>
      </c>
      <c r="F202" s="10" t="n">
        <f aca="false">IF(D202&lt;&gt;"",D202,IF(C202&lt;&gt;"",C202,""))</f>
        <v>11.55</v>
      </c>
      <c r="G202" s="10" t="n">
        <f aca="false">IF(AND(E202&lt;&gt;"",F202&lt;&gt;""),E202-F202,"")</f>
        <v>0</v>
      </c>
      <c r="H202" s="14" t="n">
        <f aca="false">IF(G202="","",IF(F202=0,"",G202/F202))</f>
        <v>0</v>
      </c>
      <c r="I202" s="15" t="str">
        <f aca="false">IF(E202="","SIN COMPRA",IF(F202="","NUEVO",IF(ROUND(G202,4)&gt;0,"SUBE",IF(ROUND(G202,4)&lt;0,"BAJA","IGUAL"))))</f>
        <v>IGUAL</v>
      </c>
      <c r="J202" s="14" t="str">
        <f aca="false">IF(AND(C202&lt;&gt;"",D202&lt;&gt;""),IF(C202=0,"",D202/C202-1),"")</f>
        <v/>
      </c>
      <c r="K202" s="9"/>
    </row>
    <row r="203" customFormat="false" ht="15" hidden="false" customHeight="false" outlineLevel="0" collapsed="false">
      <c r="A203" s="9" t="s">
        <v>246</v>
      </c>
      <c r="B203" s="9" t="s">
        <v>254</v>
      </c>
      <c r="C203" s="10"/>
      <c r="D203" s="10" t="n">
        <v>12.3</v>
      </c>
      <c r="E203" s="10" t="n">
        <v>12.3</v>
      </c>
      <c r="F203" s="10" t="n">
        <f aca="false">IF(D203&lt;&gt;"",D203,IF(C203&lt;&gt;"",C203,""))</f>
        <v>12.3</v>
      </c>
      <c r="G203" s="10" t="n">
        <f aca="false">IF(AND(E203&lt;&gt;"",F203&lt;&gt;""),E203-F203,"")</f>
        <v>0</v>
      </c>
      <c r="H203" s="14" t="n">
        <f aca="false">IF(G203="","",IF(F203=0,"",G203/F203))</f>
        <v>0</v>
      </c>
      <c r="I203" s="15" t="str">
        <f aca="false">IF(E203="","SIN COMPRA",IF(F203="","NUEVO",IF(ROUND(G203,4)&gt;0,"SUBE",IF(ROUND(G203,4)&lt;0,"BAJA","IGUAL"))))</f>
        <v>IGUAL</v>
      </c>
      <c r="J203" s="14" t="str">
        <f aca="false">IF(AND(C203&lt;&gt;"",D203&lt;&gt;""),IF(C203=0,"",D203/C203-1),"")</f>
        <v/>
      </c>
      <c r="K203" s="9"/>
    </row>
    <row r="204" customFormat="false" ht="15" hidden="false" customHeight="false" outlineLevel="0" collapsed="false">
      <c r="A204" s="9" t="s">
        <v>246</v>
      </c>
      <c r="B204" s="9" t="s">
        <v>255</v>
      </c>
      <c r="C204" s="10"/>
      <c r="D204" s="10" t="n">
        <v>14.2</v>
      </c>
      <c r="E204" s="10" t="n">
        <v>14.2</v>
      </c>
      <c r="F204" s="10" t="n">
        <f aca="false">IF(D204&lt;&gt;"",D204,IF(C204&lt;&gt;"",C204,""))</f>
        <v>14.2</v>
      </c>
      <c r="G204" s="10" t="n">
        <f aca="false">IF(AND(E204&lt;&gt;"",F204&lt;&gt;""),E204-F204,"")</f>
        <v>0</v>
      </c>
      <c r="H204" s="14" t="n">
        <f aca="false">IF(G204="","",IF(F204=0,"",G204/F204))</f>
        <v>0</v>
      </c>
      <c r="I204" s="15" t="str">
        <f aca="false">IF(E204="","SIN COMPRA",IF(F204="","NUEVO",IF(ROUND(G204,4)&gt;0,"SUBE",IF(ROUND(G204,4)&lt;0,"BAJA","IGUAL"))))</f>
        <v>IGUAL</v>
      </c>
      <c r="J204" s="14" t="str">
        <f aca="false">IF(AND(C204&lt;&gt;"",D204&lt;&gt;""),IF(C204=0,"",D204/C204-1),"")</f>
        <v/>
      </c>
      <c r="K204" s="9"/>
    </row>
    <row r="205" customFormat="false" ht="15" hidden="false" customHeight="false" outlineLevel="0" collapsed="false">
      <c r="A205" s="9" t="s">
        <v>246</v>
      </c>
      <c r="B205" s="9" t="s">
        <v>256</v>
      </c>
      <c r="C205" s="10"/>
      <c r="D205" s="10" t="n">
        <v>11.66</v>
      </c>
      <c r="E205" s="10" t="n">
        <v>11.66</v>
      </c>
      <c r="F205" s="10" t="n">
        <f aca="false">IF(D205&lt;&gt;"",D205,IF(C205&lt;&gt;"",C205,""))</f>
        <v>11.66</v>
      </c>
      <c r="G205" s="10" t="n">
        <f aca="false">IF(AND(E205&lt;&gt;"",F205&lt;&gt;""),E205-F205,"")</f>
        <v>0</v>
      </c>
      <c r="H205" s="14" t="n">
        <f aca="false">IF(G205="","",IF(F205=0,"",G205/F205))</f>
        <v>0</v>
      </c>
      <c r="I205" s="15" t="str">
        <f aca="false">IF(E205="","SIN COMPRA",IF(F205="","NUEVO",IF(ROUND(G205,4)&gt;0,"SUBE",IF(ROUND(G205,4)&lt;0,"BAJA","IGUAL"))))</f>
        <v>IGUAL</v>
      </c>
      <c r="J205" s="14" t="str">
        <f aca="false">IF(AND(C205&lt;&gt;"",D205&lt;&gt;""),IF(C205=0,"",D205/C205-1),"")</f>
        <v/>
      </c>
      <c r="K205" s="9"/>
    </row>
    <row r="206" customFormat="false" ht="15" hidden="false" customHeight="false" outlineLevel="0" collapsed="false">
      <c r="A206" s="9" t="s">
        <v>246</v>
      </c>
      <c r="B206" s="9" t="s">
        <v>257</v>
      </c>
      <c r="C206" s="10"/>
      <c r="D206" s="10" t="n">
        <v>14.6</v>
      </c>
      <c r="E206" s="10"/>
      <c r="F206" s="10" t="n">
        <f aca="false">IF(D206&lt;&gt;"",D206,IF(C206&lt;&gt;"",C206,""))</f>
        <v>14.6</v>
      </c>
      <c r="G206" s="10" t="str">
        <f aca="false">IF(AND(E206&lt;&gt;"",F206&lt;&gt;""),E206-F206,"")</f>
        <v/>
      </c>
      <c r="H206" s="14" t="str">
        <f aca="false">IF(G206="","",IF(F206=0,"",G206/F206))</f>
        <v/>
      </c>
      <c r="I206" s="15" t="str">
        <f aca="false">IF(E206="","SIN COMPRA",IF(F206="","NUEVO",IF(ROUND(G206,4)&gt;0,"SUBE",IF(ROUND(G206,4)&lt;0,"BAJA","IGUAL"))))</f>
        <v>SIN COMPRA</v>
      </c>
      <c r="J206" s="14" t="str">
        <f aca="false">IF(AND(C206&lt;&gt;"",D206&lt;&gt;""),IF(C206=0,"",D206/C206-1),"")</f>
        <v/>
      </c>
      <c r="K206" s="9"/>
    </row>
    <row r="207" customFormat="false" ht="15" hidden="false" customHeight="false" outlineLevel="0" collapsed="false">
      <c r="A207" s="9" t="s">
        <v>246</v>
      </c>
      <c r="B207" s="9" t="s">
        <v>258</v>
      </c>
      <c r="C207" s="10"/>
      <c r="D207" s="10" t="n">
        <v>5.03</v>
      </c>
      <c r="E207" s="10" t="n">
        <v>5.03</v>
      </c>
      <c r="F207" s="10" t="n">
        <f aca="false">IF(D207&lt;&gt;"",D207,IF(C207&lt;&gt;"",C207,""))</f>
        <v>5.03</v>
      </c>
      <c r="G207" s="10" t="n">
        <f aca="false">IF(AND(E207&lt;&gt;"",F207&lt;&gt;""),E207-F207,"")</f>
        <v>0</v>
      </c>
      <c r="H207" s="14" t="n">
        <f aca="false">IF(G207="","",IF(F207=0,"",G207/F207))</f>
        <v>0</v>
      </c>
      <c r="I207" s="15" t="str">
        <f aca="false">IF(E207="","SIN COMPRA",IF(F207="","NUEVO",IF(ROUND(G207,4)&gt;0,"SUBE",IF(ROUND(G207,4)&lt;0,"BAJA","IGUAL"))))</f>
        <v>IGUAL</v>
      </c>
      <c r="J207" s="14" t="str">
        <f aca="false">IF(AND(C207&lt;&gt;"",D207&lt;&gt;""),IF(C207=0,"",D207/C207-1),"")</f>
        <v/>
      </c>
      <c r="K207" s="9"/>
    </row>
    <row r="208" customFormat="false" ht="15" hidden="false" customHeight="false" outlineLevel="0" collapsed="false">
      <c r="A208" s="9" t="s">
        <v>246</v>
      </c>
      <c r="B208" s="9" t="s">
        <v>259</v>
      </c>
      <c r="C208" s="10"/>
      <c r="D208" s="10" t="n">
        <v>15.6</v>
      </c>
      <c r="E208" s="10" t="n">
        <v>15.6</v>
      </c>
      <c r="F208" s="10" t="n">
        <f aca="false">IF(D208&lt;&gt;"",D208,IF(C208&lt;&gt;"",C208,""))</f>
        <v>15.6</v>
      </c>
      <c r="G208" s="10" t="n">
        <f aca="false">IF(AND(E208&lt;&gt;"",F208&lt;&gt;""),E208-F208,"")</f>
        <v>0</v>
      </c>
      <c r="H208" s="14" t="n">
        <f aca="false">IF(G208="","",IF(F208=0,"",G208/F208))</f>
        <v>0</v>
      </c>
      <c r="I208" s="15" t="str">
        <f aca="false">IF(E208="","SIN COMPRA",IF(F208="","NUEVO",IF(ROUND(G208,4)&gt;0,"SUBE",IF(ROUND(G208,4)&lt;0,"BAJA","IGUAL"))))</f>
        <v>IGUAL</v>
      </c>
      <c r="J208" s="14" t="str">
        <f aca="false">IF(AND(C208&lt;&gt;"",D208&lt;&gt;""),IF(C208=0,"",D208/C208-1),"")</f>
        <v/>
      </c>
      <c r="K208" s="9"/>
    </row>
    <row r="209" customFormat="false" ht="15" hidden="false" customHeight="false" outlineLevel="0" collapsed="false">
      <c r="A209" s="9" t="s">
        <v>246</v>
      </c>
      <c r="B209" s="9" t="s">
        <v>260</v>
      </c>
      <c r="C209" s="10"/>
      <c r="D209" s="10" t="n">
        <v>10.67</v>
      </c>
      <c r="E209" s="10"/>
      <c r="F209" s="10" t="n">
        <f aca="false">IF(D209&lt;&gt;"",D209,IF(C209&lt;&gt;"",C209,""))</f>
        <v>10.67</v>
      </c>
      <c r="G209" s="10" t="str">
        <f aca="false">IF(AND(E209&lt;&gt;"",F209&lt;&gt;""),E209-F209,"")</f>
        <v/>
      </c>
      <c r="H209" s="14" t="str">
        <f aca="false">IF(G209="","",IF(F209=0,"",G209/F209))</f>
        <v/>
      </c>
      <c r="I209" s="15" t="str">
        <f aca="false">IF(E209="","SIN COMPRA",IF(F209="","NUEVO",IF(ROUND(G209,4)&gt;0,"SUBE",IF(ROUND(G209,4)&lt;0,"BAJA","IGUAL"))))</f>
        <v>SIN COMPRA</v>
      </c>
      <c r="J209" s="14" t="str">
        <f aca="false">IF(AND(C209&lt;&gt;"",D209&lt;&gt;""),IF(C209=0,"",D209/C209-1),"")</f>
        <v/>
      </c>
      <c r="K209" s="9"/>
    </row>
    <row r="210" customFormat="false" ht="15" hidden="false" customHeight="false" outlineLevel="0" collapsed="false">
      <c r="A210" s="9" t="s">
        <v>246</v>
      </c>
      <c r="B210" s="9" t="s">
        <v>261</v>
      </c>
      <c r="C210" s="10"/>
      <c r="D210" s="10" t="n">
        <v>5.15</v>
      </c>
      <c r="E210" s="10"/>
      <c r="F210" s="10" t="n">
        <f aca="false">IF(D210&lt;&gt;"",D210,IF(C210&lt;&gt;"",C210,""))</f>
        <v>5.15</v>
      </c>
      <c r="G210" s="10" t="str">
        <f aca="false">IF(AND(E210&lt;&gt;"",F210&lt;&gt;""),E210-F210,"")</f>
        <v/>
      </c>
      <c r="H210" s="14" t="str">
        <f aca="false">IF(G210="","",IF(F210=0,"",G210/F210))</f>
        <v/>
      </c>
      <c r="I210" s="15" t="str">
        <f aca="false">IF(E210="","SIN COMPRA",IF(F210="","NUEVO",IF(ROUND(G210,4)&gt;0,"SUBE",IF(ROUND(G210,4)&lt;0,"BAJA","IGUAL"))))</f>
        <v>SIN COMPRA</v>
      </c>
      <c r="J210" s="14" t="str">
        <f aca="false">IF(AND(C210&lt;&gt;"",D210&lt;&gt;""),IF(C210=0,"",D210/C210-1),"")</f>
        <v/>
      </c>
      <c r="K210" s="9"/>
    </row>
    <row r="211" customFormat="false" ht="15" hidden="false" customHeight="false" outlineLevel="0" collapsed="false">
      <c r="A211" s="9" t="s">
        <v>246</v>
      </c>
      <c r="B211" s="9" t="s">
        <v>262</v>
      </c>
      <c r="C211" s="10"/>
      <c r="D211" s="10" t="n">
        <v>28.07</v>
      </c>
      <c r="E211" s="10"/>
      <c r="F211" s="10" t="n">
        <f aca="false">IF(D211&lt;&gt;"",D211,IF(C211&lt;&gt;"",C211,""))</f>
        <v>28.07</v>
      </c>
      <c r="G211" s="10" t="str">
        <f aca="false">IF(AND(E211&lt;&gt;"",F211&lt;&gt;""),E211-F211,"")</f>
        <v/>
      </c>
      <c r="H211" s="14" t="str">
        <f aca="false">IF(G211="","",IF(F211=0,"",G211/F211))</f>
        <v/>
      </c>
      <c r="I211" s="15" t="str">
        <f aca="false">IF(E211="","SIN COMPRA",IF(F211="","NUEVO",IF(ROUND(G211,4)&gt;0,"SUBE",IF(ROUND(G211,4)&lt;0,"BAJA","IGUAL"))))</f>
        <v>SIN COMPRA</v>
      </c>
      <c r="J211" s="14" t="str">
        <f aca="false">IF(AND(C211&lt;&gt;"",D211&lt;&gt;""),IF(C211=0,"",D211/C211-1),"")</f>
        <v/>
      </c>
      <c r="K211" s="9"/>
    </row>
    <row r="212" customFormat="false" ht="15" hidden="false" customHeight="false" outlineLevel="0" collapsed="false">
      <c r="A212" s="9" t="s">
        <v>246</v>
      </c>
      <c r="B212" s="9" t="s">
        <v>263</v>
      </c>
      <c r="C212" s="10"/>
      <c r="D212" s="10" t="n">
        <v>18.54</v>
      </c>
      <c r="E212" s="10"/>
      <c r="F212" s="10" t="n">
        <f aca="false">IF(D212&lt;&gt;"",D212,IF(C212&lt;&gt;"",C212,""))</f>
        <v>18.54</v>
      </c>
      <c r="G212" s="10" t="str">
        <f aca="false">IF(AND(E212&lt;&gt;"",F212&lt;&gt;""),E212-F212,"")</f>
        <v/>
      </c>
      <c r="H212" s="14" t="str">
        <f aca="false">IF(G212="","",IF(F212=0,"",G212/F212))</f>
        <v/>
      </c>
      <c r="I212" s="15" t="str">
        <f aca="false">IF(E212="","SIN COMPRA",IF(F212="","NUEVO",IF(ROUND(G212,4)&gt;0,"SUBE",IF(ROUND(G212,4)&lt;0,"BAJA","IGUAL"))))</f>
        <v>SIN COMPRA</v>
      </c>
      <c r="J212" s="14" t="str">
        <f aca="false">IF(AND(C212&lt;&gt;"",D212&lt;&gt;""),IF(C212=0,"",D212/C212-1),"")</f>
        <v/>
      </c>
      <c r="K212" s="9"/>
    </row>
    <row r="213" customFormat="false" ht="15" hidden="false" customHeight="false" outlineLevel="0" collapsed="false">
      <c r="A213" s="9" t="s">
        <v>246</v>
      </c>
      <c r="B213" s="9" t="s">
        <v>264</v>
      </c>
      <c r="C213" s="10"/>
      <c r="D213" s="10" t="n">
        <v>19.9</v>
      </c>
      <c r="E213" s="10" t="n">
        <v>19.9</v>
      </c>
      <c r="F213" s="10" t="n">
        <f aca="false">IF(D213&lt;&gt;"",D213,IF(C213&lt;&gt;"",C213,""))</f>
        <v>19.9</v>
      </c>
      <c r="G213" s="10" t="n">
        <f aca="false">IF(AND(E213&lt;&gt;"",F213&lt;&gt;""),E213-F213,"")</f>
        <v>0</v>
      </c>
      <c r="H213" s="14" t="n">
        <f aca="false">IF(G213="","",IF(F213=0,"",G213/F213))</f>
        <v>0</v>
      </c>
      <c r="I213" s="15" t="str">
        <f aca="false">IF(E213="","SIN COMPRA",IF(F213="","NUEVO",IF(ROUND(G213,4)&gt;0,"SUBE",IF(ROUND(G213,4)&lt;0,"BAJA","IGUAL"))))</f>
        <v>IGUAL</v>
      </c>
      <c r="J213" s="14" t="str">
        <f aca="false">IF(AND(C213&lt;&gt;"",D213&lt;&gt;""),IF(C213=0,"",D213/C213-1),"")</f>
        <v/>
      </c>
      <c r="K213" s="9"/>
    </row>
    <row r="214" customFormat="false" ht="15" hidden="false" customHeight="false" outlineLevel="0" collapsed="false">
      <c r="A214" s="9" t="s">
        <v>246</v>
      </c>
      <c r="B214" s="9" t="s">
        <v>265</v>
      </c>
      <c r="C214" s="10"/>
      <c r="D214" s="10" t="n">
        <v>13.73</v>
      </c>
      <c r="E214" s="10" t="n">
        <v>13.73</v>
      </c>
      <c r="F214" s="10" t="n">
        <f aca="false">IF(D214&lt;&gt;"",D214,IF(C214&lt;&gt;"",C214,""))</f>
        <v>13.73</v>
      </c>
      <c r="G214" s="10" t="n">
        <f aca="false">IF(AND(E214&lt;&gt;"",F214&lt;&gt;""),E214-F214,"")</f>
        <v>0</v>
      </c>
      <c r="H214" s="14" t="n">
        <f aca="false">IF(G214="","",IF(F214=0,"",G214/F214))</f>
        <v>0</v>
      </c>
      <c r="I214" s="15" t="str">
        <f aca="false">IF(E214="","SIN COMPRA",IF(F214="","NUEVO",IF(ROUND(G214,4)&gt;0,"SUBE",IF(ROUND(G214,4)&lt;0,"BAJA","IGUAL"))))</f>
        <v>IGUAL</v>
      </c>
      <c r="J214" s="14" t="str">
        <f aca="false">IF(AND(C214&lt;&gt;"",D214&lt;&gt;""),IF(C214=0,"",D214/C214-1),"")</f>
        <v/>
      </c>
      <c r="K214" s="9"/>
    </row>
    <row r="215" customFormat="false" ht="15" hidden="false" customHeight="false" outlineLevel="0" collapsed="false">
      <c r="A215" s="9" t="s">
        <v>246</v>
      </c>
      <c r="B215" s="9" t="s">
        <v>266</v>
      </c>
      <c r="C215" s="10"/>
      <c r="D215" s="10" t="n">
        <v>19.07</v>
      </c>
      <c r="E215" s="10"/>
      <c r="F215" s="10" t="n">
        <f aca="false">IF(D215&lt;&gt;"",D215,IF(C215&lt;&gt;"",C215,""))</f>
        <v>19.07</v>
      </c>
      <c r="G215" s="10" t="str">
        <f aca="false">IF(AND(E215&lt;&gt;"",F215&lt;&gt;""),E215-F215,"")</f>
        <v/>
      </c>
      <c r="H215" s="14" t="str">
        <f aca="false">IF(G215="","",IF(F215=0,"",G215/F215))</f>
        <v/>
      </c>
      <c r="I215" s="15" t="str">
        <f aca="false">IF(E215="","SIN COMPRA",IF(F215="","NUEVO",IF(ROUND(G215,4)&gt;0,"SUBE",IF(ROUND(G215,4)&lt;0,"BAJA","IGUAL"))))</f>
        <v>SIN COMPRA</v>
      </c>
      <c r="J215" s="14" t="str">
        <f aca="false">IF(AND(C215&lt;&gt;"",D215&lt;&gt;""),IF(C215=0,"",D215/C215-1),"")</f>
        <v/>
      </c>
      <c r="K215" s="9"/>
    </row>
    <row r="216" customFormat="false" ht="15" hidden="false" customHeight="false" outlineLevel="0" collapsed="false">
      <c r="A216" s="9" t="s">
        <v>246</v>
      </c>
      <c r="B216" s="9" t="s">
        <v>267</v>
      </c>
      <c r="C216" s="10"/>
      <c r="D216" s="10" t="n">
        <v>37.45</v>
      </c>
      <c r="E216" s="10"/>
      <c r="F216" s="10" t="n">
        <f aca="false">IF(D216&lt;&gt;"",D216,IF(C216&lt;&gt;"",C216,""))</f>
        <v>37.45</v>
      </c>
      <c r="G216" s="10" t="str">
        <f aca="false">IF(AND(E216&lt;&gt;"",F216&lt;&gt;""),E216-F216,"")</f>
        <v/>
      </c>
      <c r="H216" s="14" t="str">
        <f aca="false">IF(G216="","",IF(F216=0,"",G216/F216))</f>
        <v/>
      </c>
      <c r="I216" s="15" t="str">
        <f aca="false">IF(E216="","SIN COMPRA",IF(F216="","NUEVO",IF(ROUND(G216,4)&gt;0,"SUBE",IF(ROUND(G216,4)&lt;0,"BAJA","IGUAL"))))</f>
        <v>SIN COMPRA</v>
      </c>
      <c r="J216" s="14" t="str">
        <f aca="false">IF(AND(C216&lt;&gt;"",D216&lt;&gt;""),IF(C216=0,"",D216/C216-1),"")</f>
        <v/>
      </c>
      <c r="K216" s="9"/>
    </row>
    <row r="217" customFormat="false" ht="15" hidden="false" customHeight="false" outlineLevel="0" collapsed="false">
      <c r="A217" s="9" t="s">
        <v>246</v>
      </c>
      <c r="B217" s="9" t="s">
        <v>268</v>
      </c>
      <c r="C217" s="10"/>
      <c r="D217" s="10" t="n">
        <v>18.65</v>
      </c>
      <c r="E217" s="10" t="n">
        <v>18.81</v>
      </c>
      <c r="F217" s="10" t="n">
        <f aca="false">IF(D217&lt;&gt;"",D217,IF(C217&lt;&gt;"",C217,""))</f>
        <v>18.65</v>
      </c>
      <c r="G217" s="10" t="n">
        <f aca="false">IF(AND(E217&lt;&gt;"",F217&lt;&gt;""),E217-F217,"")</f>
        <v>0.16</v>
      </c>
      <c r="H217" s="14" t="n">
        <f aca="false">IF(G217="","",IF(F217=0,"",G217/F217))</f>
        <v>0.00857908847184987</v>
      </c>
      <c r="I217" s="15" t="str">
        <f aca="false">IF(E217="","SIN COMPRA",IF(F217="","NUEVO",IF(ROUND(G217,4)&gt;0,"SUBE",IF(ROUND(G217,4)&lt;0,"BAJA","IGUAL"))))</f>
        <v>SUBE</v>
      </c>
      <c r="J217" s="14" t="str">
        <f aca="false">IF(AND(C217&lt;&gt;"",D217&lt;&gt;""),IF(C217=0,"",D217/C217-1),"")</f>
        <v/>
      </c>
      <c r="K217" s="9"/>
    </row>
    <row r="218" customFormat="false" ht="15" hidden="false" customHeight="false" outlineLevel="0" collapsed="false">
      <c r="A218" s="9" t="s">
        <v>246</v>
      </c>
      <c r="B218" s="9" t="s">
        <v>269</v>
      </c>
      <c r="C218" s="10"/>
      <c r="D218" s="10" t="n">
        <v>24.08</v>
      </c>
      <c r="E218" s="10"/>
      <c r="F218" s="10" t="n">
        <f aca="false">IF(D218&lt;&gt;"",D218,IF(C218&lt;&gt;"",C218,""))</f>
        <v>24.08</v>
      </c>
      <c r="G218" s="10" t="str">
        <f aca="false">IF(AND(E218&lt;&gt;"",F218&lt;&gt;""),E218-F218,"")</f>
        <v/>
      </c>
      <c r="H218" s="14" t="str">
        <f aca="false">IF(G218="","",IF(F218=0,"",G218/F218))</f>
        <v/>
      </c>
      <c r="I218" s="15" t="str">
        <f aca="false">IF(E218="","SIN COMPRA",IF(F218="","NUEVO",IF(ROUND(G218,4)&gt;0,"SUBE",IF(ROUND(G218,4)&lt;0,"BAJA","IGUAL"))))</f>
        <v>SIN COMPRA</v>
      </c>
      <c r="J218" s="14" t="str">
        <f aca="false">IF(AND(C218&lt;&gt;"",D218&lt;&gt;""),IF(C218=0,"",D218/C218-1),"")</f>
        <v/>
      </c>
      <c r="K218" s="9"/>
    </row>
    <row r="219" customFormat="false" ht="15" hidden="false" customHeight="false" outlineLevel="0" collapsed="false">
      <c r="A219" s="9" t="s">
        <v>246</v>
      </c>
      <c r="B219" s="9" t="s">
        <v>270</v>
      </c>
      <c r="C219" s="10"/>
      <c r="D219" s="10" t="n">
        <v>15.1</v>
      </c>
      <c r="E219" s="10"/>
      <c r="F219" s="10" t="n">
        <f aca="false">IF(D219&lt;&gt;"",D219,IF(C219&lt;&gt;"",C219,""))</f>
        <v>15.1</v>
      </c>
      <c r="G219" s="10" t="str">
        <f aca="false">IF(AND(E219&lt;&gt;"",F219&lt;&gt;""),E219-F219,"")</f>
        <v/>
      </c>
      <c r="H219" s="14" t="str">
        <f aca="false">IF(G219="","",IF(F219=0,"",G219/F219))</f>
        <v/>
      </c>
      <c r="I219" s="15" t="str">
        <f aca="false">IF(E219="","SIN COMPRA",IF(F219="","NUEVO",IF(ROUND(G219,4)&gt;0,"SUBE",IF(ROUND(G219,4)&lt;0,"BAJA","IGUAL"))))</f>
        <v>SIN COMPRA</v>
      </c>
      <c r="J219" s="14" t="str">
        <f aca="false">IF(AND(C219&lt;&gt;"",D219&lt;&gt;""),IF(C219=0,"",D219/C219-1),"")</f>
        <v/>
      </c>
      <c r="K219" s="9"/>
    </row>
    <row r="220" customFormat="false" ht="15" hidden="false" customHeight="false" outlineLevel="0" collapsed="false">
      <c r="A220" s="9" t="s">
        <v>246</v>
      </c>
      <c r="B220" s="9" t="s">
        <v>271</v>
      </c>
      <c r="C220" s="10"/>
      <c r="D220" s="10" t="n">
        <v>22.31</v>
      </c>
      <c r="E220" s="10" t="n">
        <v>22.31</v>
      </c>
      <c r="F220" s="10" t="n">
        <f aca="false">IF(D220&lt;&gt;"",D220,IF(C220&lt;&gt;"",C220,""))</f>
        <v>22.31</v>
      </c>
      <c r="G220" s="10" t="n">
        <f aca="false">IF(AND(E220&lt;&gt;"",F220&lt;&gt;""),E220-F220,"")</f>
        <v>0</v>
      </c>
      <c r="H220" s="14" t="n">
        <f aca="false">IF(G220="","",IF(F220=0,"",G220/F220))</f>
        <v>0</v>
      </c>
      <c r="I220" s="15" t="str">
        <f aca="false">IF(E220="","SIN COMPRA",IF(F220="","NUEVO",IF(ROUND(G220,4)&gt;0,"SUBE",IF(ROUND(G220,4)&lt;0,"BAJA","IGUAL"))))</f>
        <v>IGUAL</v>
      </c>
      <c r="J220" s="14" t="str">
        <f aca="false">IF(AND(C220&lt;&gt;"",D220&lt;&gt;""),IF(C220=0,"",D220/C220-1),"")</f>
        <v/>
      </c>
      <c r="K220" s="9"/>
    </row>
    <row r="221" customFormat="false" ht="15" hidden="false" customHeight="false" outlineLevel="0" collapsed="false">
      <c r="A221" s="9" t="s">
        <v>246</v>
      </c>
      <c r="B221" s="9" t="s">
        <v>272</v>
      </c>
      <c r="C221" s="10"/>
      <c r="D221" s="10" t="n">
        <v>11.96</v>
      </c>
      <c r="E221" s="10" t="n">
        <v>11.96</v>
      </c>
      <c r="F221" s="10" t="n">
        <f aca="false">IF(D221&lt;&gt;"",D221,IF(C221&lt;&gt;"",C221,""))</f>
        <v>11.96</v>
      </c>
      <c r="G221" s="10" t="n">
        <f aca="false">IF(AND(E221&lt;&gt;"",F221&lt;&gt;""),E221-F221,"")</f>
        <v>0</v>
      </c>
      <c r="H221" s="14" t="n">
        <f aca="false">IF(G221="","",IF(F221=0,"",G221/F221))</f>
        <v>0</v>
      </c>
      <c r="I221" s="15" t="str">
        <f aca="false">IF(E221="","SIN COMPRA",IF(F221="","NUEVO",IF(ROUND(G221,4)&gt;0,"SUBE",IF(ROUND(G221,4)&lt;0,"BAJA","IGUAL"))))</f>
        <v>IGUAL</v>
      </c>
      <c r="J221" s="14" t="str">
        <f aca="false">IF(AND(C221&lt;&gt;"",D221&lt;&gt;""),IF(C221=0,"",D221/C221-1),"")</f>
        <v/>
      </c>
      <c r="K221" s="9"/>
    </row>
    <row r="222" customFormat="false" ht="15" hidden="false" customHeight="false" outlineLevel="0" collapsed="false">
      <c r="A222" s="9" t="s">
        <v>246</v>
      </c>
      <c r="B222" s="9" t="s">
        <v>273</v>
      </c>
      <c r="C222" s="10"/>
      <c r="D222" s="10" t="n">
        <v>14.48</v>
      </c>
      <c r="E222" s="10"/>
      <c r="F222" s="10" t="n">
        <f aca="false">IF(D222&lt;&gt;"",D222,IF(C222&lt;&gt;"",C222,""))</f>
        <v>14.48</v>
      </c>
      <c r="G222" s="10" t="str">
        <f aca="false">IF(AND(E222&lt;&gt;"",F222&lt;&gt;""),E222-F222,"")</f>
        <v/>
      </c>
      <c r="H222" s="14" t="str">
        <f aca="false">IF(G222="","",IF(F222=0,"",G222/F222))</f>
        <v/>
      </c>
      <c r="I222" s="15" t="str">
        <f aca="false">IF(E222="","SIN COMPRA",IF(F222="","NUEVO",IF(ROUND(G222,4)&gt;0,"SUBE",IF(ROUND(G222,4)&lt;0,"BAJA","IGUAL"))))</f>
        <v>SIN COMPRA</v>
      </c>
      <c r="J222" s="14" t="str">
        <f aca="false">IF(AND(C222&lt;&gt;"",D222&lt;&gt;""),IF(C222=0,"",D222/C222-1),"")</f>
        <v/>
      </c>
      <c r="K222" s="9"/>
    </row>
    <row r="223" customFormat="false" ht="15" hidden="false" customHeight="false" outlineLevel="0" collapsed="false">
      <c r="A223" s="9" t="s">
        <v>246</v>
      </c>
      <c r="B223" s="9" t="s">
        <v>274</v>
      </c>
      <c r="C223" s="10"/>
      <c r="D223" s="10" t="n">
        <v>12.68</v>
      </c>
      <c r="E223" s="10" t="n">
        <v>12.68</v>
      </c>
      <c r="F223" s="10" t="n">
        <f aca="false">IF(D223&lt;&gt;"",D223,IF(C223&lt;&gt;"",C223,""))</f>
        <v>12.68</v>
      </c>
      <c r="G223" s="10" t="n">
        <f aca="false">IF(AND(E223&lt;&gt;"",F223&lt;&gt;""),E223-F223,"")</f>
        <v>0</v>
      </c>
      <c r="H223" s="14" t="n">
        <f aca="false">IF(G223="","",IF(F223=0,"",G223/F223))</f>
        <v>0</v>
      </c>
      <c r="I223" s="15" t="str">
        <f aca="false">IF(E223="","SIN COMPRA",IF(F223="","NUEVO",IF(ROUND(G223,4)&gt;0,"SUBE",IF(ROUND(G223,4)&lt;0,"BAJA","IGUAL"))))</f>
        <v>IGUAL</v>
      </c>
      <c r="J223" s="14" t="str">
        <f aca="false">IF(AND(C223&lt;&gt;"",D223&lt;&gt;""),IF(C223=0,"",D223/C223-1),"")</f>
        <v/>
      </c>
      <c r="K223" s="9"/>
    </row>
    <row r="224" customFormat="false" ht="15" hidden="false" customHeight="false" outlineLevel="0" collapsed="false">
      <c r="A224" s="9" t="s">
        <v>246</v>
      </c>
      <c r="B224" s="9" t="s">
        <v>275</v>
      </c>
      <c r="C224" s="10"/>
      <c r="D224" s="10"/>
      <c r="E224" s="10" t="n">
        <v>10.32</v>
      </c>
      <c r="F224" s="10" t="str">
        <f aca="false">IF(D224&lt;&gt;"",D224,IF(C224&lt;&gt;"",C224,""))</f>
        <v/>
      </c>
      <c r="G224" s="10" t="str">
        <f aca="false">IF(AND(E224&lt;&gt;"",F224&lt;&gt;""),E224-F224,"")</f>
        <v/>
      </c>
      <c r="H224" s="14" t="str">
        <f aca="false">IF(G224="","",IF(F224=0,"",G224/F224))</f>
        <v/>
      </c>
      <c r="I224" s="15" t="str">
        <f aca="false">IF(E224="","SIN COMPRA",IF(F224="","NUEVO",IF(ROUND(G224,4)&gt;0,"SUBE",IF(ROUND(G224,4)&lt;0,"BAJA","IGUAL"))))</f>
        <v>NUEVO</v>
      </c>
      <c r="J224" s="14" t="str">
        <f aca="false">IF(AND(C224&lt;&gt;"",D224&lt;&gt;""),IF(C224=0,"",D224/C224-1),"")</f>
        <v/>
      </c>
      <c r="K224" s="9"/>
    </row>
    <row r="225" customFormat="false" ht="15" hidden="false" customHeight="false" outlineLevel="0" collapsed="false">
      <c r="A225" s="9" t="s">
        <v>246</v>
      </c>
      <c r="B225" s="9" t="s">
        <v>276</v>
      </c>
      <c r="C225" s="10"/>
      <c r="D225" s="10"/>
      <c r="E225" s="10" t="n">
        <v>12.12</v>
      </c>
      <c r="F225" s="10" t="str">
        <f aca="false">IF(D225&lt;&gt;"",D225,IF(C225&lt;&gt;"",C225,""))</f>
        <v/>
      </c>
      <c r="G225" s="10" t="str">
        <f aca="false">IF(AND(E225&lt;&gt;"",F225&lt;&gt;""),E225-F225,"")</f>
        <v/>
      </c>
      <c r="H225" s="14" t="str">
        <f aca="false">IF(G225="","",IF(F225=0,"",G225/F225))</f>
        <v/>
      </c>
      <c r="I225" s="15" t="str">
        <f aca="false">IF(E225="","SIN COMPRA",IF(F225="","NUEVO",IF(ROUND(G225,4)&gt;0,"SUBE",IF(ROUND(G225,4)&lt;0,"BAJA","IGUAL"))))</f>
        <v>NUEVO</v>
      </c>
      <c r="J225" s="14" t="str">
        <f aca="false">IF(AND(C225&lt;&gt;"",D225&lt;&gt;""),IF(C225=0,"",D225/C225-1),"")</f>
        <v/>
      </c>
      <c r="K225" s="9"/>
    </row>
    <row r="226" customFormat="false" ht="15" hidden="false" customHeight="false" outlineLevel="0" collapsed="false">
      <c r="A226" s="9" t="s">
        <v>246</v>
      </c>
      <c r="B226" s="9" t="s">
        <v>277</v>
      </c>
      <c r="C226" s="10"/>
      <c r="D226" s="10" t="n">
        <v>14.57</v>
      </c>
      <c r="E226" s="10" t="n">
        <v>14.57</v>
      </c>
      <c r="F226" s="10" t="n">
        <f aca="false">IF(D226&lt;&gt;"",D226,IF(C226&lt;&gt;"",C226,""))</f>
        <v>14.57</v>
      </c>
      <c r="G226" s="10" t="n">
        <f aca="false">IF(AND(E226&lt;&gt;"",F226&lt;&gt;""),E226-F226,"")</f>
        <v>0</v>
      </c>
      <c r="H226" s="14" t="n">
        <f aca="false">IF(G226="","",IF(F226=0,"",G226/F226))</f>
        <v>0</v>
      </c>
      <c r="I226" s="15" t="str">
        <f aca="false">IF(E226="","SIN COMPRA",IF(F226="","NUEVO",IF(ROUND(G226,4)&gt;0,"SUBE",IF(ROUND(G226,4)&lt;0,"BAJA","IGUAL"))))</f>
        <v>IGUAL</v>
      </c>
      <c r="J226" s="14" t="str">
        <f aca="false">IF(AND(C226&lt;&gt;"",D226&lt;&gt;""),IF(C226=0,"",D226/C226-1),"")</f>
        <v/>
      </c>
      <c r="K226" s="9"/>
    </row>
    <row r="227" customFormat="false" ht="15" hidden="false" customHeight="false" outlineLevel="0" collapsed="false">
      <c r="A227" s="9" t="s">
        <v>246</v>
      </c>
      <c r="B227" s="9" t="s">
        <v>278</v>
      </c>
      <c r="C227" s="10"/>
      <c r="D227" s="10" t="n">
        <v>15.96</v>
      </c>
      <c r="E227" s="10"/>
      <c r="F227" s="10" t="n">
        <f aca="false">IF(D227&lt;&gt;"",D227,IF(C227&lt;&gt;"",C227,""))</f>
        <v>15.96</v>
      </c>
      <c r="G227" s="10" t="str">
        <f aca="false">IF(AND(E227&lt;&gt;"",F227&lt;&gt;""),E227-F227,"")</f>
        <v/>
      </c>
      <c r="H227" s="14" t="str">
        <f aca="false">IF(G227="","",IF(F227=0,"",G227/F227))</f>
        <v/>
      </c>
      <c r="I227" s="15" t="str">
        <f aca="false">IF(E227="","SIN COMPRA",IF(F227="","NUEVO",IF(ROUND(G227,4)&gt;0,"SUBE",IF(ROUND(G227,4)&lt;0,"BAJA","IGUAL"))))</f>
        <v>SIN COMPRA</v>
      </c>
      <c r="J227" s="14" t="str">
        <f aca="false">IF(AND(C227&lt;&gt;"",D227&lt;&gt;""),IF(C227=0,"",D227/C227-1),"")</f>
        <v/>
      </c>
      <c r="K227" s="9"/>
    </row>
    <row r="228" customFormat="false" ht="15" hidden="false" customHeight="false" outlineLevel="0" collapsed="false">
      <c r="A228" s="9" t="s">
        <v>246</v>
      </c>
      <c r="B228" s="9" t="s">
        <v>279</v>
      </c>
      <c r="C228" s="10"/>
      <c r="D228" s="10" t="n">
        <v>15.96</v>
      </c>
      <c r="E228" s="10" t="n">
        <v>15.96</v>
      </c>
      <c r="F228" s="10" t="n">
        <f aca="false">IF(D228&lt;&gt;"",D228,IF(C228&lt;&gt;"",C228,""))</f>
        <v>15.96</v>
      </c>
      <c r="G228" s="10" t="n">
        <f aca="false">IF(AND(E228&lt;&gt;"",F228&lt;&gt;""),E228-F228,"")</f>
        <v>0</v>
      </c>
      <c r="H228" s="14" t="n">
        <f aca="false">IF(G228="","",IF(F228=0,"",G228/F228))</f>
        <v>0</v>
      </c>
      <c r="I228" s="15" t="str">
        <f aca="false">IF(E228="","SIN COMPRA",IF(F228="","NUEVO",IF(ROUND(G228,4)&gt;0,"SUBE",IF(ROUND(G228,4)&lt;0,"BAJA","IGUAL"))))</f>
        <v>IGUAL</v>
      </c>
      <c r="J228" s="14" t="str">
        <f aca="false">IF(AND(C228&lt;&gt;"",D228&lt;&gt;""),IF(C228=0,"",D228/C228-1),"")</f>
        <v/>
      </c>
      <c r="K228" s="9"/>
    </row>
    <row r="229" customFormat="false" ht="15" hidden="false" customHeight="false" outlineLevel="0" collapsed="false">
      <c r="A229" s="9" t="s">
        <v>246</v>
      </c>
      <c r="B229" s="9" t="s">
        <v>280</v>
      </c>
      <c r="C229" s="10"/>
      <c r="D229" s="10" t="n">
        <v>56.01</v>
      </c>
      <c r="E229" s="10" t="n">
        <v>56.01</v>
      </c>
      <c r="F229" s="10" t="n">
        <f aca="false">IF(D229&lt;&gt;"",D229,IF(C229&lt;&gt;"",C229,""))</f>
        <v>56.01</v>
      </c>
      <c r="G229" s="10" t="n">
        <f aca="false">IF(AND(E229&lt;&gt;"",F229&lt;&gt;""),E229-F229,"")</f>
        <v>0</v>
      </c>
      <c r="H229" s="14" t="n">
        <f aca="false">IF(G229="","",IF(F229=0,"",G229/F229))</f>
        <v>0</v>
      </c>
      <c r="I229" s="15" t="str">
        <f aca="false">IF(E229="","SIN COMPRA",IF(F229="","NUEVO",IF(ROUND(G229,4)&gt;0,"SUBE",IF(ROUND(G229,4)&lt;0,"BAJA","IGUAL"))))</f>
        <v>IGUAL</v>
      </c>
      <c r="J229" s="14" t="str">
        <f aca="false">IF(AND(C229&lt;&gt;"",D229&lt;&gt;""),IF(C229=0,"",D229/C229-1),"")</f>
        <v/>
      </c>
      <c r="K229" s="9"/>
    </row>
    <row r="230" customFormat="false" ht="15" hidden="false" customHeight="false" outlineLevel="0" collapsed="false">
      <c r="A230" s="9" t="s">
        <v>246</v>
      </c>
      <c r="B230" s="9" t="s">
        <v>281</v>
      </c>
      <c r="C230" s="10"/>
      <c r="D230" s="10" t="n">
        <v>55.17</v>
      </c>
      <c r="E230" s="10" t="n">
        <v>55.17</v>
      </c>
      <c r="F230" s="10" t="n">
        <f aca="false">IF(D230&lt;&gt;"",D230,IF(C230&lt;&gt;"",C230,""))</f>
        <v>55.17</v>
      </c>
      <c r="G230" s="10" t="n">
        <f aca="false">IF(AND(E230&lt;&gt;"",F230&lt;&gt;""),E230-F230,"")</f>
        <v>0</v>
      </c>
      <c r="H230" s="14" t="n">
        <f aca="false">IF(G230="","",IF(F230=0,"",G230/F230))</f>
        <v>0</v>
      </c>
      <c r="I230" s="15" t="str">
        <f aca="false">IF(E230="","SIN COMPRA",IF(F230="","NUEVO",IF(ROUND(G230,4)&gt;0,"SUBE",IF(ROUND(G230,4)&lt;0,"BAJA","IGUAL"))))</f>
        <v>IGUAL</v>
      </c>
      <c r="J230" s="14" t="str">
        <f aca="false">IF(AND(C230&lt;&gt;"",D230&lt;&gt;""),IF(C230=0,"",D230/C230-1),"")</f>
        <v/>
      </c>
      <c r="K230" s="9"/>
    </row>
    <row r="231" customFormat="false" ht="15" hidden="false" customHeight="false" outlineLevel="0" collapsed="false">
      <c r="A231" s="9" t="s">
        <v>246</v>
      </c>
      <c r="B231" s="9" t="s">
        <v>282</v>
      </c>
      <c r="C231" s="10"/>
      <c r="D231" s="10" t="n">
        <v>2.59</v>
      </c>
      <c r="E231" s="10"/>
      <c r="F231" s="10" t="n">
        <f aca="false">IF(D231&lt;&gt;"",D231,IF(C231&lt;&gt;"",C231,""))</f>
        <v>2.59</v>
      </c>
      <c r="G231" s="10" t="str">
        <f aca="false">IF(AND(E231&lt;&gt;"",F231&lt;&gt;""),E231-F231,"")</f>
        <v/>
      </c>
      <c r="H231" s="14" t="str">
        <f aca="false">IF(G231="","",IF(F231=0,"",G231/F231))</f>
        <v/>
      </c>
      <c r="I231" s="15" t="str">
        <f aca="false">IF(E231="","SIN COMPRA",IF(F231="","NUEVO",IF(ROUND(G231,4)&gt;0,"SUBE",IF(ROUND(G231,4)&lt;0,"BAJA","IGUAL"))))</f>
        <v>SIN COMPRA</v>
      </c>
      <c r="J231" s="14" t="str">
        <f aca="false">IF(AND(C231&lt;&gt;"",D231&lt;&gt;""),IF(C231=0,"",D231/C231-1),"")</f>
        <v/>
      </c>
      <c r="K231" s="9"/>
    </row>
    <row r="232" customFormat="false" ht="15" hidden="false" customHeight="false" outlineLevel="0" collapsed="false">
      <c r="A232" s="9" t="s">
        <v>246</v>
      </c>
      <c r="B232" s="9" t="s">
        <v>283</v>
      </c>
      <c r="C232" s="10"/>
      <c r="D232" s="10" t="n">
        <v>8.36</v>
      </c>
      <c r="E232" s="10"/>
      <c r="F232" s="10" t="n">
        <f aca="false">IF(D232&lt;&gt;"",D232,IF(C232&lt;&gt;"",C232,""))</f>
        <v>8.36</v>
      </c>
      <c r="G232" s="10" t="str">
        <f aca="false">IF(AND(E232&lt;&gt;"",F232&lt;&gt;""),E232-F232,"")</f>
        <v/>
      </c>
      <c r="H232" s="14" t="str">
        <f aca="false">IF(G232="","",IF(F232=0,"",G232/F232))</f>
        <v/>
      </c>
      <c r="I232" s="15" t="str">
        <f aca="false">IF(E232="","SIN COMPRA",IF(F232="","NUEVO",IF(ROUND(G232,4)&gt;0,"SUBE",IF(ROUND(G232,4)&lt;0,"BAJA","IGUAL"))))</f>
        <v>SIN COMPRA</v>
      </c>
      <c r="J232" s="14" t="str">
        <f aca="false">IF(AND(C232&lt;&gt;"",D232&lt;&gt;""),IF(C232=0,"",D232/C232-1),"")</f>
        <v/>
      </c>
      <c r="K232" s="9"/>
    </row>
    <row r="233" customFormat="false" ht="15" hidden="false" customHeight="false" outlineLevel="0" collapsed="false">
      <c r="A233" s="9" t="s">
        <v>246</v>
      </c>
      <c r="B233" s="9" t="s">
        <v>284</v>
      </c>
      <c r="C233" s="10"/>
      <c r="D233" s="10"/>
      <c r="E233" s="10" t="n">
        <v>8.36</v>
      </c>
      <c r="F233" s="10" t="str">
        <f aca="false">IF(D233&lt;&gt;"",D233,IF(C233&lt;&gt;"",C233,""))</f>
        <v/>
      </c>
      <c r="G233" s="10" t="str">
        <f aca="false">IF(AND(E233&lt;&gt;"",F233&lt;&gt;""),E233-F233,"")</f>
        <v/>
      </c>
      <c r="H233" s="14" t="str">
        <f aca="false">IF(G233="","",IF(F233=0,"",G233/F233))</f>
        <v/>
      </c>
      <c r="I233" s="15" t="str">
        <f aca="false">IF(E233="","SIN COMPRA",IF(F233="","NUEVO",IF(ROUND(G233,4)&gt;0,"SUBE",IF(ROUND(G233,4)&lt;0,"BAJA","IGUAL"))))</f>
        <v>NUEVO</v>
      </c>
      <c r="J233" s="14" t="str">
        <f aca="false">IF(AND(C233&lt;&gt;"",D233&lt;&gt;""),IF(C233=0,"",D233/C233-1),"")</f>
        <v/>
      </c>
      <c r="K233" s="9"/>
    </row>
    <row r="234" customFormat="false" ht="15" hidden="false" customHeight="false" outlineLevel="0" collapsed="false">
      <c r="A234" s="9" t="s">
        <v>246</v>
      </c>
      <c r="B234" s="9" t="s">
        <v>285</v>
      </c>
      <c r="C234" s="10"/>
      <c r="D234" s="10" t="n">
        <v>14.57</v>
      </c>
      <c r="E234" s="10"/>
      <c r="F234" s="10" t="n">
        <f aca="false">IF(D234&lt;&gt;"",D234,IF(C234&lt;&gt;"",C234,""))</f>
        <v>14.57</v>
      </c>
      <c r="G234" s="10" t="str">
        <f aca="false">IF(AND(E234&lt;&gt;"",F234&lt;&gt;""),E234-F234,"")</f>
        <v/>
      </c>
      <c r="H234" s="14" t="str">
        <f aca="false">IF(G234="","",IF(F234=0,"",G234/F234))</f>
        <v/>
      </c>
      <c r="I234" s="15" t="str">
        <f aca="false">IF(E234="","SIN COMPRA",IF(F234="","NUEVO",IF(ROUND(G234,4)&gt;0,"SUBE",IF(ROUND(G234,4)&lt;0,"BAJA","IGUAL"))))</f>
        <v>SIN COMPRA</v>
      </c>
      <c r="J234" s="14" t="str">
        <f aca="false">IF(AND(C234&lt;&gt;"",D234&lt;&gt;""),IF(C234=0,"",D234/C234-1),"")</f>
        <v/>
      </c>
      <c r="K234" s="9"/>
    </row>
    <row r="235" customFormat="false" ht="15" hidden="false" customHeight="false" outlineLevel="0" collapsed="false">
      <c r="A235" s="9" t="s">
        <v>246</v>
      </c>
      <c r="B235" s="9" t="s">
        <v>286</v>
      </c>
      <c r="C235" s="10"/>
      <c r="D235" s="10" t="n">
        <v>38.4</v>
      </c>
      <c r="E235" s="10" t="n">
        <v>38.4</v>
      </c>
      <c r="F235" s="10" t="n">
        <f aca="false">IF(D235&lt;&gt;"",D235,IF(C235&lt;&gt;"",C235,""))</f>
        <v>38.4</v>
      </c>
      <c r="G235" s="10" t="n">
        <f aca="false">IF(AND(E235&lt;&gt;"",F235&lt;&gt;""),E235-F235,"")</f>
        <v>0</v>
      </c>
      <c r="H235" s="14" t="n">
        <f aca="false">IF(G235="","",IF(F235=0,"",G235/F235))</f>
        <v>0</v>
      </c>
      <c r="I235" s="15" t="str">
        <f aca="false">IF(E235="","SIN COMPRA",IF(F235="","NUEVO",IF(ROUND(G235,4)&gt;0,"SUBE",IF(ROUND(G235,4)&lt;0,"BAJA","IGUAL"))))</f>
        <v>IGUAL</v>
      </c>
      <c r="J235" s="14" t="str">
        <f aca="false">IF(AND(C235&lt;&gt;"",D235&lt;&gt;""),IF(C235=0,"",D235/C235-1),"")</f>
        <v/>
      </c>
      <c r="K235" s="9"/>
    </row>
    <row r="236" customFormat="false" ht="15" hidden="false" customHeight="false" outlineLevel="0" collapsed="false">
      <c r="A236" s="9" t="s">
        <v>246</v>
      </c>
      <c r="B236" s="9" t="s">
        <v>287</v>
      </c>
      <c r="C236" s="10"/>
      <c r="D236" s="10" t="n">
        <v>12.1</v>
      </c>
      <c r="E236" s="10" t="n">
        <v>12.1</v>
      </c>
      <c r="F236" s="10" t="n">
        <f aca="false">IF(D236&lt;&gt;"",D236,IF(C236&lt;&gt;"",C236,""))</f>
        <v>12.1</v>
      </c>
      <c r="G236" s="10" t="n">
        <f aca="false">IF(AND(E236&lt;&gt;"",F236&lt;&gt;""),E236-F236,"")</f>
        <v>0</v>
      </c>
      <c r="H236" s="14" t="n">
        <f aca="false">IF(G236="","",IF(F236=0,"",G236/F236))</f>
        <v>0</v>
      </c>
      <c r="I236" s="15" t="str">
        <f aca="false">IF(E236="","SIN COMPRA",IF(F236="","NUEVO",IF(ROUND(G236,4)&gt;0,"SUBE",IF(ROUND(G236,4)&lt;0,"BAJA","IGUAL"))))</f>
        <v>IGUAL</v>
      </c>
      <c r="J236" s="14" t="str">
        <f aca="false">IF(AND(C236&lt;&gt;"",D236&lt;&gt;""),IF(C236=0,"",D236/C236-1),"")</f>
        <v/>
      </c>
      <c r="K236" s="9"/>
    </row>
    <row r="237" customFormat="false" ht="15" hidden="false" customHeight="false" outlineLevel="0" collapsed="false">
      <c r="A237" s="9" t="s">
        <v>246</v>
      </c>
      <c r="B237" s="9" t="s">
        <v>288</v>
      </c>
      <c r="C237" s="10"/>
      <c r="D237" s="10" t="n">
        <v>72.48</v>
      </c>
      <c r="E237" s="10" t="n">
        <v>72.48</v>
      </c>
      <c r="F237" s="10" t="n">
        <f aca="false">IF(D237&lt;&gt;"",D237,IF(C237&lt;&gt;"",C237,""))</f>
        <v>72.48</v>
      </c>
      <c r="G237" s="10" t="n">
        <f aca="false">IF(AND(E237&lt;&gt;"",F237&lt;&gt;""),E237-F237,"")</f>
        <v>0</v>
      </c>
      <c r="H237" s="14" t="n">
        <f aca="false">IF(G237="","",IF(F237=0,"",G237/F237))</f>
        <v>0</v>
      </c>
      <c r="I237" s="15" t="str">
        <f aca="false">IF(E237="","SIN COMPRA",IF(F237="","NUEVO",IF(ROUND(G237,4)&gt;0,"SUBE",IF(ROUND(G237,4)&lt;0,"BAJA","IGUAL"))))</f>
        <v>IGUAL</v>
      </c>
      <c r="J237" s="14" t="str">
        <f aca="false">IF(AND(C237&lt;&gt;"",D237&lt;&gt;""),IF(C237=0,"",D237/C237-1),"")</f>
        <v/>
      </c>
      <c r="K237" s="9"/>
    </row>
    <row r="238" customFormat="false" ht="15" hidden="false" customHeight="false" outlineLevel="0" collapsed="false">
      <c r="A238" s="9" t="s">
        <v>246</v>
      </c>
      <c r="B238" s="9" t="s">
        <v>289</v>
      </c>
      <c r="C238" s="10"/>
      <c r="D238" s="10" t="n">
        <v>11.35</v>
      </c>
      <c r="E238" s="10" t="n">
        <v>11.35</v>
      </c>
      <c r="F238" s="10" t="n">
        <f aca="false">IF(D238&lt;&gt;"",D238,IF(C238&lt;&gt;"",C238,""))</f>
        <v>11.35</v>
      </c>
      <c r="G238" s="10" t="n">
        <f aca="false">IF(AND(E238&lt;&gt;"",F238&lt;&gt;""),E238-F238,"")</f>
        <v>0</v>
      </c>
      <c r="H238" s="14" t="n">
        <f aca="false">IF(G238="","",IF(F238=0,"",G238/F238))</f>
        <v>0</v>
      </c>
      <c r="I238" s="15" t="str">
        <f aca="false">IF(E238="","SIN COMPRA",IF(F238="","NUEVO",IF(ROUND(G238,4)&gt;0,"SUBE",IF(ROUND(G238,4)&lt;0,"BAJA","IGUAL"))))</f>
        <v>IGUAL</v>
      </c>
      <c r="J238" s="14" t="str">
        <f aca="false">IF(AND(C238&lt;&gt;"",D238&lt;&gt;""),IF(C238=0,"",D238/C238-1),"")</f>
        <v/>
      </c>
      <c r="K238" s="9"/>
    </row>
    <row r="239" customFormat="false" ht="15" hidden="false" customHeight="false" outlineLevel="0" collapsed="false">
      <c r="A239" s="9" t="s">
        <v>246</v>
      </c>
      <c r="B239" s="9" t="s">
        <v>290</v>
      </c>
      <c r="C239" s="10"/>
      <c r="D239" s="10" t="n">
        <v>13.38</v>
      </c>
      <c r="E239" s="10" t="n">
        <v>13.38</v>
      </c>
      <c r="F239" s="10" t="n">
        <f aca="false">IF(D239&lt;&gt;"",D239,IF(C239&lt;&gt;"",C239,""))</f>
        <v>13.38</v>
      </c>
      <c r="G239" s="10" t="n">
        <f aca="false">IF(AND(E239&lt;&gt;"",F239&lt;&gt;""),E239-F239,"")</f>
        <v>0</v>
      </c>
      <c r="H239" s="14" t="n">
        <f aca="false">IF(G239="","",IF(F239=0,"",G239/F239))</f>
        <v>0</v>
      </c>
      <c r="I239" s="15" t="str">
        <f aca="false">IF(E239="","SIN COMPRA",IF(F239="","NUEVO",IF(ROUND(G239,4)&gt;0,"SUBE",IF(ROUND(G239,4)&lt;0,"BAJA","IGUAL"))))</f>
        <v>IGUAL</v>
      </c>
      <c r="J239" s="14" t="str">
        <f aca="false">IF(AND(C239&lt;&gt;"",D239&lt;&gt;""),IF(C239=0,"",D239/C239-1),"")</f>
        <v/>
      </c>
      <c r="K239" s="9"/>
    </row>
    <row r="240" customFormat="false" ht="15" hidden="false" customHeight="false" outlineLevel="0" collapsed="false">
      <c r="A240" s="9" t="s">
        <v>246</v>
      </c>
      <c r="B240" s="9" t="s">
        <v>291</v>
      </c>
      <c r="C240" s="10"/>
      <c r="D240" s="10" t="n">
        <v>43.6</v>
      </c>
      <c r="E240" s="10"/>
      <c r="F240" s="10" t="n">
        <f aca="false">IF(D240&lt;&gt;"",D240,IF(C240&lt;&gt;"",C240,""))</f>
        <v>43.6</v>
      </c>
      <c r="G240" s="10" t="str">
        <f aca="false">IF(AND(E240&lt;&gt;"",F240&lt;&gt;""),E240-F240,"")</f>
        <v/>
      </c>
      <c r="H240" s="14" t="str">
        <f aca="false">IF(G240="","",IF(F240=0,"",G240/F240))</f>
        <v/>
      </c>
      <c r="I240" s="15" t="str">
        <f aca="false">IF(E240="","SIN COMPRA",IF(F240="","NUEVO",IF(ROUND(G240,4)&gt;0,"SUBE",IF(ROUND(G240,4)&lt;0,"BAJA","IGUAL"))))</f>
        <v>SIN COMPRA</v>
      </c>
      <c r="J240" s="14" t="str">
        <f aca="false">IF(AND(C240&lt;&gt;"",D240&lt;&gt;""),IF(C240=0,"",D240/C240-1),"")</f>
        <v/>
      </c>
      <c r="K240" s="9"/>
    </row>
    <row r="241" customFormat="false" ht="15" hidden="false" customHeight="false" outlineLevel="0" collapsed="false">
      <c r="A241" s="9" t="s">
        <v>246</v>
      </c>
      <c r="B241" s="9" t="s">
        <v>292</v>
      </c>
      <c r="C241" s="10"/>
      <c r="D241" s="10" t="n">
        <v>11.09</v>
      </c>
      <c r="E241" s="10"/>
      <c r="F241" s="10" t="n">
        <f aca="false">IF(D241&lt;&gt;"",D241,IF(C241&lt;&gt;"",C241,""))</f>
        <v>11.09</v>
      </c>
      <c r="G241" s="10" t="str">
        <f aca="false">IF(AND(E241&lt;&gt;"",F241&lt;&gt;""),E241-F241,"")</f>
        <v/>
      </c>
      <c r="H241" s="14" t="str">
        <f aca="false">IF(G241="","",IF(F241=0,"",G241/F241))</f>
        <v/>
      </c>
      <c r="I241" s="15" t="str">
        <f aca="false">IF(E241="","SIN COMPRA",IF(F241="","NUEVO",IF(ROUND(G241,4)&gt;0,"SUBE",IF(ROUND(G241,4)&lt;0,"BAJA","IGUAL"))))</f>
        <v>SIN COMPRA</v>
      </c>
      <c r="J241" s="14" t="str">
        <f aca="false">IF(AND(C241&lt;&gt;"",D241&lt;&gt;""),IF(C241=0,"",D241/C241-1),"")</f>
        <v/>
      </c>
      <c r="K241" s="9"/>
    </row>
    <row r="242" customFormat="false" ht="15" hidden="false" customHeight="false" outlineLevel="0" collapsed="false">
      <c r="A242" s="9" t="s">
        <v>246</v>
      </c>
      <c r="B242" s="9" t="s">
        <v>293</v>
      </c>
      <c r="C242" s="10"/>
      <c r="D242" s="10" t="n">
        <v>44.8</v>
      </c>
      <c r="E242" s="10"/>
      <c r="F242" s="10" t="n">
        <f aca="false">IF(D242&lt;&gt;"",D242,IF(C242&lt;&gt;"",C242,""))</f>
        <v>44.8</v>
      </c>
      <c r="G242" s="10" t="str">
        <f aca="false">IF(AND(E242&lt;&gt;"",F242&lt;&gt;""),E242-F242,"")</f>
        <v/>
      </c>
      <c r="H242" s="14" t="str">
        <f aca="false">IF(G242="","",IF(F242=0,"",G242/F242))</f>
        <v/>
      </c>
      <c r="I242" s="15" t="str">
        <f aca="false">IF(E242="","SIN COMPRA",IF(F242="","NUEVO",IF(ROUND(G242,4)&gt;0,"SUBE",IF(ROUND(G242,4)&lt;0,"BAJA","IGUAL"))))</f>
        <v>SIN COMPRA</v>
      </c>
      <c r="J242" s="14" t="str">
        <f aca="false">IF(AND(C242&lt;&gt;"",D242&lt;&gt;""),IF(C242=0,"",D242/C242-1),"")</f>
        <v/>
      </c>
      <c r="K242" s="9"/>
    </row>
    <row r="243" customFormat="false" ht="15" hidden="false" customHeight="false" outlineLevel="0" collapsed="false">
      <c r="A243" s="9" t="s">
        <v>294</v>
      </c>
      <c r="B243" s="9" t="s">
        <v>295</v>
      </c>
      <c r="C243" s="10" t="n">
        <v>6.5</v>
      </c>
      <c r="D243" s="10" t="n">
        <v>6.5</v>
      </c>
      <c r="E243" s="10" t="n">
        <v>6</v>
      </c>
      <c r="F243" s="10" t="n">
        <f aca="false">IF(D243&lt;&gt;"",D243,IF(C243&lt;&gt;"",C243,""))</f>
        <v>6.5</v>
      </c>
      <c r="G243" s="10" t="n">
        <f aca="false">IF(AND(E243&lt;&gt;"",F243&lt;&gt;""),E243-F243,"")</f>
        <v>-0.5</v>
      </c>
      <c r="H243" s="14" t="n">
        <f aca="false">IF(G243="","",IF(F243=0,"",G243/F243))</f>
        <v>-0.0769230769230769</v>
      </c>
      <c r="I243" s="15" t="str">
        <f aca="false">IF(E243="","SIN COMPRA",IF(F243="","NUEVO",IF(ROUND(G243,4)&gt;0,"SUBE",IF(ROUND(G243,4)&lt;0,"BAJA","IGUAL"))))</f>
        <v>BAJA</v>
      </c>
      <c r="J243" s="14" t="n">
        <f aca="false">IF(AND(C243&lt;&gt;"",D243&lt;&gt;""),IF(C243=0,"",D243/C243-1),"")</f>
        <v>0</v>
      </c>
      <c r="K243" s="9" t="s">
        <v>296</v>
      </c>
    </row>
    <row r="244" customFormat="false" ht="15" hidden="false" customHeight="false" outlineLevel="0" collapsed="false">
      <c r="A244" s="9" t="s">
        <v>297</v>
      </c>
      <c r="B244" s="9" t="s">
        <v>298</v>
      </c>
      <c r="C244" s="10" t="n">
        <v>26</v>
      </c>
      <c r="D244" s="10" t="n">
        <v>26</v>
      </c>
      <c r="E244" s="10" t="n">
        <v>26</v>
      </c>
      <c r="F244" s="10" t="n">
        <f aca="false">IF(D244&lt;&gt;"",D244,IF(C244&lt;&gt;"",C244,""))</f>
        <v>26</v>
      </c>
      <c r="G244" s="10" t="n">
        <f aca="false">IF(AND(E244&lt;&gt;"",F244&lt;&gt;""),E244-F244,"")</f>
        <v>0</v>
      </c>
      <c r="H244" s="14" t="n">
        <f aca="false">IF(G244="","",IF(F244=0,"",G244/F244))</f>
        <v>0</v>
      </c>
      <c r="I244" s="15" t="str">
        <f aca="false">IF(E244="","SIN COMPRA",IF(F244="","NUEVO",IF(ROUND(G244,4)&gt;0,"SUBE",IF(ROUND(G244,4)&lt;0,"BAJA","IGUAL"))))</f>
        <v>IGUAL</v>
      </c>
      <c r="J244" s="14" t="n">
        <f aca="false">IF(AND(C244&lt;&gt;"",D244&lt;&gt;""),IF(C244=0,"",D244/C244-1),"")</f>
        <v>0</v>
      </c>
      <c r="K244" s="9"/>
    </row>
    <row r="245" customFormat="false" ht="15" hidden="false" customHeight="false" outlineLevel="0" collapsed="false">
      <c r="A245" s="9" t="s">
        <v>299</v>
      </c>
      <c r="B245" s="9" t="s">
        <v>300</v>
      </c>
      <c r="C245" s="10" t="n">
        <v>15.5</v>
      </c>
      <c r="D245" s="10" t="n">
        <v>16.9</v>
      </c>
      <c r="E245" s="10" t="n">
        <v>16.9</v>
      </c>
      <c r="F245" s="10" t="n">
        <f aca="false">IF(D245&lt;&gt;"",D245,IF(C245&lt;&gt;"",C245,""))</f>
        <v>16.9</v>
      </c>
      <c r="G245" s="10" t="n">
        <f aca="false">IF(AND(E245&lt;&gt;"",F245&lt;&gt;""),E245-F245,"")</f>
        <v>0</v>
      </c>
      <c r="H245" s="14" t="n">
        <f aca="false">IF(G245="","",IF(F245=0,"",G245/F245))</f>
        <v>0</v>
      </c>
      <c r="I245" s="15" t="str">
        <f aca="false">IF(E245="","SIN COMPRA",IF(F245="","NUEVO",IF(ROUND(G245,4)&gt;0,"SUBE",IF(ROUND(G245,4)&lt;0,"BAJA","IGUAL"))))</f>
        <v>IGUAL</v>
      </c>
      <c r="J245" s="14" t="n">
        <f aca="false">IF(AND(C245&lt;&gt;"",D245&lt;&gt;""),IF(C245=0,"",D245/C245-1),"")</f>
        <v>0.0903225806451613</v>
      </c>
      <c r="K245" s="9"/>
    </row>
    <row r="246" customFormat="false" ht="15" hidden="false" customHeight="false" outlineLevel="0" collapsed="false">
      <c r="A246" s="9" t="s">
        <v>299</v>
      </c>
      <c r="B246" s="9" t="s">
        <v>301</v>
      </c>
      <c r="C246" s="10" t="n">
        <v>30.9</v>
      </c>
      <c r="D246" s="10" t="n">
        <v>30.9</v>
      </c>
      <c r="E246" s="10"/>
      <c r="F246" s="10" t="n">
        <f aca="false">IF(D246&lt;&gt;"",D246,IF(C246&lt;&gt;"",C246,""))</f>
        <v>30.9</v>
      </c>
      <c r="G246" s="10" t="str">
        <f aca="false">IF(AND(E246&lt;&gt;"",F246&lt;&gt;""),E246-F246,"")</f>
        <v/>
      </c>
      <c r="H246" s="14" t="str">
        <f aca="false">IF(G246="","",IF(F246=0,"",G246/F246))</f>
        <v/>
      </c>
      <c r="I246" s="15" t="str">
        <f aca="false">IF(E246="","SIN COMPRA",IF(F246="","NUEVO",IF(ROUND(G246,4)&gt;0,"SUBE",IF(ROUND(G246,4)&lt;0,"BAJA","IGUAL"))))</f>
        <v>SIN COMPRA</v>
      </c>
      <c r="J246" s="14" t="n">
        <f aca="false">IF(AND(C246&lt;&gt;"",D246&lt;&gt;""),IF(C246=0,"",D246/C246-1),"")</f>
        <v>0</v>
      </c>
      <c r="K246" s="9"/>
    </row>
    <row r="247" customFormat="false" ht="15" hidden="false" customHeight="false" outlineLevel="0" collapsed="false">
      <c r="A247" s="9" t="s">
        <v>302</v>
      </c>
      <c r="B247" s="9" t="s">
        <v>303</v>
      </c>
      <c r="C247" s="10"/>
      <c r="D247" s="10" t="n">
        <v>25.464</v>
      </c>
      <c r="E247" s="10" t="n">
        <v>26.81</v>
      </c>
      <c r="F247" s="10" t="n">
        <f aca="false">IF(D247&lt;&gt;"",D247,IF(C247&lt;&gt;"",C247,""))</f>
        <v>25.464</v>
      </c>
      <c r="G247" s="10" t="n">
        <f aca="false">IF(AND(E247&lt;&gt;"",F247&lt;&gt;""),E247-F247,"")</f>
        <v>1.346</v>
      </c>
      <c r="H247" s="14" t="n">
        <f aca="false">IF(G247="","",IF(F247=0,"",G247/F247))</f>
        <v>0.0528589381087025</v>
      </c>
      <c r="I247" s="15" t="str">
        <f aca="false">IF(E247="","SIN COMPRA",IF(F247="","NUEVO",IF(ROUND(G247,4)&gt;0,"SUBE",IF(ROUND(G247,4)&lt;0,"BAJA","IGUAL"))))</f>
        <v>SUBE</v>
      </c>
      <c r="J247" s="14" t="str">
        <f aca="false">IF(AND(C247&lt;&gt;"",D247&lt;&gt;""),IF(C247=0,"",D247/C247-1),"")</f>
        <v/>
      </c>
      <c r="K247" s="9"/>
    </row>
    <row r="248" customFormat="false" ht="15" hidden="false" customHeight="false" outlineLevel="0" collapsed="false">
      <c r="A248" s="9" t="s">
        <v>302</v>
      </c>
      <c r="B248" s="9" t="s">
        <v>304</v>
      </c>
      <c r="C248" s="10"/>
      <c r="D248" s="10" t="n">
        <v>11.68</v>
      </c>
      <c r="E248" s="10" t="n">
        <v>12.3</v>
      </c>
      <c r="F248" s="10" t="n">
        <f aca="false">IF(D248&lt;&gt;"",D248,IF(C248&lt;&gt;"",C248,""))</f>
        <v>11.68</v>
      </c>
      <c r="G248" s="10" t="n">
        <f aca="false">IF(AND(E248&lt;&gt;"",F248&lt;&gt;""),E248-F248,"")</f>
        <v>0.620000000000001</v>
      </c>
      <c r="H248" s="14" t="n">
        <f aca="false">IF(G248="","",IF(F248=0,"",G248/F248))</f>
        <v>0.053082191780822</v>
      </c>
      <c r="I248" s="15" t="str">
        <f aca="false">IF(E248="","SIN COMPRA",IF(F248="","NUEVO",IF(ROUND(G248,4)&gt;0,"SUBE",IF(ROUND(G248,4)&lt;0,"BAJA","IGUAL"))))</f>
        <v>SUBE</v>
      </c>
      <c r="J248" s="14" t="str">
        <f aca="false">IF(AND(C248&lt;&gt;"",D248&lt;&gt;""),IF(C248=0,"",D248/C248-1),"")</f>
        <v/>
      </c>
      <c r="K248" s="9"/>
    </row>
    <row r="249" customFormat="false" ht="15" hidden="false" customHeight="false" outlineLevel="0" collapsed="false">
      <c r="A249" s="9" t="s">
        <v>302</v>
      </c>
      <c r="B249" s="9" t="s">
        <v>305</v>
      </c>
      <c r="C249" s="10"/>
      <c r="D249" s="10" t="n">
        <v>41.92</v>
      </c>
      <c r="E249" s="10" t="n">
        <v>41.92</v>
      </c>
      <c r="F249" s="10" t="n">
        <f aca="false">IF(D249&lt;&gt;"",D249,IF(C249&lt;&gt;"",C249,""))</f>
        <v>41.92</v>
      </c>
      <c r="G249" s="10" t="n">
        <f aca="false">IF(AND(E249&lt;&gt;"",F249&lt;&gt;""),E249-F249,"")</f>
        <v>0</v>
      </c>
      <c r="H249" s="14" t="n">
        <f aca="false">IF(G249="","",IF(F249=0,"",G249/F249))</f>
        <v>0</v>
      </c>
      <c r="I249" s="15" t="str">
        <f aca="false">IF(E249="","SIN COMPRA",IF(F249="","NUEVO",IF(ROUND(G249,4)&gt;0,"SUBE",IF(ROUND(G249,4)&lt;0,"BAJA","IGUAL"))))</f>
        <v>IGUAL</v>
      </c>
      <c r="J249" s="14" t="str">
        <f aca="false">IF(AND(C249&lt;&gt;"",D249&lt;&gt;""),IF(C249=0,"",D249/C249-1),"")</f>
        <v/>
      </c>
      <c r="K249" s="9"/>
    </row>
    <row r="250" customFormat="false" ht="15" hidden="false" customHeight="false" outlineLevel="0" collapsed="false">
      <c r="A250" s="9" t="s">
        <v>302</v>
      </c>
      <c r="B250" s="9" t="s">
        <v>306</v>
      </c>
      <c r="C250" s="10"/>
      <c r="D250" s="10" t="n">
        <v>33.84</v>
      </c>
      <c r="E250" s="10" t="n">
        <v>33.54</v>
      </c>
      <c r="F250" s="10" t="n">
        <f aca="false">IF(D250&lt;&gt;"",D250,IF(C250&lt;&gt;"",C250,""))</f>
        <v>33.84</v>
      </c>
      <c r="G250" s="10" t="n">
        <f aca="false">IF(AND(E250&lt;&gt;"",F250&lt;&gt;""),E250-F250,"")</f>
        <v>-0.300000000000004</v>
      </c>
      <c r="H250" s="14" t="n">
        <f aca="false">IF(G250="","",IF(F250=0,"",G250/F250))</f>
        <v>-0.00886524822695048</v>
      </c>
      <c r="I250" s="15" t="str">
        <f aca="false">IF(E250="","SIN COMPRA",IF(F250="","NUEVO",IF(ROUND(G250,4)&gt;0,"SUBE",IF(ROUND(G250,4)&lt;0,"BAJA","IGUAL"))))</f>
        <v>BAJA</v>
      </c>
      <c r="J250" s="14" t="str">
        <f aca="false">IF(AND(C250&lt;&gt;"",D250&lt;&gt;""),IF(C250=0,"",D250/C250-1),"")</f>
        <v/>
      </c>
      <c r="K250" s="9"/>
    </row>
    <row r="251" customFormat="false" ht="15" hidden="false" customHeight="false" outlineLevel="0" collapsed="false">
      <c r="A251" s="9" t="s">
        <v>302</v>
      </c>
      <c r="B251" s="9" t="s">
        <v>307</v>
      </c>
      <c r="C251" s="10"/>
      <c r="D251" s="10" t="n">
        <v>33.84</v>
      </c>
      <c r="E251" s="10" t="n">
        <v>33.84</v>
      </c>
      <c r="F251" s="10" t="n">
        <f aca="false">IF(D251&lt;&gt;"",D251,IF(C251&lt;&gt;"",C251,""))</f>
        <v>33.84</v>
      </c>
      <c r="G251" s="10" t="n">
        <f aca="false">IF(AND(E251&lt;&gt;"",F251&lt;&gt;""),E251-F251,"")</f>
        <v>0</v>
      </c>
      <c r="H251" s="14" t="n">
        <f aca="false">IF(G251="","",IF(F251=0,"",G251/F251))</f>
        <v>0</v>
      </c>
      <c r="I251" s="15" t="str">
        <f aca="false">IF(E251="","SIN COMPRA",IF(F251="","NUEVO",IF(ROUND(G251,4)&gt;0,"SUBE",IF(ROUND(G251,4)&lt;0,"BAJA","IGUAL"))))</f>
        <v>IGUAL</v>
      </c>
      <c r="J251" s="14" t="str">
        <f aca="false">IF(AND(C251&lt;&gt;"",D251&lt;&gt;""),IF(C251=0,"",D251/C251-1),"")</f>
        <v/>
      </c>
      <c r="K251" s="9"/>
    </row>
    <row r="252" customFormat="false" ht="15" hidden="false" customHeight="false" outlineLevel="0" collapsed="false">
      <c r="A252" s="9" t="s">
        <v>302</v>
      </c>
      <c r="B252" s="9" t="s">
        <v>308</v>
      </c>
      <c r="C252" s="10"/>
      <c r="D252" s="10" t="n">
        <v>39.6</v>
      </c>
      <c r="E252" s="10"/>
      <c r="F252" s="10" t="n">
        <f aca="false">IF(D252&lt;&gt;"",D252,IF(C252&lt;&gt;"",C252,""))</f>
        <v>39.6</v>
      </c>
      <c r="G252" s="10" t="str">
        <f aca="false">IF(AND(E252&lt;&gt;"",F252&lt;&gt;""),E252-F252,"")</f>
        <v/>
      </c>
      <c r="H252" s="14" t="str">
        <f aca="false">IF(G252="","",IF(F252=0,"",G252/F252))</f>
        <v/>
      </c>
      <c r="I252" s="15" t="str">
        <f aca="false">IF(E252="","SIN COMPRA",IF(F252="","NUEVO",IF(ROUND(G252,4)&gt;0,"SUBE",IF(ROUND(G252,4)&lt;0,"BAJA","IGUAL"))))</f>
        <v>SIN COMPRA</v>
      </c>
      <c r="J252" s="14" t="str">
        <f aca="false">IF(AND(C252&lt;&gt;"",D252&lt;&gt;""),IF(C252=0,"",D252/C252-1),"")</f>
        <v/>
      </c>
      <c r="K252" s="9"/>
    </row>
    <row r="253" customFormat="false" ht="15" hidden="false" customHeight="false" outlineLevel="0" collapsed="false">
      <c r="A253" s="9" t="s">
        <v>302</v>
      </c>
      <c r="B253" s="9" t="s">
        <v>309</v>
      </c>
      <c r="C253" s="10"/>
      <c r="D253" s="10" t="n">
        <v>21.48</v>
      </c>
      <c r="E253" s="10" t="n">
        <v>21.48</v>
      </c>
      <c r="F253" s="10" t="n">
        <f aca="false">IF(D253&lt;&gt;"",D253,IF(C253&lt;&gt;"",C253,""))</f>
        <v>21.48</v>
      </c>
      <c r="G253" s="10" t="n">
        <f aca="false">IF(AND(E253&lt;&gt;"",F253&lt;&gt;""),E253-F253,"")</f>
        <v>0</v>
      </c>
      <c r="H253" s="14" t="n">
        <f aca="false">IF(G253="","",IF(F253=0,"",G253/F253))</f>
        <v>0</v>
      </c>
      <c r="I253" s="15" t="str">
        <f aca="false">IF(E253="","SIN COMPRA",IF(F253="","NUEVO",IF(ROUND(G253,4)&gt;0,"SUBE",IF(ROUND(G253,4)&lt;0,"BAJA","IGUAL"))))</f>
        <v>IGUAL</v>
      </c>
      <c r="J253" s="14" t="str">
        <f aca="false">IF(AND(C253&lt;&gt;"",D253&lt;&gt;""),IF(C253=0,"",D253/C253-1),"")</f>
        <v/>
      </c>
      <c r="K253" s="9"/>
    </row>
    <row r="254" customFormat="false" ht="15" hidden="false" customHeight="false" outlineLevel="0" collapsed="false">
      <c r="A254" s="9" t="s">
        <v>302</v>
      </c>
      <c r="B254" s="9" t="s">
        <v>310</v>
      </c>
      <c r="C254" s="10"/>
      <c r="D254" s="10" t="n">
        <v>24.61</v>
      </c>
      <c r="E254" s="10" t="n">
        <v>24.61</v>
      </c>
      <c r="F254" s="10" t="n">
        <f aca="false">IF(D254&lt;&gt;"",D254,IF(C254&lt;&gt;"",C254,""))</f>
        <v>24.61</v>
      </c>
      <c r="G254" s="10" t="n">
        <f aca="false">IF(AND(E254&lt;&gt;"",F254&lt;&gt;""),E254-F254,"")</f>
        <v>0</v>
      </c>
      <c r="H254" s="14" t="n">
        <f aca="false">IF(G254="","",IF(F254=0,"",G254/F254))</f>
        <v>0</v>
      </c>
      <c r="I254" s="15" t="str">
        <f aca="false">IF(E254="","SIN COMPRA",IF(F254="","NUEVO",IF(ROUND(G254,4)&gt;0,"SUBE",IF(ROUND(G254,4)&lt;0,"BAJA","IGUAL"))))</f>
        <v>IGUAL</v>
      </c>
      <c r="J254" s="14" t="str">
        <f aca="false">IF(AND(C254&lt;&gt;"",D254&lt;&gt;""),IF(C254=0,"",D254/C254-1),"")</f>
        <v/>
      </c>
      <c r="K254" s="9"/>
    </row>
    <row r="255" customFormat="false" ht="15" hidden="false" customHeight="false" outlineLevel="0" collapsed="false">
      <c r="A255" s="9" t="s">
        <v>302</v>
      </c>
      <c r="B255" s="9" t="s">
        <v>311</v>
      </c>
      <c r="C255" s="10"/>
      <c r="D255" s="10" t="n">
        <v>32.88</v>
      </c>
      <c r="E255" s="10" t="n">
        <v>32.88</v>
      </c>
      <c r="F255" s="10" t="n">
        <f aca="false">IF(D255&lt;&gt;"",D255,IF(C255&lt;&gt;"",C255,""))</f>
        <v>32.88</v>
      </c>
      <c r="G255" s="10" t="n">
        <f aca="false">IF(AND(E255&lt;&gt;"",F255&lt;&gt;""),E255-F255,"")</f>
        <v>0</v>
      </c>
      <c r="H255" s="14" t="n">
        <f aca="false">IF(G255="","",IF(F255=0,"",G255/F255))</f>
        <v>0</v>
      </c>
      <c r="I255" s="15" t="str">
        <f aca="false">IF(E255="","SIN COMPRA",IF(F255="","NUEVO",IF(ROUND(G255,4)&gt;0,"SUBE",IF(ROUND(G255,4)&lt;0,"BAJA","IGUAL"))))</f>
        <v>IGUAL</v>
      </c>
      <c r="J255" s="14" t="str">
        <f aca="false">IF(AND(C255&lt;&gt;"",D255&lt;&gt;""),IF(C255=0,"",D255/C255-1),"")</f>
        <v/>
      </c>
      <c r="K255" s="9"/>
    </row>
    <row r="256" customFormat="false" ht="15" hidden="false" customHeight="false" outlineLevel="0" collapsed="false">
      <c r="A256" s="9" t="s">
        <v>302</v>
      </c>
      <c r="B256" s="9" t="s">
        <v>312</v>
      </c>
      <c r="C256" s="10"/>
      <c r="D256" s="10" t="n">
        <v>38.3</v>
      </c>
      <c r="E256" s="10" t="n">
        <v>38.3</v>
      </c>
      <c r="F256" s="10" t="n">
        <f aca="false">IF(D256&lt;&gt;"",D256,IF(C256&lt;&gt;"",C256,""))</f>
        <v>38.3</v>
      </c>
      <c r="G256" s="10" t="n">
        <f aca="false">IF(AND(E256&lt;&gt;"",F256&lt;&gt;""),E256-F256,"")</f>
        <v>0</v>
      </c>
      <c r="H256" s="14" t="n">
        <f aca="false">IF(G256="","",IF(F256=0,"",G256/F256))</f>
        <v>0</v>
      </c>
      <c r="I256" s="15" t="str">
        <f aca="false">IF(E256="","SIN COMPRA",IF(F256="","NUEVO",IF(ROUND(G256,4)&gt;0,"SUBE",IF(ROUND(G256,4)&lt;0,"BAJA","IGUAL"))))</f>
        <v>IGUAL</v>
      </c>
      <c r="J256" s="14" t="str">
        <f aca="false">IF(AND(C256&lt;&gt;"",D256&lt;&gt;""),IF(C256=0,"",D256/C256-1),"")</f>
        <v/>
      </c>
      <c r="K256" s="9"/>
    </row>
    <row r="257" customFormat="false" ht="15" hidden="false" customHeight="false" outlineLevel="0" collapsed="false">
      <c r="A257" s="9" t="s">
        <v>302</v>
      </c>
      <c r="B257" s="9" t="s">
        <v>313</v>
      </c>
      <c r="C257" s="10"/>
      <c r="D257" s="10" t="n">
        <v>45.52</v>
      </c>
      <c r="E257" s="10" t="n">
        <v>45.52</v>
      </c>
      <c r="F257" s="10" t="n">
        <f aca="false">IF(D257&lt;&gt;"",D257,IF(C257&lt;&gt;"",C257,""))</f>
        <v>45.52</v>
      </c>
      <c r="G257" s="10" t="n">
        <f aca="false">IF(AND(E257&lt;&gt;"",F257&lt;&gt;""),E257-F257,"")</f>
        <v>0</v>
      </c>
      <c r="H257" s="14" t="n">
        <f aca="false">IF(G257="","",IF(F257=0,"",G257/F257))</f>
        <v>0</v>
      </c>
      <c r="I257" s="15" t="str">
        <f aca="false">IF(E257="","SIN COMPRA",IF(F257="","NUEVO",IF(ROUND(G257,4)&gt;0,"SUBE",IF(ROUND(G257,4)&lt;0,"BAJA","IGUAL"))))</f>
        <v>IGUAL</v>
      </c>
      <c r="J257" s="14" t="str">
        <f aca="false">IF(AND(C257&lt;&gt;"",D257&lt;&gt;""),IF(C257=0,"",D257/C257-1),"")</f>
        <v/>
      </c>
      <c r="K257" s="9"/>
    </row>
    <row r="258" customFormat="false" ht="15" hidden="false" customHeight="false" outlineLevel="0" collapsed="false">
      <c r="A258" s="9" t="s">
        <v>302</v>
      </c>
      <c r="B258" s="9" t="s">
        <v>314</v>
      </c>
      <c r="C258" s="10"/>
      <c r="D258" s="10" t="n">
        <v>31.27</v>
      </c>
      <c r="E258" s="10" t="n">
        <v>31.26</v>
      </c>
      <c r="F258" s="10" t="n">
        <f aca="false">IF(D258&lt;&gt;"",D258,IF(C258&lt;&gt;"",C258,""))</f>
        <v>31.27</v>
      </c>
      <c r="G258" s="10" t="n">
        <f aca="false">IF(AND(E258&lt;&gt;"",F258&lt;&gt;""),E258-F258,"")</f>
        <v>-0.00999999999999801</v>
      </c>
      <c r="H258" s="14" t="n">
        <f aca="false">IF(G258="","",IF(F258=0,"",G258/F258))</f>
        <v>-0.000319795330988104</v>
      </c>
      <c r="I258" s="15" t="str">
        <f aca="false">IF(E258="","SIN COMPRA",IF(F258="","NUEVO",IF(ROUND(G258,4)&gt;0,"SUBE",IF(ROUND(G258,4)&lt;0,"BAJA","IGUAL"))))</f>
        <v>BAJA</v>
      </c>
      <c r="J258" s="14" t="str">
        <f aca="false">IF(AND(C258&lt;&gt;"",D258&lt;&gt;""),IF(C258=0,"",D258/C258-1),"")</f>
        <v/>
      </c>
      <c r="K258" s="9"/>
    </row>
    <row r="259" customFormat="false" ht="15" hidden="false" customHeight="false" outlineLevel="0" collapsed="false">
      <c r="A259" s="9" t="s">
        <v>302</v>
      </c>
      <c r="B259" s="9" t="s">
        <v>315</v>
      </c>
      <c r="C259" s="10"/>
      <c r="D259" s="10" t="n">
        <v>38.38</v>
      </c>
      <c r="E259" s="10"/>
      <c r="F259" s="10" t="n">
        <f aca="false">IF(D259&lt;&gt;"",D259,IF(C259&lt;&gt;"",C259,""))</f>
        <v>38.38</v>
      </c>
      <c r="G259" s="10" t="str">
        <f aca="false">IF(AND(E259&lt;&gt;"",F259&lt;&gt;""),E259-F259,"")</f>
        <v/>
      </c>
      <c r="H259" s="14" t="str">
        <f aca="false">IF(G259="","",IF(F259=0,"",G259/F259))</f>
        <v/>
      </c>
      <c r="I259" s="15" t="str">
        <f aca="false">IF(E259="","SIN COMPRA",IF(F259="","NUEVO",IF(ROUND(G259,4)&gt;0,"SUBE",IF(ROUND(G259,4)&lt;0,"BAJA","IGUAL"))))</f>
        <v>SIN COMPRA</v>
      </c>
      <c r="J259" s="14" t="str">
        <f aca="false">IF(AND(C259&lt;&gt;"",D259&lt;&gt;""),IF(C259=0,"",D259/C259-1),"")</f>
        <v/>
      </c>
      <c r="K259" s="9"/>
    </row>
    <row r="260" customFormat="false" ht="15" hidden="false" customHeight="false" outlineLevel="0" collapsed="false">
      <c r="A260" s="9" t="s">
        <v>302</v>
      </c>
      <c r="B260" s="9" t="s">
        <v>316</v>
      </c>
      <c r="C260" s="10"/>
      <c r="D260" s="10" t="n">
        <v>46.21</v>
      </c>
      <c r="E260" s="10" t="n">
        <v>46.21</v>
      </c>
      <c r="F260" s="10" t="n">
        <f aca="false">IF(D260&lt;&gt;"",D260,IF(C260&lt;&gt;"",C260,""))</f>
        <v>46.21</v>
      </c>
      <c r="G260" s="10" t="n">
        <f aca="false">IF(AND(E260&lt;&gt;"",F260&lt;&gt;""),E260-F260,"")</f>
        <v>0</v>
      </c>
      <c r="H260" s="14" t="n">
        <f aca="false">IF(G260="","",IF(F260=0,"",G260/F260))</f>
        <v>0</v>
      </c>
      <c r="I260" s="15" t="str">
        <f aca="false">IF(E260="","SIN COMPRA",IF(F260="","NUEVO",IF(ROUND(G260,4)&gt;0,"SUBE",IF(ROUND(G260,4)&lt;0,"BAJA","IGUAL"))))</f>
        <v>IGUAL</v>
      </c>
      <c r="J260" s="14" t="str">
        <f aca="false">IF(AND(C260&lt;&gt;"",D260&lt;&gt;""),IF(C260=0,"",D260/C260-1),"")</f>
        <v/>
      </c>
      <c r="K260" s="9"/>
    </row>
    <row r="261" customFormat="false" ht="15" hidden="false" customHeight="false" outlineLevel="0" collapsed="false">
      <c r="A261" s="9" t="s">
        <v>302</v>
      </c>
      <c r="B261" s="9" t="s">
        <v>317</v>
      </c>
      <c r="C261" s="10"/>
      <c r="D261" s="10" t="n">
        <v>31.92</v>
      </c>
      <c r="E261" s="10"/>
      <c r="F261" s="10" t="n">
        <f aca="false">IF(D261&lt;&gt;"",D261,IF(C261&lt;&gt;"",C261,""))</f>
        <v>31.92</v>
      </c>
      <c r="G261" s="10" t="str">
        <f aca="false">IF(AND(E261&lt;&gt;"",F261&lt;&gt;""),E261-F261,"")</f>
        <v/>
      </c>
      <c r="H261" s="14" t="str">
        <f aca="false">IF(G261="","",IF(F261=0,"",G261/F261))</f>
        <v/>
      </c>
      <c r="I261" s="15" t="str">
        <f aca="false">IF(E261="","SIN COMPRA",IF(F261="","NUEVO",IF(ROUND(G261,4)&gt;0,"SUBE",IF(ROUND(G261,4)&lt;0,"BAJA","IGUAL"))))</f>
        <v>SIN COMPRA</v>
      </c>
      <c r="J261" s="14" t="str">
        <f aca="false">IF(AND(C261&lt;&gt;"",D261&lt;&gt;""),IF(C261=0,"",D261/C261-1),"")</f>
        <v/>
      </c>
      <c r="K261" s="9"/>
    </row>
    <row r="262" customFormat="false" ht="15" hidden="false" customHeight="false" outlineLevel="0" collapsed="false">
      <c r="A262" s="9" t="s">
        <v>302</v>
      </c>
      <c r="B262" s="9" t="s">
        <v>318</v>
      </c>
      <c r="C262" s="10"/>
      <c r="D262" s="10" t="n">
        <v>26.04</v>
      </c>
      <c r="E262" s="10" t="n">
        <v>26.04</v>
      </c>
      <c r="F262" s="10" t="n">
        <f aca="false">IF(D262&lt;&gt;"",D262,IF(C262&lt;&gt;"",C262,""))</f>
        <v>26.04</v>
      </c>
      <c r="G262" s="10" t="n">
        <f aca="false">IF(AND(E262&lt;&gt;"",F262&lt;&gt;""),E262-F262,"")</f>
        <v>0</v>
      </c>
      <c r="H262" s="14" t="n">
        <f aca="false">IF(G262="","",IF(F262=0,"",G262/F262))</f>
        <v>0</v>
      </c>
      <c r="I262" s="15" t="str">
        <f aca="false">IF(E262="","SIN COMPRA",IF(F262="","NUEVO",IF(ROUND(G262,4)&gt;0,"SUBE",IF(ROUND(G262,4)&lt;0,"BAJA","IGUAL"))))</f>
        <v>IGUAL</v>
      </c>
      <c r="J262" s="14" t="str">
        <f aca="false">IF(AND(C262&lt;&gt;"",D262&lt;&gt;""),IF(C262=0,"",D262/C262-1),"")</f>
        <v/>
      </c>
      <c r="K262" s="9"/>
    </row>
    <row r="263" customFormat="false" ht="15" hidden="false" customHeight="false" outlineLevel="0" collapsed="false">
      <c r="A263" s="9" t="s">
        <v>302</v>
      </c>
      <c r="B263" s="9" t="s">
        <v>319</v>
      </c>
      <c r="C263" s="10"/>
      <c r="D263" s="10" t="n">
        <v>26.04</v>
      </c>
      <c r="E263" s="10" t="n">
        <v>26.04</v>
      </c>
      <c r="F263" s="10" t="n">
        <f aca="false">IF(D263&lt;&gt;"",D263,IF(C263&lt;&gt;"",C263,""))</f>
        <v>26.04</v>
      </c>
      <c r="G263" s="10" t="n">
        <f aca="false">IF(AND(E263&lt;&gt;"",F263&lt;&gt;""),E263-F263,"")</f>
        <v>0</v>
      </c>
      <c r="H263" s="14" t="n">
        <f aca="false">IF(G263="","",IF(F263=0,"",G263/F263))</f>
        <v>0</v>
      </c>
      <c r="I263" s="15" t="str">
        <f aca="false">IF(E263="","SIN COMPRA",IF(F263="","NUEVO",IF(ROUND(G263,4)&gt;0,"SUBE",IF(ROUND(G263,4)&lt;0,"BAJA","IGUAL"))))</f>
        <v>IGUAL</v>
      </c>
      <c r="J263" s="14" t="str">
        <f aca="false">IF(AND(C263&lt;&gt;"",D263&lt;&gt;""),IF(C263=0,"",D263/C263-1),"")</f>
        <v/>
      </c>
      <c r="K263" s="9"/>
    </row>
    <row r="264" customFormat="false" ht="15" hidden="false" customHeight="false" outlineLevel="0" collapsed="false">
      <c r="A264" s="9" t="s">
        <v>302</v>
      </c>
      <c r="B264" s="9" t="s">
        <v>320</v>
      </c>
      <c r="C264" s="10"/>
      <c r="D264" s="10" t="n">
        <v>23.28</v>
      </c>
      <c r="E264" s="10"/>
      <c r="F264" s="10" t="n">
        <f aca="false">IF(D264&lt;&gt;"",D264,IF(C264&lt;&gt;"",C264,""))</f>
        <v>23.28</v>
      </c>
      <c r="G264" s="10" t="str">
        <f aca="false">IF(AND(E264&lt;&gt;"",F264&lt;&gt;""),E264-F264,"")</f>
        <v/>
      </c>
      <c r="H264" s="14" t="str">
        <f aca="false">IF(G264="","",IF(F264=0,"",G264/F264))</f>
        <v/>
      </c>
      <c r="I264" s="15" t="str">
        <f aca="false">IF(E264="","SIN COMPRA",IF(F264="","NUEVO",IF(ROUND(G264,4)&gt;0,"SUBE",IF(ROUND(G264,4)&lt;0,"BAJA","IGUAL"))))</f>
        <v>SIN COMPRA</v>
      </c>
      <c r="J264" s="14" t="str">
        <f aca="false">IF(AND(C264&lt;&gt;"",D264&lt;&gt;""),IF(C264=0,"",D264/C264-1),"")</f>
        <v/>
      </c>
      <c r="K264" s="9"/>
    </row>
    <row r="265" customFormat="false" ht="15" hidden="false" customHeight="false" outlineLevel="0" collapsed="false">
      <c r="A265" s="9" t="s">
        <v>302</v>
      </c>
      <c r="B265" s="9" t="s">
        <v>321</v>
      </c>
      <c r="C265" s="10"/>
      <c r="D265" s="10" t="n">
        <v>31.92</v>
      </c>
      <c r="E265" s="10" t="n">
        <v>31.92</v>
      </c>
      <c r="F265" s="10" t="n">
        <f aca="false">IF(D265&lt;&gt;"",D265,IF(C265&lt;&gt;"",C265,""))</f>
        <v>31.92</v>
      </c>
      <c r="G265" s="10" t="n">
        <f aca="false">IF(AND(E265&lt;&gt;"",F265&lt;&gt;""),E265-F265,"")</f>
        <v>0</v>
      </c>
      <c r="H265" s="14" t="n">
        <f aca="false">IF(G265="","",IF(F265=0,"",G265/F265))</f>
        <v>0</v>
      </c>
      <c r="I265" s="15" t="str">
        <f aca="false">IF(E265="","SIN COMPRA",IF(F265="","NUEVO",IF(ROUND(G265,4)&gt;0,"SUBE",IF(ROUND(G265,4)&lt;0,"BAJA","IGUAL"))))</f>
        <v>IGUAL</v>
      </c>
      <c r="J265" s="14" t="str">
        <f aca="false">IF(AND(C265&lt;&gt;"",D265&lt;&gt;""),IF(C265=0,"",D265/C265-1),"")</f>
        <v/>
      </c>
      <c r="K265" s="9"/>
    </row>
    <row r="266" customFormat="false" ht="15" hidden="false" customHeight="false" outlineLevel="0" collapsed="false">
      <c r="A266" s="9" t="s">
        <v>302</v>
      </c>
      <c r="B266" s="9" t="s">
        <v>322</v>
      </c>
      <c r="C266" s="10"/>
      <c r="D266" s="10" t="n">
        <v>23.28</v>
      </c>
      <c r="E266" s="10"/>
      <c r="F266" s="10" t="n">
        <f aca="false">IF(D266&lt;&gt;"",D266,IF(C266&lt;&gt;"",C266,""))</f>
        <v>23.28</v>
      </c>
      <c r="G266" s="10" t="str">
        <f aca="false">IF(AND(E266&lt;&gt;"",F266&lt;&gt;""),E266-F266,"")</f>
        <v/>
      </c>
      <c r="H266" s="14" t="str">
        <f aca="false">IF(G266="","",IF(F266=0,"",G266/F266))</f>
        <v/>
      </c>
      <c r="I266" s="15" t="str">
        <f aca="false">IF(E266="","SIN COMPRA",IF(F266="","NUEVO",IF(ROUND(G266,4)&gt;0,"SUBE",IF(ROUND(G266,4)&lt;0,"BAJA","IGUAL"))))</f>
        <v>SIN COMPRA</v>
      </c>
      <c r="J266" s="14" t="str">
        <f aca="false">IF(AND(C266&lt;&gt;"",D266&lt;&gt;""),IF(C266=0,"",D266/C266-1),"")</f>
        <v/>
      </c>
      <c r="K266" s="9"/>
    </row>
    <row r="267" customFormat="false" ht="15" hidden="false" customHeight="false" outlineLevel="0" collapsed="false">
      <c r="A267" s="9" t="s">
        <v>302</v>
      </c>
      <c r="B267" s="9" t="s">
        <v>323</v>
      </c>
      <c r="C267" s="10"/>
      <c r="D267" s="10" t="n">
        <v>23.28</v>
      </c>
      <c r="E267" s="10" t="n">
        <v>23.28</v>
      </c>
      <c r="F267" s="10" t="n">
        <f aca="false">IF(D267&lt;&gt;"",D267,IF(C267&lt;&gt;"",C267,""))</f>
        <v>23.28</v>
      </c>
      <c r="G267" s="10" t="n">
        <f aca="false">IF(AND(E267&lt;&gt;"",F267&lt;&gt;""),E267-F267,"")</f>
        <v>0</v>
      </c>
      <c r="H267" s="14" t="n">
        <f aca="false">IF(G267="","",IF(F267=0,"",G267/F267))</f>
        <v>0</v>
      </c>
      <c r="I267" s="15" t="str">
        <f aca="false">IF(E267="","SIN COMPRA",IF(F267="","NUEVO",IF(ROUND(G267,4)&gt;0,"SUBE",IF(ROUND(G267,4)&lt;0,"BAJA","IGUAL"))))</f>
        <v>IGUAL</v>
      </c>
      <c r="J267" s="14" t="str">
        <f aca="false">IF(AND(C267&lt;&gt;"",D267&lt;&gt;""),IF(C267=0,"",D267/C267-1),"")</f>
        <v/>
      </c>
      <c r="K267" s="9"/>
    </row>
    <row r="268" customFormat="false" ht="15" hidden="false" customHeight="false" outlineLevel="0" collapsed="false">
      <c r="A268" s="9" t="s">
        <v>302</v>
      </c>
      <c r="B268" s="9" t="s">
        <v>324</v>
      </c>
      <c r="C268" s="10"/>
      <c r="D268" s="10" t="n">
        <v>24</v>
      </c>
      <c r="E268" s="10"/>
      <c r="F268" s="10" t="n">
        <f aca="false">IF(D268&lt;&gt;"",D268,IF(C268&lt;&gt;"",C268,""))</f>
        <v>24</v>
      </c>
      <c r="G268" s="10" t="str">
        <f aca="false">IF(AND(E268&lt;&gt;"",F268&lt;&gt;""),E268-F268,"")</f>
        <v/>
      </c>
      <c r="H268" s="14" t="str">
        <f aca="false">IF(G268="","",IF(F268=0,"",G268/F268))</f>
        <v/>
      </c>
      <c r="I268" s="15" t="str">
        <f aca="false">IF(E268="","SIN COMPRA",IF(F268="","NUEVO",IF(ROUND(G268,4)&gt;0,"SUBE",IF(ROUND(G268,4)&lt;0,"BAJA","IGUAL"))))</f>
        <v>SIN COMPRA</v>
      </c>
      <c r="J268" s="14" t="str">
        <f aca="false">IF(AND(C268&lt;&gt;"",D268&lt;&gt;""),IF(C268=0,"",D268/C268-1),"")</f>
        <v/>
      </c>
      <c r="K268" s="9"/>
    </row>
    <row r="269" customFormat="false" ht="15" hidden="false" customHeight="false" outlineLevel="0" collapsed="false">
      <c r="A269" s="9" t="s">
        <v>302</v>
      </c>
      <c r="B269" s="9" t="s">
        <v>325</v>
      </c>
      <c r="C269" s="10"/>
      <c r="D269" s="10" t="n">
        <v>29.91</v>
      </c>
      <c r="E269" s="10" t="n">
        <v>29.91</v>
      </c>
      <c r="F269" s="10" t="n">
        <f aca="false">IF(D269&lt;&gt;"",D269,IF(C269&lt;&gt;"",C269,""))</f>
        <v>29.91</v>
      </c>
      <c r="G269" s="10" t="n">
        <f aca="false">IF(AND(E269&lt;&gt;"",F269&lt;&gt;""),E269-F269,"")</f>
        <v>0</v>
      </c>
      <c r="H269" s="14" t="n">
        <f aca="false">IF(G269="","",IF(F269=0,"",G269/F269))</f>
        <v>0</v>
      </c>
      <c r="I269" s="15" t="str">
        <f aca="false">IF(E269="","SIN COMPRA",IF(F269="","NUEVO",IF(ROUND(G269,4)&gt;0,"SUBE",IF(ROUND(G269,4)&lt;0,"BAJA","IGUAL"))))</f>
        <v>IGUAL</v>
      </c>
      <c r="J269" s="14" t="str">
        <f aca="false">IF(AND(C269&lt;&gt;"",D269&lt;&gt;""),IF(C269=0,"",D269/C269-1),"")</f>
        <v/>
      </c>
      <c r="K269" s="9"/>
    </row>
    <row r="270" customFormat="false" ht="15" hidden="false" customHeight="false" outlineLevel="0" collapsed="false">
      <c r="A270" s="9" t="s">
        <v>302</v>
      </c>
      <c r="B270" s="9" t="s">
        <v>326</v>
      </c>
      <c r="C270" s="10"/>
      <c r="D270" s="10" t="n">
        <v>29.91</v>
      </c>
      <c r="E270" s="10"/>
      <c r="F270" s="10" t="n">
        <f aca="false">IF(D270&lt;&gt;"",D270,IF(C270&lt;&gt;"",C270,""))</f>
        <v>29.91</v>
      </c>
      <c r="G270" s="10" t="str">
        <f aca="false">IF(AND(E270&lt;&gt;"",F270&lt;&gt;""),E270-F270,"")</f>
        <v/>
      </c>
      <c r="H270" s="14" t="str">
        <f aca="false">IF(G270="","",IF(F270=0,"",G270/F270))</f>
        <v/>
      </c>
      <c r="I270" s="15" t="str">
        <f aca="false">IF(E270="","SIN COMPRA",IF(F270="","NUEVO",IF(ROUND(G270,4)&gt;0,"SUBE",IF(ROUND(G270,4)&lt;0,"BAJA","IGUAL"))))</f>
        <v>SIN COMPRA</v>
      </c>
      <c r="J270" s="14" t="str">
        <f aca="false">IF(AND(C270&lt;&gt;"",D270&lt;&gt;""),IF(C270=0,"",D270/C270-1),"")</f>
        <v/>
      </c>
      <c r="K270" s="9"/>
    </row>
  </sheetData>
  <autoFilter ref="A33:K270"/>
  <mergeCells count="9">
    <mergeCell ref="A1:K1"/>
    <mergeCell ref="A2:K2"/>
    <mergeCell ref="A5:B5"/>
    <mergeCell ref="A6:B6"/>
    <mergeCell ref="A7:B7"/>
    <mergeCell ref="A8:B8"/>
    <mergeCell ref="A9:B9"/>
    <mergeCell ref="A10:E10"/>
    <mergeCell ref="G10:K10"/>
  </mergeCells>
  <conditionalFormatting sqref="I34:I270">
    <cfRule type="cellIs" priority="2" operator="equal" aboveAverage="0" equalAverage="0" bottom="0" percent="0" rank="0" text="" dxfId="12">
      <formula>"SUBE"</formula>
    </cfRule>
    <cfRule type="cellIs" priority="3" operator="equal" aboveAverage="0" equalAverage="0" bottom="0" percent="0" rank="0" text="" dxfId="13">
      <formula>"BAJA"</formula>
    </cfRule>
    <cfRule type="cellIs" priority="4" operator="equal" aboveAverage="0" equalAverage="0" bottom="0" percent="0" rank="0" text="" dxfId="14">
      <formula>"NUEVO"</formula>
    </cfRule>
    <cfRule type="cellIs" priority="5" operator="equal" aboveAverage="0" equalAverage="0" bottom="0" percent="0" rank="0" text="" dxfId="15">
      <formula>"SIN COMPRA"</formula>
    </cfRule>
  </conditionalFormatting>
  <conditionalFormatting sqref="J34:J270">
    <cfRule type="expression" priority="6" aboveAverage="0" equalAverage="0" bottom="0" percent="0" rank="0" text="" dxfId="16">
      <formula>AND(ISNUMBER(J34),J34&gt;0.00001)</formula>
    </cfRule>
    <cfRule type="expression" priority="7" aboveAverage="0" equalAverage="0" bottom="0" percent="0" rank="0" text="" dxfId="17">
      <formula>AND(ISNUMBER(J34),J34&lt;-0.00001)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2026-09-17T08:23:28Z</dcterms:created>
  <dc:creator>openpyxl</dc:creator>
  <dc:description/>
  <dc:language>en-US</dc:language>
  <cp:lastModifiedBy/>
  <dcterms:modified xsi:type="dcterms:W3CDTF">2026-09-17T08:23:28Z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
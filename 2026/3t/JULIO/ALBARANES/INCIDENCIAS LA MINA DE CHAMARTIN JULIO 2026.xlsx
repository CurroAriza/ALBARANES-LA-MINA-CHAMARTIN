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CIAS JULIO" sheetId="1" state="visible" r:id="rId3"/>
  </sheets>
  <definedNames>
    <definedName function="false" hidden="true" localSheetId="0" name="_xlnm._FilterDatabase" vbProcedure="false">'INCIDENCIAS JULIO'!$A$9:$I$30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<sst xmlns="http://schemas.openxmlformats.org/spreadsheetml/2006/main" count="164" uniqueCount="98">
  <si>
    <t xml:space="preserve">INCIDENCIAS — ALBARANES LA MINA DE CHAMARTÍN JULIO 2026</t>
  </si>
  <si>
    <t xml:space="preserve">Las subidas y bajadas de precio están en el Excel COMPARATIVA PRECIOS. ESTADO: PENDIENTE / REVISADO / CORREGIDO.</t>
  </si>
  <si>
    <t xml:space="preserve">Pendientes ALTA</t>
  </si>
  <si>
    <t xml:space="preserve">Subidas de precio en julio</t>
  </si>
  <si>
    <t xml:space="preserve">Pendientes MEDIA</t>
  </si>
  <si>
    <t xml:space="preserve">Bajadas de precio en julio</t>
  </si>
  <si>
    <t xml:space="preserve">Pendientes BAJA</t>
  </si>
  <si>
    <t xml:space="preserve">(detalle en COMPARATIVA PRECIOS LA MINA CHAMARTIN JULIO 2026)</t>
  </si>
  <si>
    <t xml:space="preserve">Nº</t>
  </si>
  <si>
    <t xml:space="preserve">PRIORIDAD</t>
  </si>
  <si>
    <t xml:space="preserve">MES</t>
  </si>
  <si>
    <t xml:space="preserve">PROVEEDOR</t>
  </si>
  <si>
    <t xml:space="preserve">TIPO</t>
  </si>
  <si>
    <t xml:space="preserve">DETALLE</t>
  </si>
  <si>
    <t xml:space="preserve">IMPORTE (€)</t>
  </si>
  <si>
    <t xml:space="preserve">ACCIÓN SUGERIDA</t>
  </si>
  <si>
    <t xml:space="preserve">ESTADO</t>
  </si>
  <si>
    <t xml:space="preserve">ALTA</t>
  </si>
  <si>
    <t xml:space="preserve">JULIO</t>
  </si>
  <si>
    <t xml:space="preserve">PEÑALASTALLAS</t>
  </si>
  <si>
    <t xml:space="preserve">Importe sin albarán</t>
  </si>
  <si>
    <t xml:space="preserve">En la hoja del proveedor hay 67,29 € sin nº de albarán que no están en TOTAL JULIO (el CUADRE de julio marca REVISAR).</t>
  </si>
  <si>
    <t xml:space="preserve">Confirmar si es un albarán real: añadirlo a TOTAL JULIO o quitarlo de la hoja.</t>
  </si>
  <si>
    <t xml:space="preserve">PENDIENTE</t>
  </si>
  <si>
    <t xml:space="preserve">JOSE ROMERO PLAZA</t>
  </si>
  <si>
    <t xml:space="preserve">Posible error de precio</t>
  </si>
  <si>
    <t xml:space="preserve">Albarán 149 (29/07): una línea de 1 kg de boquerón a 46,20 € (el resto a 11 €). Total del albarán 87,12 €.</t>
  </si>
  <si>
    <t xml:space="preserve">Pedir aclaración o abono al proveedor.</t>
  </si>
  <si>
    <t xml:space="preserve">Varios (La Mina de Velázquez)</t>
  </si>
  <si>
    <t xml:space="preserve">Albaranes de Velázquez en el PDF de Chamartín</t>
  </si>
  <si>
    <t xml:space="preserve">En el PDF de julio había albaranes a nombre de La Mina de Velázquez: LEIKAN (009210, 009103, 009311), MADOSA (AC 367060 a 367529), AGMASFOOD 26 6663, DON BOCARTE 5017, MAGOASE 19315, JOSE PEÑA 2026-260512, CRUSTAPESCA (30075, 29072, 310711), PESCARUM (29, 30 y 31/07), DISOLTRIGO 135361, TOMATERÍA 30/07, ENRIQUE CAMPS A26/2027, CRNAS SERVAN A2607-0518, MARTÍN CANEDA (035592, 035578, 035561), MANUEL AMBRES pedido 26/10600 y MONVA AL/5260628. No incluidos. Separados en PDF en JULIO/ALBARANES ("VELAZQUEZ - albaranes julio…").</t>
  </si>
  <si>
    <t xml:space="preserve">Pasar los PDF a Velázquez y comprobar que están en su Excel de julio.</t>
  </si>
  <si>
    <t xml:space="preserve">CONS. SELEC. SANTO (DON BOCARTE)</t>
  </si>
  <si>
    <t xml:space="preserve">Albarán de otra empresa</t>
  </si>
  <si>
    <t xml:space="preserve">Albarán 4848 (22/07) a nombre de ANGOMI PROYECTOS INMOBILIARIAS (B85301034), con sello de La Mina Chamartín 2. Total 178,29 €. No incluido. PDF separado en JULIO/ALBARANES.</t>
  </si>
  <si>
    <t xml:space="preserve">Confirmar a quién corresponde.</t>
  </si>
  <si>
    <t xml:space="preserve">MEDIA</t>
  </si>
  <si>
    <t xml:space="preserve">CRUSTAPESCA</t>
  </si>
  <si>
    <t xml:space="preserve">Albarán de otro mes</t>
  </si>
  <si>
    <t xml:space="preserve">Albarán sin nº con fecha "02 mayo 2026" y a mano "ES 2 DE JUNIO". Total 223,50 €. No incluido. PDF separado ("REVISAR - Crustapesca mayo-junio…").</t>
  </si>
  <si>
    <t xml:space="preserve">Confirmar el mes y meterlo en el Excel que corresponda.</t>
  </si>
  <si>
    <t xml:space="preserve">(sin proveedor)</t>
  </si>
  <si>
    <t xml:space="preserve">Factura sin datos del proveedor</t>
  </si>
  <si>
    <t xml:space="preserve">Factura manuscrita para "Taberna La Mina" (22/07): 75 mollejas x 1,08 = 81 € + 4 % = 84,24 €. Sin proveedor ni nº. No incluida. Está en el mismo PDF de REVISAR.</t>
  </si>
  <si>
    <t xml:space="preserve">Identificar el proveedor.</t>
  </si>
  <si>
    <t xml:space="preserve">TOMATERIA DE CEA</t>
  </si>
  <si>
    <t xml:space="preserve">Posible duplicado</t>
  </si>
  <si>
    <t xml:space="preserve">Nota manuscrita (fecha poco clara, 15 o 25/07) de 6 kg a 6 € con una anotación del alb. 931 del 25/07 (37,44 €). No incluida.</t>
  </si>
  <si>
    <t xml:space="preserve">Confirmar si es un duplicado.</t>
  </si>
  <si>
    <t xml:space="preserve">MAGOASE</t>
  </si>
  <si>
    <t xml:space="preserve">Revisar IVA</t>
  </si>
  <si>
    <t xml:space="preserve">Albarán 17635 (262,95 €) está al 10 %, pero otro albarán con el mismo importe (18418) va al 4 % (aceite de oliva).</t>
  </si>
  <si>
    <t xml:space="preserve">Comprobar el tipo de IVA.</t>
  </si>
  <si>
    <t xml:space="preserve">Albaranes del 08, 09 y 11/07 al 10 %; el tomate lleva IVA del 4 % (así viene en el alb. 931).</t>
  </si>
  <si>
    <t xml:space="preserve">MARTIN CANEDA</t>
  </si>
  <si>
    <t xml:space="preserve">Producto a 0 €</t>
  </si>
  <si>
    <t xml:space="preserve">Albarán 035186: 2 chochas a precio 0 (total 93,23 €).</t>
  </si>
  <si>
    <t xml:space="preserve">Confirmar si es regalo o error.</t>
  </si>
  <si>
    <t xml:space="preserve">Albaranes poco legibles</t>
  </si>
  <si>
    <t xml:space="preserve">27547: casi ilegible, se ha puesto 0,5 kg camarón a 98 € + 2 chochas a 50 € (149 €). 27662: fecha dudosa (¿11/07?), 250 € + IVA.</t>
  </si>
  <si>
    <t xml:space="preserve">Comprobar con copia legible.</t>
  </si>
  <si>
    <t xml:space="preserve">BAJA</t>
  </si>
  <si>
    <t xml:space="preserve">Dato ilegible</t>
  </si>
  <si>
    <t xml:space="preserve">Albarán 16850: la columna CAJAS no se lee; se ha puesto 1 caja por línea.</t>
  </si>
  <si>
    <t xml:space="preserve">Comprobar cantidades.</t>
  </si>
  <si>
    <t xml:space="preserve">AGROFOOD</t>
  </si>
  <si>
    <t xml:space="preserve">Dato dudoso</t>
  </si>
  <si>
    <t xml:space="preserve">Albarán M26/776: los valores 2 y 1 pueden ser cajas o piezas.</t>
  </si>
  <si>
    <t xml:space="preserve">Copia borrosa</t>
  </si>
  <si>
    <t xml:space="preserve">Albarán 4604: nº (4604/4664) y fecha dudosos. Importe 347,76 € + IVA = 382,54 €.</t>
  </si>
  <si>
    <t xml:space="preserve">Pedir copia legible.</t>
  </si>
  <si>
    <t xml:space="preserve">PESCARUM</t>
  </si>
  <si>
    <t xml:space="preserve">Datos ilegibles / sin cabecera</t>
  </si>
  <si>
    <t xml:space="preserve">22/07: primera línea y total ilegibles (base calculada 346,40 €). 31/07: albarán sin sello, asignado a Pescarum por formato y precios (301,45 € + IVA).</t>
  </si>
  <si>
    <t xml:space="preserve">Confirmar con el proveedor.</t>
  </si>
  <si>
    <t xml:space="preserve">Total a mano distinto</t>
  </si>
  <si>
    <t xml:space="preserve">Albarán sin nº del 21/07: 4 kg x 26 = 104 € + IVA = 114,40 €, pero a mano pone 114,04 €.</t>
  </si>
  <si>
    <t xml:space="preserve">Confirmar el importe.</t>
  </si>
  <si>
    <t xml:space="preserve">FRUTERIA D'ALISTE</t>
  </si>
  <si>
    <t xml:space="preserve">Albarán manuscrito</t>
  </si>
  <si>
    <t xml:space="preserve">Albarán del 03/07 sin nº y poco legible. Base 67,79 € al 4 %.</t>
  </si>
  <si>
    <t xml:space="preserve">CARNICAS MEAT</t>
  </si>
  <si>
    <t xml:space="preserve">Diferencia de céntimos</t>
  </si>
  <si>
    <t xml:space="preserve">Albarán A1/209: 6,48 kg x 34,55 = 223,88 € y el albarán pone 223,85 € (el CUADRE de julio marca 0,06 €).</t>
  </si>
  <si>
    <t xml:space="preserve">Ninguna (redondeo).</t>
  </si>
  <si>
    <t xml:space="preserve">VOLDIS</t>
  </si>
  <si>
    <t xml:space="preserve">Importes sueltos en la hoja</t>
  </si>
  <si>
    <t xml:space="preserve">La hoja de julio tenía 8 importes sin descripción (20,78 € en total). Se han agrupado en una línea para que la hoja cuadre.</t>
  </si>
  <si>
    <t xml:space="preserve">Confirmar a qué productos corresponden.</t>
  </si>
  <si>
    <t xml:space="preserve">INFO</t>
  </si>
  <si>
    <t xml:space="preserve">Varios</t>
  </si>
  <si>
    <t xml:space="preserve">Precio distinto dentro del mes</t>
  </si>
  <si>
    <t xml:space="preserve">PATATAS YAGO: saco agria 0,95 € (01/07), 0,89 € (14-17/07) y 0,88 € (desde 18/07). JOSE ROMERO PLAZA: boquerón a 9,50 / 10 / 11 / 12 €/kg; parrochas de 7 a 7,80 € desde el 25/07. CARNICAS MEAT: solomillo a 35 y 34,55 €/kg. AGMASFOOD: gamba roja 79 € (03/07) y 84 € (desde 23/07). MARTÍN CANEDA: berberecho de 25 a 24 € desde el 28/07.</t>
  </si>
  <si>
    <t xml:space="preserve">Detalle en COMPARATIVA PRECIOS.</t>
  </si>
  <si>
    <t xml:space="preserve">MONVA</t>
  </si>
  <si>
    <t xml:space="preserve">Proveedor nuevo</t>
  </si>
  <si>
    <t xml:space="preserve">Proveedor nuevo en julio: 3 garrafas de AOVE Montabes 10 L a 57 € + 4 %. Tiene su propia hoja.</t>
  </si>
  <si>
    <t xml:space="preserve">Ninguna.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</si>
</sst>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&quot; €&quot;;[RED]\-#,##0.00&quot; €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7A6B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F0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D9F0EC"/>
          <bgColor rgb="FF000000"/>
        </patternFill>
      </fill>
    </dxf>
    <dxf>
      <fill>
        <patternFill patternType="solid">
          <fgColor rgb="FF1F7A6B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1F3864"/>
      </font>
      <fill>
        <patternFill>
          <bgColor rgb="FFDDEBF7"/>
        </patternFill>
      </fill>
    </dxf>
    <dxf>
      <font>
        <b val="1"/>
        <color rgb="FF595959"/>
      </font>
      <fill>
        <patternFill>
          <bgColor rgb="FFEDEDED"/>
        </patternFill>
      </fill>
    </dxf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F7A6B"/>
      <rgbColor rgb="FFBFBFBF"/>
      <rgbColor rgb="FF808080"/>
      <rgbColor rgb="FF9999FF"/>
      <rgbColor rgb="FF993366"/>
      <rgbColor rgb="FFEDEDED"/>
      <rgbColor rgb="FFD9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70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0" t="s">
        <v>2</v>
      </c>
      <c r="C4" s="3" t="n">
        <f aca="false">COUNTIFS($B$10:$B$30,"ALTA",$I$10:$I$30,"PENDIENTE")</f>
        <v>4</v>
      </c>
      <c r="E4" s="4" t="s">
        <v>3</v>
      </c>
      <c r="G4" s="5" t="n">
        <v>18</v>
      </c>
    </row>
    <row r="5" customFormat="false" ht="15" hidden="false" customHeight="false" outlineLevel="0" collapsed="false">
      <c r="A5" s="0" t="s">
        <v>4</v>
      </c>
      <c r="C5" s="3" t="n">
        <f aca="false">COUNTIFS($B$10:$B$30,"MEDIA",$I$10:$I$30,"PENDIENTE")</f>
        <v>7</v>
      </c>
      <c r="E5" s="4" t="s">
        <v>5</v>
      </c>
      <c r="G5" s="5" t="n">
        <v>13</v>
      </c>
    </row>
    <row r="6" customFormat="false" ht="15" hidden="false" customHeight="false" outlineLevel="0" collapsed="false">
      <c r="A6" s="0" t="s">
        <v>6</v>
      </c>
      <c r="C6" s="3" t="n">
        <f aca="false">COUNTIFS($B$10:$B$30,"BAJA",$I$10:$I$30,"PENDIENTE")</f>
        <v>8</v>
      </c>
      <c r="E6" s="6" t="s">
        <v>7</v>
      </c>
    </row>
    <row r="9" customFormat="false" ht="28.35" hidden="false" customHeight="fals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</row>
    <row r="10" customFormat="false" ht="28.35" hidden="false" customHeight="false" outlineLevel="0" collapsed="false">
      <c r="A10" s="8" t="n">
        <v>1</v>
      </c>
      <c r="B10" s="9" t="s">
        <v>17</v>
      </c>
      <c r="C10" s="10" t="s">
        <v>18</v>
      </c>
      <c r="D10" s="11" t="s">
        <v>19</v>
      </c>
      <c r="E10" s="11" t="s">
        <v>20</v>
      </c>
      <c r="F10" s="11" t="s">
        <v>21</v>
      </c>
      <c r="G10" s="12" t="n">
        <v>67.29</v>
      </c>
      <c r="H10" s="11" t="s">
        <v>22</v>
      </c>
      <c r="I10" s="9" t="s">
        <v>23</v>
      </c>
    </row>
    <row r="11" customFormat="false" ht="28.35" hidden="false" customHeight="false" outlineLevel="0" collapsed="false">
      <c r="A11" s="8" t="n">
        <v>2</v>
      </c>
      <c r="B11" s="9" t="s">
        <v>17</v>
      </c>
      <c r="C11" s="10" t="s">
        <v>18</v>
      </c>
      <c r="D11" s="11" t="s">
        <v>24</v>
      </c>
      <c r="E11" s="11" t="s">
        <v>25</v>
      </c>
      <c r="F11" s="11" t="s">
        <v>26</v>
      </c>
      <c r="G11" s="12" t="n">
        <v>35.2</v>
      </c>
      <c r="H11" s="11" t="s">
        <v>27</v>
      </c>
      <c r="I11" s="9" t="s">
        <v>23</v>
      </c>
    </row>
    <row r="12" customFormat="false" ht="108.95" hidden="false" customHeight="false" outlineLevel="0" collapsed="false">
      <c r="A12" s="8" t="n">
        <v>3</v>
      </c>
      <c r="B12" s="9" t="s">
        <v>17</v>
      </c>
      <c r="C12" s="10" t="s">
        <v>18</v>
      </c>
      <c r="D12" s="11" t="s">
        <v>28</v>
      </c>
      <c r="E12" s="11" t="s">
        <v>29</v>
      </c>
      <c r="F12" s="11" t="s">
        <v>30</v>
      </c>
      <c r="G12" s="12"/>
      <c r="H12" s="11" t="s">
        <v>31</v>
      </c>
      <c r="I12" s="9" t="s">
        <v>23</v>
      </c>
    </row>
    <row r="13" customFormat="false" ht="41.75" hidden="false" customHeight="false" outlineLevel="0" collapsed="false">
      <c r="A13" s="8" t="n">
        <v>4</v>
      </c>
      <c r="B13" s="9" t="s">
        <v>17</v>
      </c>
      <c r="C13" s="10" t="s">
        <v>18</v>
      </c>
      <c r="D13" s="11" t="s">
        <v>32</v>
      </c>
      <c r="E13" s="11" t="s">
        <v>33</v>
      </c>
      <c r="F13" s="11" t="s">
        <v>34</v>
      </c>
      <c r="G13" s="12" t="n">
        <v>162.08</v>
      </c>
      <c r="H13" s="11" t="s">
        <v>35</v>
      </c>
      <c r="I13" s="9" t="s">
        <v>23</v>
      </c>
    </row>
    <row r="14" customFormat="false" ht="28.35" hidden="false" customHeight="false" outlineLevel="0" collapsed="false">
      <c r="A14" s="8" t="n">
        <v>5</v>
      </c>
      <c r="B14" s="9" t="s">
        <v>36</v>
      </c>
      <c r="C14" s="10" t="s">
        <v>18</v>
      </c>
      <c r="D14" s="11" t="s">
        <v>37</v>
      </c>
      <c r="E14" s="11" t="s">
        <v>38</v>
      </c>
      <c r="F14" s="11" t="s">
        <v>39</v>
      </c>
      <c r="G14" s="12"/>
      <c r="H14" s="11" t="s">
        <v>40</v>
      </c>
      <c r="I14" s="9" t="s">
        <v>23</v>
      </c>
    </row>
    <row r="15" customFormat="false" ht="28.35" hidden="false" customHeight="false" outlineLevel="0" collapsed="false">
      <c r="A15" s="8" t="n">
        <v>6</v>
      </c>
      <c r="B15" s="9" t="s">
        <v>36</v>
      </c>
      <c r="C15" s="10" t="s">
        <v>18</v>
      </c>
      <c r="D15" s="11" t="s">
        <v>41</v>
      </c>
      <c r="E15" s="11" t="s">
        <v>42</v>
      </c>
      <c r="F15" s="11" t="s">
        <v>43</v>
      </c>
      <c r="G15" s="12" t="n">
        <v>81</v>
      </c>
      <c r="H15" s="11" t="s">
        <v>44</v>
      </c>
      <c r="I15" s="9" t="s">
        <v>23</v>
      </c>
    </row>
    <row r="16" customFormat="false" ht="28.35" hidden="false" customHeight="false" outlineLevel="0" collapsed="false">
      <c r="A16" s="8" t="n">
        <v>7</v>
      </c>
      <c r="B16" s="9" t="s">
        <v>36</v>
      </c>
      <c r="C16" s="10" t="s">
        <v>18</v>
      </c>
      <c r="D16" s="11" t="s">
        <v>45</v>
      </c>
      <c r="E16" s="11" t="s">
        <v>46</v>
      </c>
      <c r="F16" s="11" t="s">
        <v>47</v>
      </c>
      <c r="G16" s="12"/>
      <c r="H16" s="11" t="s">
        <v>48</v>
      </c>
      <c r="I16" s="9" t="s">
        <v>23</v>
      </c>
    </row>
    <row r="17" customFormat="false" ht="28.35" hidden="false" customHeight="false" outlineLevel="0" collapsed="false">
      <c r="A17" s="8" t="n">
        <v>8</v>
      </c>
      <c r="B17" s="9" t="s">
        <v>36</v>
      </c>
      <c r="C17" s="10" t="s">
        <v>18</v>
      </c>
      <c r="D17" s="11" t="s">
        <v>49</v>
      </c>
      <c r="E17" s="11" t="s">
        <v>50</v>
      </c>
      <c r="F17" s="11" t="s">
        <v>51</v>
      </c>
      <c r="G17" s="12" t="n">
        <v>262.95</v>
      </c>
      <c r="H17" s="11" t="s">
        <v>52</v>
      </c>
      <c r="I17" s="9" t="s">
        <v>23</v>
      </c>
    </row>
    <row r="18" customFormat="false" ht="28.35" hidden="false" customHeight="false" outlineLevel="0" collapsed="false">
      <c r="A18" s="8" t="n">
        <v>9</v>
      </c>
      <c r="B18" s="9" t="s">
        <v>36</v>
      </c>
      <c r="C18" s="10" t="s">
        <v>18</v>
      </c>
      <c r="D18" s="11" t="s">
        <v>45</v>
      </c>
      <c r="E18" s="11" t="s">
        <v>50</v>
      </c>
      <c r="F18" s="11" t="s">
        <v>53</v>
      </c>
      <c r="G18" s="12"/>
      <c r="H18" s="11" t="s">
        <v>52</v>
      </c>
      <c r="I18" s="9" t="s">
        <v>23</v>
      </c>
    </row>
    <row r="19" customFormat="false" ht="15" hidden="false" customHeight="false" outlineLevel="0" collapsed="false">
      <c r="A19" s="8" t="n">
        <v>10</v>
      </c>
      <c r="B19" s="9" t="s">
        <v>36</v>
      </c>
      <c r="C19" s="10" t="s">
        <v>18</v>
      </c>
      <c r="D19" s="11" t="s">
        <v>54</v>
      </c>
      <c r="E19" s="11" t="s">
        <v>55</v>
      </c>
      <c r="F19" s="11" t="s">
        <v>56</v>
      </c>
      <c r="G19" s="12"/>
      <c r="H19" s="11" t="s">
        <v>57</v>
      </c>
      <c r="I19" s="9" t="s">
        <v>23</v>
      </c>
    </row>
    <row r="20" customFormat="false" ht="28.35" hidden="false" customHeight="false" outlineLevel="0" collapsed="false">
      <c r="A20" s="8" t="n">
        <v>11</v>
      </c>
      <c r="B20" s="9" t="s">
        <v>36</v>
      </c>
      <c r="C20" s="10" t="s">
        <v>18</v>
      </c>
      <c r="D20" s="11" t="s">
        <v>54</v>
      </c>
      <c r="E20" s="11" t="s">
        <v>58</v>
      </c>
      <c r="F20" s="11" t="s">
        <v>59</v>
      </c>
      <c r="G20" s="12" t="n">
        <v>399</v>
      </c>
      <c r="H20" s="11" t="s">
        <v>60</v>
      </c>
      <c r="I20" s="9" t="s">
        <v>23</v>
      </c>
    </row>
    <row r="21" customFormat="false" ht="15" hidden="false" customHeight="false" outlineLevel="0" collapsed="false">
      <c r="A21" s="8" t="n">
        <v>12</v>
      </c>
      <c r="B21" s="9" t="s">
        <v>61</v>
      </c>
      <c r="C21" s="10" t="s">
        <v>18</v>
      </c>
      <c r="D21" s="11" t="s">
        <v>49</v>
      </c>
      <c r="E21" s="11" t="s">
        <v>62</v>
      </c>
      <c r="F21" s="11" t="s">
        <v>63</v>
      </c>
      <c r="G21" s="12"/>
      <c r="H21" s="11" t="s">
        <v>64</v>
      </c>
      <c r="I21" s="9" t="s">
        <v>23</v>
      </c>
    </row>
    <row r="22" customFormat="false" ht="15" hidden="false" customHeight="false" outlineLevel="0" collapsed="false">
      <c r="A22" s="8" t="n">
        <v>13</v>
      </c>
      <c r="B22" s="9" t="s">
        <v>61</v>
      </c>
      <c r="C22" s="10" t="s">
        <v>18</v>
      </c>
      <c r="D22" s="11" t="s">
        <v>65</v>
      </c>
      <c r="E22" s="11" t="s">
        <v>66</v>
      </c>
      <c r="F22" s="11" t="s">
        <v>67</v>
      </c>
      <c r="G22" s="12"/>
      <c r="H22" s="11" t="s">
        <v>64</v>
      </c>
      <c r="I22" s="9" t="s">
        <v>23</v>
      </c>
    </row>
    <row r="23" customFormat="false" ht="28.35" hidden="false" customHeight="false" outlineLevel="0" collapsed="false">
      <c r="A23" s="8" t="n">
        <v>14</v>
      </c>
      <c r="B23" s="9" t="s">
        <v>61</v>
      </c>
      <c r="C23" s="10" t="s">
        <v>18</v>
      </c>
      <c r="D23" s="11" t="s">
        <v>32</v>
      </c>
      <c r="E23" s="11" t="s">
        <v>68</v>
      </c>
      <c r="F23" s="11" t="s">
        <v>69</v>
      </c>
      <c r="G23" s="12" t="n">
        <v>347.76</v>
      </c>
      <c r="H23" s="11" t="s">
        <v>70</v>
      </c>
      <c r="I23" s="9" t="s">
        <v>23</v>
      </c>
    </row>
    <row r="24" customFormat="false" ht="28.35" hidden="false" customHeight="false" outlineLevel="0" collapsed="false">
      <c r="A24" s="8" t="n">
        <v>15</v>
      </c>
      <c r="B24" s="9" t="s">
        <v>61</v>
      </c>
      <c r="C24" s="10" t="s">
        <v>18</v>
      </c>
      <c r="D24" s="11" t="s">
        <v>71</v>
      </c>
      <c r="E24" s="11" t="s">
        <v>72</v>
      </c>
      <c r="F24" s="11" t="s">
        <v>73</v>
      </c>
      <c r="G24" s="12"/>
      <c r="H24" s="11" t="s">
        <v>74</v>
      </c>
      <c r="I24" s="9" t="s">
        <v>23</v>
      </c>
    </row>
    <row r="25" customFormat="false" ht="28.35" hidden="false" customHeight="false" outlineLevel="0" collapsed="false">
      <c r="A25" s="8" t="n">
        <v>16</v>
      </c>
      <c r="B25" s="9" t="s">
        <v>61</v>
      </c>
      <c r="C25" s="10" t="s">
        <v>18</v>
      </c>
      <c r="D25" s="11" t="s">
        <v>37</v>
      </c>
      <c r="E25" s="11" t="s">
        <v>75</v>
      </c>
      <c r="F25" s="11" t="s">
        <v>76</v>
      </c>
      <c r="G25" s="12"/>
      <c r="H25" s="11" t="s">
        <v>77</v>
      </c>
      <c r="I25" s="9" t="s">
        <v>23</v>
      </c>
    </row>
    <row r="26" customFormat="false" ht="15" hidden="false" customHeight="false" outlineLevel="0" collapsed="false">
      <c r="A26" s="8" t="n">
        <v>17</v>
      </c>
      <c r="B26" s="9" t="s">
        <v>61</v>
      </c>
      <c r="C26" s="10" t="s">
        <v>18</v>
      </c>
      <c r="D26" s="11" t="s">
        <v>78</v>
      </c>
      <c r="E26" s="11" t="s">
        <v>79</v>
      </c>
      <c r="F26" s="11" t="s">
        <v>80</v>
      </c>
      <c r="G26" s="12" t="n">
        <v>67.79</v>
      </c>
      <c r="H26" s="11" t="s">
        <v>70</v>
      </c>
      <c r="I26" s="9" t="s">
        <v>23</v>
      </c>
    </row>
    <row r="27" customFormat="false" ht="28.35" hidden="false" customHeight="false" outlineLevel="0" collapsed="false">
      <c r="A27" s="8" t="n">
        <v>18</v>
      </c>
      <c r="B27" s="9" t="s">
        <v>61</v>
      </c>
      <c r="C27" s="10" t="s">
        <v>18</v>
      </c>
      <c r="D27" s="11" t="s">
        <v>81</v>
      </c>
      <c r="E27" s="11" t="s">
        <v>82</v>
      </c>
      <c r="F27" s="11" t="s">
        <v>83</v>
      </c>
      <c r="G27" s="12" t="n">
        <v>0.06</v>
      </c>
      <c r="H27" s="11" t="s">
        <v>84</v>
      </c>
      <c r="I27" s="9" t="s">
        <v>23</v>
      </c>
    </row>
    <row r="28" customFormat="false" ht="28.35" hidden="false" customHeight="false" outlineLevel="0" collapsed="false">
      <c r="A28" s="8" t="n">
        <v>19</v>
      </c>
      <c r="B28" s="9" t="s">
        <v>61</v>
      </c>
      <c r="C28" s="10" t="s">
        <v>18</v>
      </c>
      <c r="D28" s="11" t="s">
        <v>85</v>
      </c>
      <c r="E28" s="11" t="s">
        <v>86</v>
      </c>
      <c r="F28" s="11" t="s">
        <v>87</v>
      </c>
      <c r="G28" s="12" t="n">
        <v>20.78</v>
      </c>
      <c r="H28" s="11" t="s">
        <v>88</v>
      </c>
      <c r="I28" s="9" t="s">
        <v>23</v>
      </c>
    </row>
    <row r="29" customFormat="false" ht="68.65" hidden="false" customHeight="false" outlineLevel="0" collapsed="false">
      <c r="A29" s="8" t="n">
        <v>20</v>
      </c>
      <c r="B29" s="9" t="s">
        <v>89</v>
      </c>
      <c r="C29" s="10" t="s">
        <v>18</v>
      </c>
      <c r="D29" s="11" t="s">
        <v>90</v>
      </c>
      <c r="E29" s="11" t="s">
        <v>91</v>
      </c>
      <c r="F29" s="11" t="s">
        <v>92</v>
      </c>
      <c r="G29" s="12"/>
      <c r="H29" s="11" t="s">
        <v>93</v>
      </c>
      <c r="I29" s="9" t="s">
        <v>23</v>
      </c>
    </row>
    <row r="30" customFormat="false" ht="28.35" hidden="false" customHeight="false" outlineLevel="0" collapsed="false">
      <c r="A30" s="8" t="n">
        <v>21</v>
      </c>
      <c r="B30" s="9" t="s">
        <v>89</v>
      </c>
      <c r="C30" s="10" t="s">
        <v>18</v>
      </c>
      <c r="D30" s="11" t="s">
        <v>94</v>
      </c>
      <c r="E30" s="11" t="s">
        <v>95</v>
      </c>
      <c r="F30" s="11" t="s">
        <v>96</v>
      </c>
      <c r="G30" s="12" t="n">
        <v>171</v>
      </c>
      <c r="H30" s="11" t="s">
        <v>97</v>
      </c>
      <c r="I30" s="9" t="s">
        <v>23</v>
      </c>
    </row>
  </sheetData>
  <autoFilter ref="A9:I30"/>
  <mergeCells count="2">
    <mergeCell ref="A1:I1"/>
    <mergeCell ref="A2:I2"/>
  </mergeCells>
  <conditionalFormatting sqref="B10:B30">
    <cfRule type="cellIs" priority="2" operator="equal" aboveAverage="0" equalAverage="0" bottom="0" percent="0" rank="0" text="" dxfId="14">
      <formula>"ALTA"</formula>
    </cfRule>
    <cfRule type="cellIs" priority="3" operator="equal" aboveAverage="0" equalAverage="0" bottom="0" percent="0" rank="0" text="" dxfId="15">
      <formula>"MEDIA"</formula>
    </cfRule>
    <cfRule type="cellIs" priority="4" operator="equal" aboveAverage="0" equalAverage="0" bottom="0" percent="0" rank="0" text="" dxfId="16">
      <formula>"BAJA"</formula>
    </cfRule>
    <cfRule type="cellIs" priority="5" operator="equal" aboveAverage="0" equalAverage="0" bottom="0" percent="0" rank="0" text="" dxfId="17">
      <formula>"INFO"</formula>
    </cfRule>
  </conditionalFormatting>
  <conditionalFormatting sqref="I10:I30">
    <cfRule type="cellIs" priority="6" operator="equal" aboveAverage="0" equalAverage="0" bottom="0" percent="0" rank="0" text="" dxfId="18">
      <formula>"PENDIENTE"</formula>
    </cfRule>
    <cfRule type="cellIs" priority="7" operator="notEqual" aboveAverage="0" equalAverage="0" bottom="0" percent="0" rank="0" text="" dxfId="19">
      <formula>"PENDIENTE"</formula>
    </cfRule>
  </conditionalFormatting>
  <conditionalFormatting sqref="A10:H30">
    <cfRule type="expression" priority="8" aboveAverage="0" equalAverage="0" bottom="0" percent="0" rank="0" text="" dxfId="20">
      <formula>AND($I10&lt;&gt;"",$I10&lt;&gt;"PENDIENTE")</formula>
    </cfRule>
  </conditionalFormatting>
  <dataValidations count="2">
    <dataValidation allowBlank="true" errorStyle="stop" operator="between" showDropDown="false" showErrorMessage="false" showInputMessage="false" sqref="I10:I30" type="list">
      <formula1>"PENDIENTE,REVISADO,CORREGIDO"</formula1>
      <formula2>0</formula2>
    </dataValidation>
    <dataValidation allowBlank="true" errorStyle="stop" operator="between" showDropDown="false" showErrorMessage="false" showInputMessage="false" sqref="B10:B30" type="list">
      <formula1>"ALTA,MEDIA,BAJA,INFO"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2026-09-17T08:26:11Z</dcterms:created>
  <dc:creator>openpyxl</dc:creator>
  <dc:description/>
  <dc:language>en-US</dc:language>
  <cp:lastModifiedBy/>
  <dcterms:modified xsi:type="dcterms:W3CDTF">2026-09-17T08:26:11Z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
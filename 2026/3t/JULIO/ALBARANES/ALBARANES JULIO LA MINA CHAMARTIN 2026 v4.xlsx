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JULIO" sheetId="1" state="visible" r:id="rId3"/>
    <sheet name="TOTAL JULIO" sheetId="2" state="visible" r:id="rId4"/>
    <sheet name="CUADRE ALBARANES" sheetId="3" state="visible" r:id="rId5"/>
    <sheet name="_____AGMASFOOD" sheetId="4" state="visible" r:id="rId6"/>
    <sheet name="_____AGROFOOD" sheetId="5" state="visible" r:id="rId7"/>
    <sheet name="_____ANTONIO DE MIGUEL" sheetId="6" state="visible" r:id="rId8"/>
    <sheet name="_____CALIDOSCOPI" sheetId="7" state="visible" r:id="rId9"/>
    <sheet name="_____CARNICAS MEAT" sheetId="8" state="visible" r:id="rId10"/>
    <sheet name="_____CARNICAS OPC" sheetId="9" state="visible" r:id="rId11"/>
    <sheet name="_____COCA-COLA" sheetId="10" state="visible" r:id="rId12"/>
    <sheet name="_____CONS. SELEC. SANT" sheetId="11" state="visible" r:id="rId13"/>
    <sheet name="_____CONS. Y SALAZONES" sheetId="12" state="visible" r:id="rId14"/>
    <sheet name="_____CRNAS SERVAN" sheetId="13" state="visible" r:id="rId15"/>
    <sheet name="_____CRUSTAPESCA" sheetId="14" state="visible" r:id="rId16"/>
    <sheet name="_____DELIPAN" sheetId="15" state="visible" r:id="rId17"/>
    <sheet name="_____DISOLTRIGO" sheetId="16" state="visible" r:id="rId18"/>
    <sheet name="_____DIST. TENA" sheetId="17" state="visible" r:id="rId19"/>
    <sheet name="_____EIF DISTRIBUCIONES" sheetId="18" state="visible" r:id="rId20"/>
    <sheet name="_____ENRIQUE CAMPS" sheetId="19" state="visible" r:id="rId21"/>
    <sheet name="_____ESCRIBANO SANZ" sheetId="20" state="visible" r:id="rId22"/>
    <sheet name="_____FCO JAVIER LABRADOR" sheetId="21" state="visible" r:id="rId23"/>
    <sheet name="_____FRUTERIA DALISTE" sheetId="22" state="visible" r:id="rId24"/>
    <sheet name="_____JOSE PEÑA" sheetId="23" state="visible" r:id="rId25"/>
    <sheet name="_____JOSE ROMERO PLAZA" sheetId="24" state="visible" r:id="rId26"/>
    <sheet name="_____MAGOASE" sheetId="25" state="visible" r:id="rId27"/>
    <sheet name="_____MAKRO" sheetId="26" state="visible" r:id="rId28"/>
    <sheet name="_____MANU AMBRES" sheetId="27" state="visible" r:id="rId29"/>
    <sheet name="_____MARTIN CANEDA" sheetId="28" state="visible" r:id="rId30"/>
    <sheet name="_____MONVA" sheetId="29" state="visible" r:id="rId31"/>
    <sheet name="_____MUNDELA" sheetId="30" state="visible" r:id="rId32"/>
    <sheet name="_____PATATAS YAGO" sheetId="31" state="visible" r:id="rId33"/>
    <sheet name="_____PESCADERIA PALACIO" sheetId="32" state="visible" r:id="rId34"/>
    <sheet name="_____PESCARUM" sheetId="33" state="visible" r:id="rId35"/>
    <sheet name="_____PEÑALASTALLAS" sheetId="34" state="visible" r:id="rId36"/>
    <sheet name="_____ROMERO ALVAREZ" sheetId="35" state="visible" r:id="rId37"/>
    <sheet name="_____SUBMARINER" sheetId="36" state="visible" r:id="rId38"/>
    <sheet name="_____TOMATERIA CEA" sheetId="37" state="visible" r:id="rId39"/>
    <sheet name="_____VENERO CLARO" sheetId="38" state="visible" r:id="rId40"/>
    <sheet name="_____VINS DES DIEUX" sheetId="39" state="visible" r:id="rId41"/>
    <sheet name="_____VOLDIS" sheetId="40" state="visible" r:id="rId4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<sst xmlns="http://schemas.openxmlformats.org/spreadsheetml/2006/main" count="1651" uniqueCount="528">
  <si>
    <t xml:space="preserve">RESUMEN DE COMPRAS · JULIO 2026</t>
  </si>
  <si>
    <t xml:space="preserve">LA MINA DE CHAMARTÍN</t>
  </si>
  <si>
    <t xml:space="preserve">Todo se calcula desde la hoja TOTAL JULIO. La columna de mayo es el importe fijo del Excel de mayo. (En junio no hay datos de Chamartín: se compara con mayo.)</t>
  </si>
  <si>
    <t xml:space="preserve">BASE IMPONIBLE</t>
  </si>
  <si>
    <t xml:space="preserve">CUOTA IVA</t>
  </si>
  <si>
    <t xml:space="preserve">TOTAL CON IVA</t>
  </si>
  <si>
    <t xml:space="preserve">Nº ALBARANES</t>
  </si>
  <si>
    <t xml:space="preserve">Nº PROVEEDORES</t>
  </si>
  <si>
    <t xml:space="preserve">CUADRES A REVISAR</t>
  </si>
  <si>
    <t xml:space="preserve">BASE AL 4% DE IVA</t>
  </si>
  <si>
    <t xml:space="preserve">BASE AL 10% DE IVA</t>
  </si>
  <si>
    <t xml:space="preserve">BASE AL 21% DE IVA</t>
  </si>
  <si>
    <t xml:space="preserve">COMPRAS POR PROVEEDOR</t>
  </si>
  <si>
    <t xml:space="preserve">PROVEEDOR</t>
  </si>
  <si>
    <t xml:space="preserve">Nº ALB.</t>
  </si>
  <si>
    <t xml:space="preserve">BASE JULIO</t>
  </si>
  <si>
    <t xml:space="preserve">% DEL MES</t>
  </si>
  <si>
    <t xml:space="preserve">BASE MAYO</t>
  </si>
  <si>
    <t xml:space="preserve">DIF. €</t>
  </si>
  <si>
    <t xml:space="preserve">DIF. %</t>
  </si>
  <si>
    <t xml:space="preserve">PESCARUM</t>
  </si>
  <si>
    <t xml:space="preserve">VOLDIS</t>
  </si>
  <si>
    <t xml:space="preserve">MUNDELA</t>
  </si>
  <si>
    <t xml:space="preserve">AGROFOOD</t>
  </si>
  <si>
    <t xml:space="preserve">CONS. Y SAL. JIMENEZ</t>
  </si>
  <si>
    <t xml:space="preserve">MARTIN CANEDA</t>
  </si>
  <si>
    <t xml:space="preserve">SUBMARINER</t>
  </si>
  <si>
    <t xml:space="preserve">DIST. TENA MTNEZ</t>
  </si>
  <si>
    <t xml:space="preserve">COCACOLA</t>
  </si>
  <si>
    <t xml:space="preserve">CRUSTAPESCA</t>
  </si>
  <si>
    <t xml:space="preserve">MAGOASE</t>
  </si>
  <si>
    <t xml:space="preserve">PEÑALASTALLAS</t>
  </si>
  <si>
    <t xml:space="preserve">CARNICAS MEAT</t>
  </si>
  <si>
    <t xml:space="preserve">PESCADERIA PALACIO</t>
  </si>
  <si>
    <t xml:space="preserve">DISOLTRIGO</t>
  </si>
  <si>
    <t xml:space="preserve">ENRIQUE CAMPS</t>
  </si>
  <si>
    <t xml:space="preserve">AGMASFOOD</t>
  </si>
  <si>
    <t xml:space="preserve">CRNAS SERVAN</t>
  </si>
  <si>
    <t xml:space="preserve">DELIPAN</t>
  </si>
  <si>
    <t xml:space="preserve">MANUEL AMBRES</t>
  </si>
  <si>
    <t xml:space="preserve">JOSE PEÑA</t>
  </si>
  <si>
    <t xml:space="preserve">CONS. SELEC. SANTO</t>
  </si>
  <si>
    <t xml:space="preserve">EIF DISTRIBUCIONES</t>
  </si>
  <si>
    <t xml:space="preserve">PATATAS YAGO</t>
  </si>
  <si>
    <t xml:space="preserve">TOMATERIA DE CEA</t>
  </si>
  <si>
    <t xml:space="preserve">ROMERO ALVAREZ</t>
  </si>
  <si>
    <t xml:space="preserve">JOSE ROMERO PLAZA</t>
  </si>
  <si>
    <t xml:space="preserve">CALIDOSCOPI</t>
  </si>
  <si>
    <t xml:space="preserve">ANTONIO DE MIGUEL</t>
  </si>
  <si>
    <t xml:space="preserve">VENERO CLARO</t>
  </si>
  <si>
    <t xml:space="preserve">CARNICAS OPC</t>
  </si>
  <si>
    <t xml:space="preserve">MAKRO</t>
  </si>
  <si>
    <t xml:space="preserve">VINS DES DIEUX</t>
  </si>
  <si>
    <t xml:space="preserve">ESCRIBANO SANZ</t>
  </si>
  <si>
    <t xml:space="preserve">FCO JAVIER LABRADOR</t>
  </si>
  <si>
    <t xml:space="preserve">MONVA</t>
  </si>
  <si>
    <t xml:space="preserve">FRUTERIA D'ALISTE</t>
  </si>
  <si>
    <t xml:space="preserve">ALMA VINOS UNICOS</t>
  </si>
  <si>
    <t xml:space="preserve">INESCU SERVICES</t>
  </si>
  <si>
    <t xml:space="preserve">TOTAL</t>
  </si>
  <si>
    <t xml:space="preserve">Filas en gris: proveedores con compras en mayo y sin albaranes en julio. DIF. en rojo = sube respecto a mayo; en verde = baja.</t>
  </si>
  <si>
    <t xml:space="preserve">ALBARANES JULIO 2026 · LA MINA DE CHAMARTÍN</t>
  </si>
  <si>
    <t xml:space="preserve">ALBARAN</t>
  </si>
  <si>
    <t xml:space="preserve">BASE</t>
  </si>
  <si>
    <t xml:space="preserve">IVA</t>
  </si>
  <si>
    <t xml:space="preserve">TOTAL FRA</t>
  </si>
  <si>
    <t xml:space="preserve">TOTAL FACTURADO</t>
  </si>
  <si>
    <t xml:space="preserve">26 6093</t>
  </si>
  <si>
    <t xml:space="preserve">26 6075</t>
  </si>
  <si>
    <t xml:space="preserve">26 6029</t>
  </si>
  <si>
    <t xml:space="preserve">26 5876</t>
  </si>
  <si>
    <t xml:space="preserve">26 5951</t>
  </si>
  <si>
    <t xml:space="preserve">26 6564</t>
  </si>
  <si>
    <t xml:space="preserve">26 6530</t>
  </si>
  <si>
    <t xml:space="preserve">26 6503</t>
  </si>
  <si>
    <t xml:space="preserve">26 6629</t>
  </si>
  <si>
    <t xml:space="preserve">M26/810</t>
  </si>
  <si>
    <t xml:space="preserve">M26/787</t>
  </si>
  <si>
    <t xml:space="preserve">M26/776</t>
  </si>
  <si>
    <t xml:space="preserve">M26/865</t>
  </si>
  <si>
    <t xml:space="preserve">M26/849</t>
  </si>
  <si>
    <t xml:space="preserve">M26/844</t>
  </si>
  <si>
    <t xml:space="preserve">M26/839</t>
  </si>
  <si>
    <t xml:space="preserve">M26/817</t>
  </si>
  <si>
    <t xml:space="preserve">M26/890</t>
  </si>
  <si>
    <t xml:space="preserve">M26/872</t>
  </si>
  <si>
    <t xml:space="preserve">A/2066113</t>
  </si>
  <si>
    <t xml:space="preserve">AV-CV26-004508</t>
  </si>
  <si>
    <t xml:space="preserve">A1/195</t>
  </si>
  <si>
    <t xml:space="preserve">A1/191</t>
  </si>
  <si>
    <t xml:space="preserve">A1/188</t>
  </si>
  <si>
    <t xml:space="preserve">A1/209</t>
  </si>
  <si>
    <t xml:space="preserve">A1/202</t>
  </si>
  <si>
    <t xml:space="preserve">A2607-0221</t>
  </si>
  <si>
    <t xml:space="preserve">A2607-0169</t>
  </si>
  <si>
    <t xml:space="preserve">A2607-0092</t>
  </si>
  <si>
    <t xml:space="preserve">521604</t>
  </si>
  <si>
    <t xml:space="preserve">629349</t>
  </si>
  <si>
    <t xml:space="preserve">658014</t>
  </si>
  <si>
    <t xml:space="preserve">657975</t>
  </si>
  <si>
    <t xml:space="preserve">874907</t>
  </si>
  <si>
    <t xml:space="preserve">970813</t>
  </si>
  <si>
    <t xml:space="preserve">122492</t>
  </si>
  <si>
    <t xml:space="preserve">366393</t>
  </si>
  <si>
    <t xml:space="preserve">366398</t>
  </si>
  <si>
    <t xml:space="preserve">4604</t>
  </si>
  <si>
    <t xml:space="preserve">5016</t>
  </si>
  <si>
    <t xml:space="preserve">26A00878</t>
  </si>
  <si>
    <t xml:space="preserve">26A00831</t>
  </si>
  <si>
    <t xml:space="preserve">26A00946</t>
  </si>
  <si>
    <t xml:space="preserve">26A00922</t>
  </si>
  <si>
    <t xml:space="preserve">26A00916</t>
  </si>
  <si>
    <t xml:space="preserve">26A00903</t>
  </si>
  <si>
    <t xml:space="preserve">26A00978</t>
  </si>
  <si>
    <t xml:space="preserve">A2607-0444</t>
  </si>
  <si>
    <t xml:space="preserve">A2607-0048</t>
  </si>
  <si>
    <t xml:space="preserve">A2607-0010</t>
  </si>
  <si>
    <t xml:space="preserve">A2607-0507</t>
  </si>
  <si>
    <t xml:space="preserve">A2607-0519</t>
  </si>
  <si>
    <t xml:space="preserve">A2607-0476</t>
  </si>
  <si>
    <t xml:space="preserve">A2607-0335</t>
  </si>
  <si>
    <t xml:space="preserve">A2607-0309</t>
  </si>
  <si>
    <t xml:space="preserve">A2607-0239</t>
  </si>
  <si>
    <t xml:space="preserve">10073</t>
  </si>
  <si>
    <t xml:space="preserve">9071</t>
  </si>
  <si>
    <t xml:space="preserve">8074</t>
  </si>
  <si>
    <t xml:space="preserve">2074</t>
  </si>
  <si>
    <t xml:space="preserve">1074</t>
  </si>
  <si>
    <t xml:space="preserve">31074</t>
  </si>
  <si>
    <t xml:space="preserve">30076</t>
  </si>
  <si>
    <t xml:space="preserve">29074</t>
  </si>
  <si>
    <t xml:space="preserve">28071</t>
  </si>
  <si>
    <t xml:space="preserve">18071</t>
  </si>
  <si>
    <t xml:space="preserve">S/N 16-07</t>
  </si>
  <si>
    <t xml:space="preserve">150710</t>
  </si>
  <si>
    <t xml:space="preserve">14071</t>
  </si>
  <si>
    <t xml:space="preserve">23077</t>
  </si>
  <si>
    <t xml:space="preserve">S/N 21-07</t>
  </si>
  <si>
    <t xml:space="preserve">S/N 24-07</t>
  </si>
  <si>
    <t xml:space="preserve">A2/8520</t>
  </si>
  <si>
    <t xml:space="preserve">A2/8358</t>
  </si>
  <si>
    <t xml:space="preserve">A2/8248</t>
  </si>
  <si>
    <t xml:space="preserve">A2/9083</t>
  </si>
  <si>
    <t xml:space="preserve">A2/8944</t>
  </si>
  <si>
    <t xml:space="preserve">A2/8841</t>
  </si>
  <si>
    <t xml:space="preserve">A2/8675</t>
  </si>
  <si>
    <t xml:space="preserve">A2/9337</t>
  </si>
  <si>
    <t xml:space="preserve">A2/9201</t>
  </si>
  <si>
    <t xml:space="preserve">134806</t>
  </si>
  <si>
    <t xml:space="preserve">134789</t>
  </si>
  <si>
    <t xml:space="preserve">134442</t>
  </si>
  <si>
    <t xml:space="preserve">135177</t>
  </si>
  <si>
    <t xml:space="preserve">135027</t>
  </si>
  <si>
    <t xml:space="preserve">135362</t>
  </si>
  <si>
    <t xml:space="preserve">FD 2221</t>
  </si>
  <si>
    <t xml:space="preserve">FD 2267</t>
  </si>
  <si>
    <t xml:space="preserve">FD 2309</t>
  </si>
  <si>
    <t xml:space="preserve">FD 2334</t>
  </si>
  <si>
    <t xml:space="preserve">FD 2369</t>
  </si>
  <si>
    <t xml:space="preserve">FD 2419</t>
  </si>
  <si>
    <t xml:space="preserve">2026/1/18961</t>
  </si>
  <si>
    <t xml:space="preserve">2026/1/19030</t>
  </si>
  <si>
    <t xml:space="preserve">2026/1/19510</t>
  </si>
  <si>
    <t xml:space="preserve">2026/1/20194</t>
  </si>
  <si>
    <t xml:space="preserve">2026/1/20864</t>
  </si>
  <si>
    <t xml:space="preserve">A26/1816</t>
  </si>
  <si>
    <t xml:space="preserve">A26/1739</t>
  </si>
  <si>
    <t xml:space="preserve">A26/1957</t>
  </si>
  <si>
    <t xml:space="preserve">A26/2026</t>
  </si>
  <si>
    <t xml:space="preserve">A26/1984</t>
  </si>
  <si>
    <t xml:space="preserve">A26/1892</t>
  </si>
  <si>
    <t xml:space="preserve">A26/1840</t>
  </si>
  <si>
    <t xml:space="preserve">371</t>
  </si>
  <si>
    <t xml:space="preserve">0465</t>
  </si>
  <si>
    <t xml:space="preserve">0524</t>
  </si>
  <si>
    <t xml:space="preserve">01-07/26</t>
  </si>
  <si>
    <t xml:space="preserve">02-07/26</t>
  </si>
  <si>
    <t xml:space="preserve">08/07/2026</t>
  </si>
  <si>
    <t xml:space="preserve">03/07/2026</t>
  </si>
  <si>
    <t xml:space="preserve">2026-260494</t>
  </si>
  <si>
    <t xml:space="preserve">130</t>
  </si>
  <si>
    <t xml:space="preserve">128</t>
  </si>
  <si>
    <t xml:space="preserve">126</t>
  </si>
  <si>
    <t xml:space="preserve">121</t>
  </si>
  <si>
    <t xml:space="preserve">113</t>
  </si>
  <si>
    <t xml:space="preserve">114</t>
  </si>
  <si>
    <t xml:space="preserve">119</t>
  </si>
  <si>
    <t xml:space="preserve">145</t>
  </si>
  <si>
    <t xml:space="preserve">141</t>
  </si>
  <si>
    <t xml:space="preserve">136</t>
  </si>
  <si>
    <t xml:space="preserve">133</t>
  </si>
  <si>
    <t xml:space="preserve">150</t>
  </si>
  <si>
    <t xml:space="preserve">149</t>
  </si>
  <si>
    <t xml:space="preserve">146</t>
  </si>
  <si>
    <t xml:space="preserve">17635</t>
  </si>
  <si>
    <t xml:space="preserve">17367</t>
  </si>
  <si>
    <t xml:space="preserve">16850</t>
  </si>
  <si>
    <t xml:space="preserve">18972</t>
  </si>
  <si>
    <t xml:space="preserve">18750</t>
  </si>
  <si>
    <t xml:space="preserve">18418</t>
  </si>
  <si>
    <t xml:space="preserve">18035</t>
  </si>
  <si>
    <t xml:space="preserve">19317</t>
  </si>
  <si>
    <t xml:space="preserve">9-193072459</t>
  </si>
  <si>
    <t xml:space="preserve">26/10457</t>
  </si>
  <si>
    <t xml:space="preserve">26/11141</t>
  </si>
  <si>
    <t xml:space="preserve">26/10768</t>
  </si>
  <si>
    <t xml:space="preserve">35519</t>
  </si>
  <si>
    <t xml:space="preserve">35508</t>
  </si>
  <si>
    <t xml:space="preserve">27694</t>
  </si>
  <si>
    <t xml:space="preserve">27677</t>
  </si>
  <si>
    <t xml:space="preserve">35535</t>
  </si>
  <si>
    <t xml:space="preserve">35548</t>
  </si>
  <si>
    <t xml:space="preserve">27557</t>
  </si>
  <si>
    <t xml:space="preserve">27565</t>
  </si>
  <si>
    <t xml:space="preserve">27579</t>
  </si>
  <si>
    <t xml:space="preserve">27523</t>
  </si>
  <si>
    <t xml:space="preserve">27534</t>
  </si>
  <si>
    <t xml:space="preserve">27547</t>
  </si>
  <si>
    <t xml:space="preserve">27662</t>
  </si>
  <si>
    <t xml:space="preserve">27591</t>
  </si>
  <si>
    <t xml:space="preserve">35164</t>
  </si>
  <si>
    <t xml:space="preserve">35186</t>
  </si>
  <si>
    <t xml:space="preserve">35175</t>
  </si>
  <si>
    <t xml:space="preserve">35590</t>
  </si>
  <si>
    <t xml:space="preserve">35575</t>
  </si>
  <si>
    <t xml:space="preserve">35565</t>
  </si>
  <si>
    <t xml:space="preserve">35558</t>
  </si>
  <si>
    <t xml:space="preserve">AL/5260619</t>
  </si>
  <si>
    <t xml:space="preserve">AL/5260649</t>
  </si>
  <si>
    <t xml:space="preserve">AL/5260627</t>
  </si>
  <si>
    <t xml:space="preserve">FM 2547</t>
  </si>
  <si>
    <t xml:space="preserve">FM 2592</t>
  </si>
  <si>
    <t xml:space="preserve">FM 2659</t>
  </si>
  <si>
    <t xml:space="preserve">FM 2638</t>
  </si>
  <si>
    <t xml:space="preserve">FM 2692</t>
  </si>
  <si>
    <t xml:space="preserve">FM 2737</t>
  </si>
  <si>
    <t xml:space="preserve">476</t>
  </si>
  <si>
    <t xml:space="preserve">468</t>
  </si>
  <si>
    <t xml:space="preserve">463</t>
  </si>
  <si>
    <t xml:space="preserve">445</t>
  </si>
  <si>
    <t xml:space="preserve">435</t>
  </si>
  <si>
    <t xml:space="preserve">404</t>
  </si>
  <si>
    <t xml:space="preserve">601</t>
  </si>
  <si>
    <t xml:space="preserve">592</t>
  </si>
  <si>
    <t xml:space="preserve">584</t>
  </si>
  <si>
    <t xml:space="preserve">555</t>
  </si>
  <si>
    <t xml:space="preserve">548</t>
  </si>
  <si>
    <t xml:space="preserve">541</t>
  </si>
  <si>
    <t xml:space="preserve">529</t>
  </si>
  <si>
    <t xml:space="preserve">518</t>
  </si>
  <si>
    <t xml:space="preserve">499</t>
  </si>
  <si>
    <t xml:space="preserve">630</t>
  </si>
  <si>
    <t xml:space="preserve">626</t>
  </si>
  <si>
    <t xml:space="preserve">608</t>
  </si>
  <si>
    <t xml:space="preserve">140612</t>
  </si>
  <si>
    <t xml:space="preserve">140395</t>
  </si>
  <si>
    <t xml:space="preserve">139654</t>
  </si>
  <si>
    <t xml:space="preserve">141763</t>
  </si>
  <si>
    <t xml:space="preserve">140979</t>
  </si>
  <si>
    <t xml:space="preserve">142088</t>
  </si>
  <si>
    <t xml:space="preserve">11/07/2026</t>
  </si>
  <si>
    <t xml:space="preserve">10/07/2026</t>
  </si>
  <si>
    <t xml:space="preserve">09/07/2026</t>
  </si>
  <si>
    <t xml:space="preserve">04/07/2026</t>
  </si>
  <si>
    <t xml:space="preserve">02/07/2026</t>
  </si>
  <si>
    <t xml:space="preserve">01/07/2026</t>
  </si>
  <si>
    <t xml:space="preserve">25/07/2026</t>
  </si>
  <si>
    <t xml:space="preserve">24/07/2026</t>
  </si>
  <si>
    <t xml:space="preserve">23/07/2026</t>
  </si>
  <si>
    <t xml:space="preserve">22/07/2026</t>
  </si>
  <si>
    <t xml:space="preserve">21/07/2026</t>
  </si>
  <si>
    <t xml:space="preserve">31/07/2026</t>
  </si>
  <si>
    <t xml:space="preserve">30/07/2026</t>
  </si>
  <si>
    <t xml:space="preserve">29/07/2026</t>
  </si>
  <si>
    <t xml:space="preserve">28/07/2026</t>
  </si>
  <si>
    <t xml:space="preserve">18/07/2026</t>
  </si>
  <si>
    <t xml:space="preserve">17/07/2026</t>
  </si>
  <si>
    <t xml:space="preserve">16/07/2026</t>
  </si>
  <si>
    <t xml:space="preserve">15/07/2026</t>
  </si>
  <si>
    <t xml:space="preserve">14/07/2026</t>
  </si>
  <si>
    <t xml:space="preserve">11957</t>
  </si>
  <si>
    <t xml:space="preserve">11926</t>
  </si>
  <si>
    <t xml:space="preserve">11858</t>
  </si>
  <si>
    <t xml:space="preserve">12056</t>
  </si>
  <si>
    <t xml:space="preserve">12035</t>
  </si>
  <si>
    <t xml:space="preserve">12011</t>
  </si>
  <si>
    <t xml:space="preserve">12113</t>
  </si>
  <si>
    <t xml:space="preserve">SEC 6207</t>
  </si>
  <si>
    <t xml:space="preserve">SEC 6082</t>
  </si>
  <si>
    <t xml:space="preserve">SF 7559</t>
  </si>
  <si>
    <t xml:space="preserve">SF 7806</t>
  </si>
  <si>
    <t xml:space="preserve">SF 7780</t>
  </si>
  <si>
    <t xml:space="preserve">SF 8070</t>
  </si>
  <si>
    <t xml:space="preserve">SF 8308</t>
  </si>
  <si>
    <t xml:space="preserve">26VC-1657</t>
  </si>
  <si>
    <t xml:space="preserve">A262464</t>
  </si>
  <si>
    <t xml:space="preserve">26184</t>
  </si>
  <si>
    <t xml:space="preserve">23129</t>
  </si>
  <si>
    <t xml:space="preserve">24440</t>
  </si>
  <si>
    <t xml:space="preserve">24355</t>
  </si>
  <si>
    <t xml:space="preserve">24723</t>
  </si>
  <si>
    <t xml:space="preserve">25203</t>
  </si>
  <si>
    <t xml:space="preserve">23640</t>
  </si>
  <si>
    <t xml:space="preserve">25801</t>
  </si>
  <si>
    <t xml:space="preserve">CUADRE POR PROVEEDOR Y MES</t>
  </si>
  <si>
    <t xml:space="preserve">Compara, en cada hoja de proveedor, la suma de las líneas de producto con la suma de albaranes, y ésta con la hoja TOTAL del mes (fórmula sobre TOTAL JULIO). Tolerancia ±0,05 €.</t>
  </si>
  <si>
    <t xml:space="preserve">MES</t>
  </si>
  <si>
    <t xml:space="preserve">TOTAL LÍNEAS PRODUCTO</t>
  </si>
  <si>
    <t xml:space="preserve">TOTAL ALBARANES (hoja proveedor)</t>
  </si>
  <si>
    <t xml:space="preserve">TOTAL EN HOJA TOTAL DEL MES</t>
  </si>
  <si>
    <t xml:space="preserve">DIF. LÍNEAS − ALBARANES</t>
  </si>
  <si>
    <t xml:space="preserve">DIF. ALBARANES − HOJA TOTAL</t>
  </si>
  <si>
    <t xml:space="preserve">¿CUADRA?</t>
  </si>
  <si>
    <t xml:space="preserve">NOTA</t>
  </si>
  <si>
    <t xml:space="preserve">JULIO</t>
  </si>
  <si>
    <t xml:space="preserve">Diferencia de redondeo en las líneas (A1/209: 6,48 kg x 34,55 = 223,88 € y el albarán pone 223,85 €).</t>
  </si>
  <si>
    <t xml:space="preserve">Importe suelto de 67,29 € en la hoja sin nº de albarán ni reflejo en TOTAL JULIO (ver incidencias).</t>
  </si>
  <si>
    <t xml:space="preserve">PRODUCTO</t>
  </si>
  <si>
    <t xml:space="preserve">UNIDADES</t>
  </si>
  <si>
    <t xml:space="preserve">PRECIO</t>
  </si>
  <si>
    <t xml:space="preserve">DTO</t>
  </si>
  <si>
    <t xml:space="preserve">ALBARANES</t>
  </si>
  <si>
    <t xml:space="preserve">LOMO NEGRO SIN COLA LIMPIO</t>
  </si>
  <si>
    <t xml:space="preserve">DIFERENCIA</t>
  </si>
  <si>
    <t xml:space="preserve">GAMBA ROJA ALISTADA 15-20P</t>
  </si>
  <si>
    <t xml:space="preserve">BOQUERON GORDO</t>
  </si>
  <si>
    <t xml:space="preserve">Nº ALBARÁN</t>
  </si>
  <si>
    <t xml:space="preserve">% IVA</t>
  </si>
  <si>
    <t xml:space="preserve">ENTRECOT T. MORUCHA</t>
  </si>
  <si>
    <t xml:space="preserve">MEDALLON P. SOLOMILLO VACUNO</t>
  </si>
  <si>
    <t xml:space="preserve">TASA DE ELIMINACION DE RESIDUOS</t>
  </si>
  <si>
    <t xml:space="preserve">PATO CEBADO-FOIE RESTAURACION (400-900)</t>
  </si>
  <si>
    <t xml:space="preserve">PAGO DE CARRAOVEJAS 2023</t>
  </si>
  <si>
    <t xml:space="preserve">CHULETA CORDERO LECHAL</t>
  </si>
  <si>
    <t xml:space="preserve">TERNERA MIXTA</t>
  </si>
  <si>
    <t xml:space="preserve">SOLOMILLO VACA</t>
  </si>
  <si>
    <t xml:space="preserve">MEDIA CAJA HUEVO</t>
  </si>
  <si>
    <t xml:space="preserve">PANCETA ADOBADA</t>
  </si>
  <si>
    <t xml:space="preserve">CAJA HUEVOS CORRAL</t>
  </si>
  <si>
    <t xml:space="preserve">POLLO TROCEADO</t>
  </si>
  <si>
    <t xml:space="preserve">OREJA DE CERDO</t>
  </si>
  <si>
    <t xml:space="preserve">CAJA+BOTELLAS VR237</t>
  </si>
  <si>
    <t xml:space="preserve">COCACOLA PET2L C6</t>
  </si>
  <si>
    <t xml:space="preserve">COCACOLA VR237 C24</t>
  </si>
  <si>
    <t xml:space="preserve">COCACOLA ZER VR237 C24</t>
  </si>
  <si>
    <t xml:space="preserve">COCACOLA ZER ZER VR237 C24</t>
  </si>
  <si>
    <t xml:space="preserve">MINUTE MAID TOM VNR20 C24</t>
  </si>
  <si>
    <t xml:space="preserve">DON BOCARTE MEDIO PULPO 360-400 gr</t>
  </si>
  <si>
    <t xml:space="preserve">ANCHOAS CANTABRICO COSTERA</t>
  </si>
  <si>
    <t xml:space="preserve">ANCHOAS DEL CANTABRICO GRAN RESERVA</t>
  </si>
  <si>
    <t xml:space="preserve">VENTRESCA DE BONITO EXTRA</t>
  </si>
  <si>
    <t xml:space="preserve">MEJILLONES ESCABECHE RIAS GALLEGAS RR-125</t>
  </si>
  <si>
    <t xml:space="preserve">BERBERECHOS RIAS GALLEGAS RO-120 30/40</t>
  </si>
  <si>
    <t xml:space="preserve">ANCHOAS CANTABRICO RO-550 ETIQUETA ROJA</t>
  </si>
  <si>
    <t xml:space="preserve">MOJAMA EXTRA SUPERIOR LA CHANCA</t>
  </si>
  <si>
    <t xml:space="preserve">MEDIA CAJA DE HUERVO</t>
  </si>
  <si>
    <t xml:space="preserve">CAJA HUEVOS DE CORRAL</t>
  </si>
  <si>
    <t xml:space="preserve">PALETILLA IBERICA</t>
  </si>
  <si>
    <t xml:space="preserve">POLLO ENTERO</t>
  </si>
  <si>
    <t xml:space="preserve">GALLINAS</t>
  </si>
  <si>
    <t xml:space="preserve">MORCILLO DE TERNERA</t>
  </si>
  <si>
    <t xml:space="preserve">PATAS DE TERNERA</t>
  </si>
  <si>
    <t xml:space="preserve">MANOS DE CERDO</t>
  </si>
  <si>
    <t xml:space="preserve">MORRO DE TERNERA</t>
  </si>
  <si>
    <t xml:space="preserve">CHORIZO ASTURIANO</t>
  </si>
  <si>
    <t xml:space="preserve">GAMBA FR M</t>
  </si>
  <si>
    <t xml:space="preserve">VENTRESCA</t>
  </si>
  <si>
    <t xml:space="preserve">COLA G</t>
  </si>
  <si>
    <t xml:space="preserve">PICOS ARTESANOS 500gr</t>
  </si>
  <si>
    <t xml:space="preserve">DELIFLAUTA 17 PERRITO 90  uds</t>
  </si>
  <si>
    <t xml:space="preserve">PAN MOLDE BRIOCHE (7 ud)</t>
  </si>
  <si>
    <t xml:space="preserve">PICOS SIN GLUTEN 20gr (25 uds)</t>
  </si>
  <si>
    <t xml:space="preserve">BOQUERON EN VINAGRE PANDERETA</t>
  </si>
  <si>
    <t xml:space="preserve">24 PERLE NOIRE N.2</t>
  </si>
  <si>
    <t xml:space="preserve">BOQUERON CASERO EN ACEITE 700g</t>
  </si>
  <si>
    <t xml:space="preserve">ALBARIÑO MAR DE FRADES</t>
  </si>
  <si>
    <t xml:space="preserve">CAVA BRUT NATURE GRAN CLAUSTRO</t>
  </si>
  <si>
    <t xml:space="preserve">CHARDONAY LIAS ECOLOGICO F.ELEZ</t>
  </si>
  <si>
    <t xml:space="preserve">GINEBRA MARTIN MILLER 3/4</t>
  </si>
  <si>
    <t xml:space="preserve">GODELLO VIÑAREDO</t>
  </si>
  <si>
    <t xml:space="preserve">SEÑORIO DE FITERO ROBLE</t>
  </si>
  <si>
    <t xml:space="preserve">IZAGUIRRE BOX 20L</t>
  </si>
  <si>
    <t xml:space="preserve">RED BULL</t>
  </si>
  <si>
    <t xml:space="preserve">SOLAN DE CABRAS CON GAS</t>
  </si>
  <si>
    <t xml:space="preserve">BARCELO AÑEJO</t>
  </si>
  <si>
    <t xml:space="preserve">RED BULL SIN AZUCAR</t>
  </si>
  <si>
    <t xml:space="preserve">MAHOU SIN GLUTEN</t>
  </si>
  <si>
    <t xml:space="preserve">TARTA CHOCOLATE</t>
  </si>
  <si>
    <t xml:space="preserve">TARTA QUESO</t>
  </si>
  <si>
    <t xml:space="preserve">LOMO BELLOTA 100%</t>
  </si>
  <si>
    <t xml:space="preserve">PAPADA IBERICA</t>
  </si>
  <si>
    <t xml:space="preserve">SALCHICHON IBERICO</t>
  </si>
  <si>
    <t xml:space="preserve">FLOR DE ALCACHOFA CONFITADA A. ORUJO (20 uds)</t>
  </si>
  <si>
    <t xml:space="preserve">LIMON</t>
  </si>
  <si>
    <t xml:space="preserve">PIMIENTO ROJO</t>
  </si>
  <si>
    <t xml:space="preserve">CEBOLLETA CHINA</t>
  </si>
  <si>
    <t xml:space="preserve">PEREJIL</t>
  </si>
  <si>
    <t xml:space="preserve">TOMATE IBERICO</t>
  </si>
  <si>
    <t xml:space="preserve">LECHUGA BATAVIA</t>
  </si>
  <si>
    <t xml:space="preserve">CEBOLLETAS</t>
  </si>
  <si>
    <t xml:space="preserve">PATATAS CREMA (saco 25 kg)</t>
  </si>
  <si>
    <t xml:space="preserve">VENTRESCA ATUN CLARO OLIVA RO1030 (latas)</t>
  </si>
  <si>
    <t xml:space="preserve">PARROCHAS</t>
  </si>
  <si>
    <t xml:space="preserve">BOQUERON GORDO (alb. 149 - ¿precio erróneo?)</t>
  </si>
  <si>
    <t xml:space="preserve">BID. PET CUAD. A.O. SUAVE GUADALIMAR 5L</t>
  </si>
  <si>
    <t xml:space="preserve">LATA A.O.V.E. AU LINGOTE TEMPRANO</t>
  </si>
  <si>
    <t xml:space="preserve">BID. PET A.GIRASOL ALTO OLEICO</t>
  </si>
  <si>
    <t xml:space="preserve">MANTEQUILLA PRESIDENT BQ 1KG</t>
  </si>
  <si>
    <t xml:space="preserve">LIMON 2A C-2/6 CJ 9KG</t>
  </si>
  <si>
    <t xml:space="preserve">NARANJA ZUMO MC C-6/7 SC 5KG</t>
  </si>
  <si>
    <t xml:space="preserve">ZANAHORIA MC C-35/45 MM 5KG</t>
  </si>
  <si>
    <t xml:space="preserve">CEBOLLINO MC MJ 125G</t>
  </si>
  <si>
    <t xml:space="preserve">CEBOLLA GUISOS MC C-60/80 SC 5KG</t>
  </si>
  <si>
    <t xml:space="preserve">PATATA LAV AGRIA MC C60/80 12KG</t>
  </si>
  <si>
    <t xml:space="preserve">CEBOLLETA CHINA MJ</t>
  </si>
  <si>
    <t xml:space="preserve">PIMIENTO LAMYO VDE ARO 2ACJ5 K</t>
  </si>
  <si>
    <t xml:space="preserve">CEBOLLETA BCA MJ</t>
  </si>
  <si>
    <t xml:space="preserve">SAL MALDON 1.4 KG</t>
  </si>
  <si>
    <t xml:space="preserve">SSA SOJA KIKKOMAN 1L</t>
  </si>
  <si>
    <t xml:space="preserve">RACION CECINA PREMIUM 100gr</t>
  </si>
  <si>
    <t xml:space="preserve">CECINA PREMIUM EMBUCHADA</t>
  </si>
  <si>
    <t xml:space="preserve">RACION J. BELLOTA 100% 100gr</t>
  </si>
  <si>
    <t xml:space="preserve">RACION CECINA BLACK ANGUS WAGYU 100gr</t>
  </si>
  <si>
    <t xml:space="preserve">BERBERECHO</t>
  </si>
  <si>
    <t xml:space="preserve">MEJILLONES</t>
  </si>
  <si>
    <t xml:space="preserve">CAMARON</t>
  </si>
  <si>
    <t xml:space="preserve">CHOCHAS GDA</t>
  </si>
  <si>
    <t xml:space="preserve">PERCEBES GDO</t>
  </si>
  <si>
    <t xml:space="preserve">CHOCHAS GDA (alb. 035186 sin precio)</t>
  </si>
  <si>
    <t xml:space="preserve">CHOCHAS TDA</t>
  </si>
  <si>
    <t xml:space="preserve">GARRAFA AOVE MONTABES 10 L</t>
  </si>
  <si>
    <t xml:space="preserve">BARBADILLO VI MOSCATO FRIZZANTE</t>
  </si>
  <si>
    <t xml:space="preserve">CEPAS VELLAS GODEVAL</t>
  </si>
  <si>
    <t xml:space="preserve">RAMON BILBAO BLANCO VERDEJO 3/4</t>
  </si>
  <si>
    <t xml:space="preserve">RAMON BILBAO VIÑEDOS DE ALTURA 3/4</t>
  </si>
  <si>
    <t xml:space="preserve">R.B. EDI.LIM. EARLY HARVEST ROSADO</t>
  </si>
  <si>
    <t xml:space="preserve">CORIMBO</t>
  </si>
  <si>
    <t xml:space="preserve">RODA RESERVA 3/4</t>
  </si>
  <si>
    <t xml:space="preserve">VINAGRE DE JEREZ RESERVA AL MOSCATEL</t>
  </si>
  <si>
    <t xml:space="preserve">SACO AGRIA NUEVA ALICANTE</t>
  </si>
  <si>
    <t xml:space="preserve">SACO MONALISA</t>
  </si>
  <si>
    <t xml:space="preserve">SACO MONALISA (alb. 499: 30 kg = 1,2 sacos)</t>
  </si>
  <si>
    <t xml:space="preserve">ALISTADO 15/20 PARAPENAEUS</t>
  </si>
  <si>
    <t xml:space="preserve">ALISTADOS</t>
  </si>
  <si>
    <t xml:space="preserve">CALAMARES</t>
  </si>
  <si>
    <t xml:space="preserve">CARABINEROS</t>
  </si>
  <si>
    <t xml:space="preserve">COQUINAS</t>
  </si>
  <si>
    <t xml:space="preserve">LANGOSTINO</t>
  </si>
  <si>
    <t xml:space="preserve">NAVAJA</t>
  </si>
  <si>
    <t xml:space="preserve">PULPO</t>
  </si>
  <si>
    <t xml:space="preserve">QUISQUILLA</t>
  </si>
  <si>
    <t xml:space="preserve">ZAMBURIÑAS</t>
  </si>
  <si>
    <t xml:space="preserve">CIGALA</t>
  </si>
  <si>
    <t xml:space="preserve">PRODUCTO ILEGIBLE (alb. 22/07)</t>
  </si>
  <si>
    <t xml:space="preserve">PINCHO MORUNO DE POLLO</t>
  </si>
  <si>
    <t xml:space="preserve">PINCHOS MORUNOS</t>
  </si>
  <si>
    <t xml:space="preserve">MOLLEJAS DE CORDERO</t>
  </si>
  <si>
    <t xml:space="preserve">POLLOS ENTEROS</t>
  </si>
  <si>
    <t xml:space="preserve">PRESA 100% IBERICA</t>
  </si>
  <si>
    <t xml:space="preserve">ABSOLUT 0,70L</t>
  </si>
  <si>
    <t xml:space="preserve">AGT 3L MOS DE PAS</t>
  </si>
  <si>
    <t xml:space="preserve">APEROL LITRO</t>
  </si>
  <si>
    <t xml:space="preserve">BALLANTINES 0,70L NR</t>
  </si>
  <si>
    <t xml:space="preserve">BEEFEATER 0,70L NR</t>
  </si>
  <si>
    <t xml:space="preserve">BOMBAY SAPHIRE 0,70</t>
  </si>
  <si>
    <t xml:space="preserve">BRUGAL 0,70L NR</t>
  </si>
  <si>
    <t xml:space="preserve">BULLEIT BOURBON 0,70</t>
  </si>
  <si>
    <t xml:space="preserve">CHIVAS 12 AÑOS 0,7L NR</t>
  </si>
  <si>
    <t xml:space="preserve">CINZANO PROSECCO SPRITZ</t>
  </si>
  <si>
    <t xml:space="preserve">CREMA ORUJO 3L MOS DE PAS</t>
  </si>
  <si>
    <t xml:space="preserve">DYC 1L</t>
  </si>
  <si>
    <t xml:space="preserve">GIN NORDÉS 0,70L</t>
  </si>
  <si>
    <t xml:space="preserve">GIN PUERTO INDIAS FRESA 0,70</t>
  </si>
  <si>
    <t xml:space="preserve">HAVANA 7 AÑOS NR</t>
  </si>
  <si>
    <t xml:space="preserve">HIERBAS 3 LITROS BEREMOT</t>
  </si>
  <si>
    <t xml:space="preserve">J. WALKER NEGRA 0,70L NR</t>
  </si>
  <si>
    <t xml:space="preserve">J. WALKER RED 0,70L NR</t>
  </si>
  <si>
    <t xml:space="preserve">JOSE CUERVO ESPECIAL 0,7L NR</t>
  </si>
  <si>
    <t xml:space="preserve">JOSE CUERVO SILVER 0.7</t>
  </si>
  <si>
    <t xml:space="preserve">LARIOS 1L NR</t>
  </si>
  <si>
    <t xml:space="preserve">LARIOS ESPECIAL 12 NR</t>
  </si>
  <si>
    <t xml:space="preserve">LICOR CAFÉ QUEMEIRAS 3L</t>
  </si>
  <si>
    <t xml:space="preserve">MACALLAN 12</t>
  </si>
  <si>
    <t xml:space="preserve">MAESTRO DOBEL DIAMANTE REPOSADO 0.70</t>
  </si>
  <si>
    <t xml:space="preserve">RON BARCELO 0,70L NR</t>
  </si>
  <si>
    <t xml:space="preserve">RUINART BLANC DE BLANC 0,75</t>
  </si>
  <si>
    <t xml:space="preserve">SANTA TERESA G.RVA 0,70L</t>
  </si>
  <si>
    <t xml:space="preserve">SEAGRAMS 0,70L NR</t>
  </si>
  <si>
    <t xml:space="preserve">SERVICIOS LOGISTICOS</t>
  </si>
  <si>
    <t xml:space="preserve">LIMONCELO DE 3L BEREMOT</t>
  </si>
  <si>
    <t xml:space="preserve">MARTINI ROJO 1L</t>
  </si>
  <si>
    <t xml:space="preserve">RON BARCELO IMPERIAL 0,70L</t>
  </si>
  <si>
    <t xml:space="preserve">RED BULL 24U</t>
  </si>
  <si>
    <t xml:space="preserve">RAF IBERICO</t>
  </si>
  <si>
    <t xml:space="preserve">19/07/1902</t>
  </si>
  <si>
    <t xml:space="preserve">LOMO VACA VENERO CLARO C/H</t>
  </si>
  <si>
    <t xml:space="preserve">CANTALAPIEDRA CHIVIRITERO 2024</t>
  </si>
  <si>
    <t xml:space="preserve">AGUA CON GAS SOLAN DE CABRAS VIDRIO RNR 33CL</t>
  </si>
  <si>
    <t xml:space="preserve">AGUA SOLAN DE CABRAS VIDRIO RET 50CL 20U</t>
  </si>
  <si>
    <t xml:space="preserve">ALHAMBRA RESERVA 1925 VIDRIO NR 33CL</t>
  </si>
  <si>
    <t xml:space="preserve">AQUARADE ZERO LIMON VIDRIO RET 35CL</t>
  </si>
  <si>
    <t xml:space="preserve">AQUARADE ZERO NARANJA VIDRIO RET 35CL</t>
  </si>
  <si>
    <t xml:space="preserve">ENVASES MAHOU CAJA RET 33CL 24U</t>
  </si>
  <si>
    <t xml:space="preserve">ENVASES MAHOU VIDRIO RET 33CL</t>
  </si>
  <si>
    <t xml:space="preserve">ENVASES MSM TANQUETA RET 10L</t>
  </si>
  <si>
    <t xml:space="preserve">ENVASES PEPSI KAS CAJA RET 35CL 24U</t>
  </si>
  <si>
    <t xml:space="preserve">ENVASES PEPSI KAS VIDRIO RET 35CL</t>
  </si>
  <si>
    <t xml:space="preserve">ENVASES SCH CAJA RET 20CL 28U</t>
  </si>
  <si>
    <t xml:space="preserve">ENVASES SCHWEPPES VIDRIO RET 20CL</t>
  </si>
  <si>
    <t xml:space="preserve">ENVASES SEVEN UP CAJA RET 20CL</t>
  </si>
  <si>
    <t xml:space="preserve">ENVASES SEVEN UP VIDRIO RET 30CL</t>
  </si>
  <si>
    <t xml:space="preserve">ENVASES SOLAN DE CABRAS CAJA RET 50CL</t>
  </si>
  <si>
    <t xml:space="preserve">ENVASES SOLAN DE CABRAS VIDRIO RET 50CL</t>
  </si>
  <si>
    <t xml:space="preserve">LA CASERA GASEOSA PET 1L CAJA 12U</t>
  </si>
  <si>
    <t xml:space="preserve">LA CASERA LIMON PET 1L CAJA 12U</t>
  </si>
  <si>
    <t xml:space="preserve">LIPTON ZERO LIMON VIDRIO RET 35CL CAJA 24U</t>
  </si>
  <si>
    <t xml:space="preserve">MAHOU 0,0 TOSTADA VIDRIO RET 33CL</t>
  </si>
  <si>
    <t xml:space="preserve">MAHOU 5 ESTRELLAS SIN GLUTEN VIDRIO NR 33CL</t>
  </si>
  <si>
    <t xml:space="preserve">MAHOU 5 ESTRELLAS VIDRIO RET 33CL CAJA 24U</t>
  </si>
  <si>
    <t xml:space="preserve">MAHOU SIN BARRIL RET 10L</t>
  </si>
  <si>
    <t xml:space="preserve">SCHWEPPES LIMON LOW CAL VIDRIO RET 20CL</t>
  </si>
  <si>
    <t xml:space="preserve">SCHWEPPES NARANJA LOW CAL VIDRIO RET 20CL</t>
  </si>
  <si>
    <t xml:space="preserve">SCHWEPPES TONICA VIDRIO RET 20CL CAJA 28U</t>
  </si>
  <si>
    <t xml:space="preserve">SEVEN UP ZERO AXL VIDRIO RET 20CL</t>
  </si>
  <si>
    <t xml:space="preserve">ZUMO VIDA PIÑA VIDRIO NR 20CL</t>
  </si>
  <si>
    <t xml:space="preserve">ZUMO VIDA RARANJA VIDRIO NR 20CL</t>
  </si>
  <si>
    <t xml:space="preserve">SCHWEPPES GINGER ALE LOW CAL VIDRIO RET 20CL CAJA 28 U</t>
  </si>
  <si>
    <t xml:space="preserve">IMPORTES SUELTOS SIN DESCRIPCIÓN (venían así en la hoja)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</si>
</sst>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&quot; €&quot;_-;[RED]\-* #,##0.00&quot; €&quot;_-;_-* \-??&quot; €&quot;_-;_-@_-"/>
    <numFmt numFmtId="166" formatCode="0"/>
    <numFmt numFmtId="167" formatCode="General"/>
    <numFmt numFmtId="168" formatCode="0.0%"/>
    <numFmt numFmtId="169" formatCode="@"/>
    <numFmt numFmtId="170" formatCode="0%"/>
    <numFmt numFmtId="171" formatCode="#,##0.00&quot; €&quot;;[RED]\-#,##0.00&quot; €&quot;;\-"/>
    <numFmt numFmtId="172" formatCode="[$-C0A]mmmm\ yyyy"/>
    <numFmt numFmtId="173" formatCode="#,##0.###;[RED]\-#,##0.###;\-"/>
    <numFmt numFmtId="174" formatCode="0%;\-0%;&quot;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b val="true"/>
      <sz val="12"/>
      <color rgb="FF1F7A6B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7A6B"/>
      <name val="Cambria"/>
      <family val="0"/>
      <charset val="1"/>
    </font>
    <font>
      <b val="true"/>
      <sz val="13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7A6B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D9F0EC"/>
        <bgColor rgb="FFEDEDED"/>
      </patternFill>
    </fill>
    <fill>
      <patternFill patternType="solid">
        <fgColor rgb="FFF5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00000"/>
        <sz val="14"/>
      </font>
    </dxf>
    <dxf>
      <font>
        <color rgb="FF808080"/>
      </font>
      <fill>
        <patternFill>
          <bgColor rgb="FFEDEDED"/>
        </patternFill>
      </fill>
    </dxf>
    <dxf>
      <font>
        <b val="1"/>
        <color rgb="FFC00000"/>
      </font>
    </dxf>
    <dxf>
      <font>
        <b val="1"/>
        <color rgb="FF00B050"/>
      </font>
    </dxf>
    <dxf>
      <border diagonalUp="false" diagonalDown="false">
        <left/>
        <right/>
        <top style="medium">
          <color rgb="FF1F3864"/>
        </top>
        <bottom/>
        <diagonal/>
      </border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F7A6B"/>
      <rgbColor rgb="FFBFBFBF"/>
      <rgbColor rgb="FF808080"/>
      <rgbColor rgb="FF9999FF"/>
      <rgbColor rgb="FF993366"/>
      <rgbColor rgb="FFF5F7FB"/>
      <rgbColor rgb="FFD9F0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1F3864"/>
      <rgbColor rgb="FF00B050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6B"/>
    <pageSetUpPr fitToPage="false"/>
  </sheetPr>
  <dimension ref="B2:H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true" outlineLevel="0" collapsed="false">
      <c r="B6" s="4" t="s">
        <v>3</v>
      </c>
      <c r="C6" s="4"/>
      <c r="D6" s="4" t="s">
        <v>4</v>
      </c>
      <c r="E6" s="4"/>
      <c r="F6" s="4" t="s">
        <v>5</v>
      </c>
      <c r="G6" s="4"/>
    </row>
    <row r="7" customFormat="false" ht="25.5" hidden="false" customHeight="true" outlineLevel="0" collapsed="false">
      <c r="B7" s="5" t="n">
        <f aca="false">SUM('TOTAL JULIO'!D4:D2000)</f>
        <v>63628.05</v>
      </c>
      <c r="C7" s="5"/>
      <c r="D7" s="5" t="n">
        <f aca="false">SUM('TOTAL JULIO'!F4:F2000)-SUM('TOTAL JULIO'!D4:D2000)</f>
        <v>8355.59699999999</v>
      </c>
      <c r="E7" s="5"/>
      <c r="F7" s="5" t="n">
        <f aca="false">SUM('TOTAL JULIO'!F4:F2000)</f>
        <v>71983.647</v>
      </c>
      <c r="G7" s="5"/>
    </row>
    <row r="9" customFormat="false" ht="15" hidden="false" customHeight="true" outlineLevel="0" collapsed="false">
      <c r="B9" s="6" t="s">
        <v>6</v>
      </c>
      <c r="C9" s="6"/>
      <c r="D9" s="6" t="s">
        <v>7</v>
      </c>
      <c r="E9" s="6"/>
      <c r="F9" s="6" t="s">
        <v>8</v>
      </c>
      <c r="G9" s="6"/>
    </row>
    <row r="10" customFormat="false" ht="25.5" hidden="false" customHeight="true" outlineLevel="0" collapsed="false">
      <c r="B10" s="7" t="n">
        <f aca="false">COUNTIF('TOTAL JULIO'!B4:B2000,"?*")</f>
        <v>271</v>
      </c>
      <c r="C10" s="7"/>
      <c r="D10" s="7" t="n">
        <f aca="false">SUMPRODUCT(('TOTAL JULIO'!B4:B2000&lt;&gt;"")/COUNTIF('TOTAL JULIO'!B4:B2000,'TOTAL JULIO'!B4:B2000&amp;""))</f>
        <v>37</v>
      </c>
      <c r="E10" s="7"/>
      <c r="F10" s="7" t="n">
        <f aca="false">COUNTIF('CUADRE ALBARANES'!H:H,"REVISAR")</f>
        <v>2</v>
      </c>
      <c r="G10" s="7"/>
    </row>
    <row r="12" customFormat="false" ht="15" hidden="false" customHeight="true" outlineLevel="0" collapsed="false">
      <c r="B12" s="8" t="s">
        <v>9</v>
      </c>
      <c r="C12" s="8"/>
      <c r="D12" s="8" t="s">
        <v>10</v>
      </c>
      <c r="E12" s="8"/>
      <c r="F12" s="8" t="s">
        <v>11</v>
      </c>
      <c r="G12" s="8"/>
    </row>
    <row r="13" customFormat="false" ht="25.5" hidden="false" customHeight="true" outlineLevel="0" collapsed="false">
      <c r="B13" s="5" t="n">
        <f aca="false">SUMIF('TOTAL JULIO'!$E$4:$E$2000,0.04,'TOTAL JULIO'!$D$4:$D$2000)</f>
        <v>3449.91</v>
      </c>
      <c r="C13" s="5"/>
      <c r="D13" s="5" t="n">
        <f aca="false">SUMIF('TOTAL JULIO'!$E$4:$E$2000,0.1,'TOTAL JULIO'!$D$4:$D$2000)</f>
        <v>40180.08</v>
      </c>
      <c r="E13" s="5"/>
      <c r="F13" s="5" t="n">
        <f aca="false">SUMIF('TOTAL JULIO'!$E$4:$E$2000,0.21,'TOTAL JULIO'!$D$4:$D$2000)</f>
        <v>19998.06</v>
      </c>
      <c r="G13" s="5"/>
    </row>
    <row r="16" customFormat="false" ht="15" hidden="false" customHeight="false" outlineLevel="0" collapsed="false">
      <c r="B16" s="9" t="s">
        <v>12</v>
      </c>
    </row>
    <row r="17" customFormat="false" ht="15" hidden="false" customHeight="false" outlineLevel="0" collapsed="false">
      <c r="B17" s="10" t="s">
        <v>13</v>
      </c>
      <c r="C17" s="10" t="s">
        <v>14</v>
      </c>
      <c r="D17" s="11" t="s">
        <v>15</v>
      </c>
      <c r="E17" s="11" t="s">
        <v>16</v>
      </c>
      <c r="F17" s="10" t="s">
        <v>17</v>
      </c>
      <c r="G17" s="10" t="s">
        <v>18</v>
      </c>
      <c r="H17" s="10" t="s">
        <v>19</v>
      </c>
    </row>
    <row r="18" customFormat="false" ht="15" hidden="false" customHeight="false" outlineLevel="0" collapsed="false">
      <c r="B18" s="12" t="s">
        <v>20</v>
      </c>
      <c r="C18" s="13" t="n">
        <f aca="false">COUNTIF('TOTAL JULIO'!$B$4:$B$2000,B18)</f>
        <v>22</v>
      </c>
      <c r="D18" s="14" t="n">
        <f aca="false">SUMIF('TOTAL JULIO'!$B$4:$B$2000,B18,'TOTAL JULIO'!$D$4:$D$2000)</f>
        <v>10740.83</v>
      </c>
      <c r="E18" s="15" t="n">
        <f aca="false">IF($D$57=0,0,D18/$D$57)</f>
        <v>0.168806524795275</v>
      </c>
      <c r="F18" s="16" t="n">
        <v>10858.44</v>
      </c>
      <c r="G18" s="16" t="n">
        <f aca="false">IF(F18="","",D18-F18)</f>
        <v>-117.610000000001</v>
      </c>
      <c r="H18" s="15" t="n">
        <f aca="false">IF(OR(F18="",N(F18)=0),"",D18/F18-1)</f>
        <v>-0.01083120595592</v>
      </c>
    </row>
    <row r="19" customFormat="false" ht="15" hidden="false" customHeight="false" outlineLevel="0" collapsed="false">
      <c r="B19" s="12" t="s">
        <v>21</v>
      </c>
      <c r="C19" s="13" t="n">
        <f aca="false">COUNTIF('TOTAL JULIO'!$B$4:$B$2000,B19)</f>
        <v>15</v>
      </c>
      <c r="D19" s="14" t="n">
        <f aca="false">SUMIF('TOTAL JULIO'!$B$4:$B$2000,B19,'TOTAL JULIO'!$D$4:$D$2000)</f>
        <v>6546.46</v>
      </c>
      <c r="E19" s="15" t="n">
        <f aca="false">IF($D$57=0,0,D19/$D$57)</f>
        <v>0.10288638422834</v>
      </c>
      <c r="F19" s="16" t="n">
        <v>7460.83</v>
      </c>
      <c r="G19" s="16" t="n">
        <f aca="false">IF(F19="","",D19-F19)</f>
        <v>-914.37</v>
      </c>
      <c r="H19" s="15" t="n">
        <f aca="false">IF(OR(F19="",N(F19)=0),"",D19/F19-1)</f>
        <v>-0.12255606949897</v>
      </c>
    </row>
    <row r="20" customFormat="false" ht="15" hidden="false" customHeight="false" outlineLevel="0" collapsed="false">
      <c r="B20" s="12" t="s">
        <v>22</v>
      </c>
      <c r="C20" s="13" t="n">
        <f aca="false">COUNTIF('TOTAL JULIO'!$B$4:$B$2000,B20)</f>
        <v>6</v>
      </c>
      <c r="D20" s="14" t="n">
        <f aca="false">SUMIF('TOTAL JULIO'!$B$4:$B$2000,B20,'TOTAL JULIO'!$D$4:$D$2000)</f>
        <v>5092.38</v>
      </c>
      <c r="E20" s="15" t="n">
        <f aca="false">IF($D$57=0,0,D20/$D$57)</f>
        <v>0.0800335700999795</v>
      </c>
      <c r="F20" s="16" t="n">
        <v>5751.42</v>
      </c>
      <c r="G20" s="16" t="n">
        <f aca="false">IF(F20="","",D20-F20)</f>
        <v>-659.04</v>
      </c>
      <c r="H20" s="15" t="n">
        <f aca="false">IF(OR(F20="",N(F20)=0),"",D20/F20-1)</f>
        <v>-0.114587354079514</v>
      </c>
    </row>
    <row r="21" customFormat="false" ht="15" hidden="false" customHeight="false" outlineLevel="0" collapsed="false">
      <c r="B21" s="12" t="s">
        <v>23</v>
      </c>
      <c r="C21" s="13" t="n">
        <f aca="false">COUNTIF('TOTAL JULIO'!$B$4:$B$2000,B21)</f>
        <v>10</v>
      </c>
      <c r="D21" s="14" t="n">
        <f aca="false">SUMIF('TOTAL JULIO'!$B$4:$B$2000,B21,'TOTAL JULIO'!$D$4:$D$2000)</f>
        <v>4059.72</v>
      </c>
      <c r="E21" s="15" t="n">
        <f aca="false">IF($D$57=0,0,D21/$D$57)</f>
        <v>0.0638039355284344</v>
      </c>
      <c r="F21" s="16" t="n">
        <v>3732.35</v>
      </c>
      <c r="G21" s="16" t="n">
        <f aca="false">IF(F21="","",D21-F21)</f>
        <v>327.37</v>
      </c>
      <c r="H21" s="15" t="n">
        <f aca="false">IF(OR(F21="",N(F21)=0),"",D21/F21-1)</f>
        <v>0.0877114954385307</v>
      </c>
    </row>
    <row r="22" customFormat="false" ht="15" hidden="false" customHeight="false" outlineLevel="0" collapsed="false">
      <c r="B22" s="12" t="s">
        <v>24</v>
      </c>
      <c r="C22" s="13" t="n">
        <f aca="false">COUNTIF('TOTAL JULIO'!$B$4:$B$2000,B22)</f>
        <v>7</v>
      </c>
      <c r="D22" s="14" t="n">
        <f aca="false">SUMIF('TOTAL JULIO'!$B$4:$B$2000,B22,'TOTAL JULIO'!$D$4:$D$2000)</f>
        <v>3739.92</v>
      </c>
      <c r="E22" s="15" t="n">
        <f aca="false">IF($D$57=0,0,D22/$D$57)</f>
        <v>0.0587778503348759</v>
      </c>
      <c r="F22" s="16" t="n">
        <v>3037.64</v>
      </c>
      <c r="G22" s="16" t="n">
        <f aca="false">IF(F22="","",D22-F22)</f>
        <v>702.28</v>
      </c>
      <c r="H22" s="15" t="n">
        <f aca="false">IF(OR(F22="",N(F22)=0),"",D22/F22-1)</f>
        <v>0.231192636388776</v>
      </c>
    </row>
    <row r="23" customFormat="false" ht="15" hidden="false" customHeight="false" outlineLevel="0" collapsed="false">
      <c r="B23" s="12" t="s">
        <v>25</v>
      </c>
      <c r="C23" s="13" t="n">
        <f aca="false">COUNTIF('TOTAL JULIO'!$B$4:$B$2000,B23)</f>
        <v>21</v>
      </c>
      <c r="D23" s="14" t="n">
        <f aca="false">SUMIF('TOTAL JULIO'!$B$4:$B$2000,B23,'TOTAL JULIO'!$D$4:$D$2000)</f>
        <v>3561.4</v>
      </c>
      <c r="E23" s="15" t="n">
        <f aca="false">IF($D$57=0,0,D23/$D$57)</f>
        <v>0.055972169507002</v>
      </c>
      <c r="F23" s="16" t="n">
        <v>3701.1</v>
      </c>
      <c r="G23" s="16" t="n">
        <f aca="false">IF(F23="","",D23-F23)</f>
        <v>-139.7</v>
      </c>
      <c r="H23" s="15" t="n">
        <f aca="false">IF(OR(F23="",N(F23)=0),"",D23/F23-1)</f>
        <v>-0.0377455351111831</v>
      </c>
    </row>
    <row r="24" customFormat="false" ht="15" hidden="false" customHeight="false" outlineLevel="0" collapsed="false">
      <c r="B24" s="12" t="s">
        <v>26</v>
      </c>
      <c r="C24" s="13" t="n">
        <f aca="false">COUNTIF('TOTAL JULIO'!$B$4:$B$2000,B24)</f>
        <v>5</v>
      </c>
      <c r="D24" s="14" t="n">
        <f aca="false">SUMIF('TOTAL JULIO'!$B$4:$B$2000,B24,'TOTAL JULIO'!$D$4:$D$2000)</f>
        <v>3291.32</v>
      </c>
      <c r="E24" s="15" t="n">
        <f aca="false">IF($D$57=0,0,D24/$D$57)</f>
        <v>0.0517275006856253</v>
      </c>
      <c r="F24" s="16" t="n">
        <v>6879.55</v>
      </c>
      <c r="G24" s="16" t="n">
        <f aca="false">IF(F24="","",D24-F24)</f>
        <v>-3588.23</v>
      </c>
      <c r="H24" s="15" t="n">
        <f aca="false">IF(OR(F24="",N(F24)=0),"",D24/F24-1)</f>
        <v>-0.521579173056377</v>
      </c>
    </row>
    <row r="25" customFormat="false" ht="15" hidden="false" customHeight="false" outlineLevel="0" collapsed="false">
      <c r="B25" s="12" t="s">
        <v>27</v>
      </c>
      <c r="C25" s="13" t="n">
        <f aca="false">COUNTIF('TOTAL JULIO'!$B$4:$B$2000,B25)</f>
        <v>6</v>
      </c>
      <c r="D25" s="14" t="n">
        <f aca="false">SUMIF('TOTAL JULIO'!$B$4:$B$2000,B25,'TOTAL JULIO'!$D$4:$D$2000)</f>
        <v>3131.64</v>
      </c>
      <c r="E25" s="15" t="n">
        <f aca="false">IF($D$57=0,0,D25/$D$57)</f>
        <v>0.0492179156834132</v>
      </c>
      <c r="F25" s="16" t="n">
        <v>6168.3</v>
      </c>
      <c r="G25" s="16" t="n">
        <f aca="false">IF(F25="","",D25-F25)</f>
        <v>-3036.66</v>
      </c>
      <c r="H25" s="15" t="n">
        <f aca="false">IF(OR(F25="",N(F25)=0),"",D25/F25-1)</f>
        <v>-0.492300958124605</v>
      </c>
    </row>
    <row r="26" customFormat="false" ht="15" hidden="false" customHeight="false" outlineLevel="0" collapsed="false">
      <c r="B26" s="12" t="s">
        <v>28</v>
      </c>
      <c r="C26" s="13" t="n">
        <f aca="false">COUNTIF('TOTAL JULIO'!$B$4:$B$2000,B26)</f>
        <v>11</v>
      </c>
      <c r="D26" s="14" t="n">
        <f aca="false">SUMIF('TOTAL JULIO'!$B$4:$B$2000,B26,'TOTAL JULIO'!$D$4:$D$2000)</f>
        <v>2124.02</v>
      </c>
      <c r="E26" s="15" t="n">
        <f aca="false">IF($D$57=0,0,D26/$D$57)</f>
        <v>0.0333818182389685</v>
      </c>
      <c r="F26" s="16"/>
      <c r="G26" s="16" t="str">
        <f aca="false">IF(F26="","",D26-F26)</f>
        <v/>
      </c>
      <c r="H26" s="15" t="str">
        <f aca="false">IF(OR(F26="",N(F26)=0),"",D26/F26-1)</f>
        <v/>
      </c>
    </row>
    <row r="27" customFormat="false" ht="15" hidden="false" customHeight="false" outlineLevel="0" collapsed="false">
      <c r="B27" s="12" t="s">
        <v>29</v>
      </c>
      <c r="C27" s="13" t="n">
        <f aca="false">COUNTIF('TOTAL JULIO'!$B$4:$B$2000,B27)</f>
        <v>16</v>
      </c>
      <c r="D27" s="14" t="n">
        <f aca="false">SUMIF('TOTAL JULIO'!$B$4:$B$2000,B27,'TOTAL JULIO'!$D$4:$D$2000)</f>
        <v>1970.46</v>
      </c>
      <c r="E27" s="15" t="n">
        <f aca="false">IF($D$57=0,0,D27/$D$57)</f>
        <v>0.0309684172310797</v>
      </c>
      <c r="F27" s="16" t="n">
        <v>1909.06</v>
      </c>
      <c r="G27" s="16" t="n">
        <f aca="false">IF(F27="","",D27-F27)</f>
        <v>61.4000000000001</v>
      </c>
      <c r="H27" s="15" t="n">
        <f aca="false">IF(OR(F27="",N(F27)=0),"",D27/F27-1)</f>
        <v>0.0321624254868889</v>
      </c>
    </row>
    <row r="28" customFormat="false" ht="15" hidden="false" customHeight="false" outlineLevel="0" collapsed="false">
      <c r="B28" s="12" t="s">
        <v>30</v>
      </c>
      <c r="C28" s="13" t="n">
        <f aca="false">COUNTIF('TOTAL JULIO'!$B$4:$B$2000,B28)</f>
        <v>13</v>
      </c>
      <c r="D28" s="14" t="n">
        <f aca="false">SUMIF('TOTAL JULIO'!$B$4:$B$2000,B28,'TOTAL JULIO'!$D$4:$D$2000)</f>
        <v>1815.6</v>
      </c>
      <c r="E28" s="15" t="n">
        <f aca="false">IF($D$57=0,0,D28/$D$57)</f>
        <v>0.0285345849825667</v>
      </c>
      <c r="F28" s="16" t="n">
        <v>3162</v>
      </c>
      <c r="G28" s="16" t="n">
        <f aca="false">IF(F28="","",D28-F28)</f>
        <v>-1346.4</v>
      </c>
      <c r="H28" s="15" t="n">
        <f aca="false">IF(OR(F28="",N(F28)=0),"",D28/F28-1)</f>
        <v>-0.425806451612903</v>
      </c>
    </row>
    <row r="29" customFormat="false" ht="15" hidden="false" customHeight="false" outlineLevel="0" collapsed="false">
      <c r="B29" s="12" t="s">
        <v>31</v>
      </c>
      <c r="C29" s="13" t="n">
        <f aca="false">COUNTIF('TOTAL JULIO'!$B$4:$B$2000,B29)</f>
        <v>7</v>
      </c>
      <c r="D29" s="14" t="n">
        <f aca="false">SUMIF('TOTAL JULIO'!$B$4:$B$2000,B29,'TOTAL JULIO'!$D$4:$D$2000)</f>
        <v>1568.32</v>
      </c>
      <c r="E29" s="15" t="n">
        <f aca="false">IF($D$57=0,0,D29/$D$57)</f>
        <v>0.0246482486890609</v>
      </c>
      <c r="F29" s="16" t="n">
        <v>1521.34</v>
      </c>
      <c r="G29" s="16" t="n">
        <f aca="false">IF(F29="","",D29-F29)</f>
        <v>46.98</v>
      </c>
      <c r="H29" s="15" t="n">
        <f aca="false">IF(OR(F29="",N(F29)=0),"",D29/F29-1)</f>
        <v>0.030880670987419</v>
      </c>
    </row>
    <row r="30" customFormat="false" ht="15" hidden="false" customHeight="false" outlineLevel="0" collapsed="false">
      <c r="B30" s="12" t="s">
        <v>32</v>
      </c>
      <c r="C30" s="13" t="n">
        <f aca="false">COUNTIF('TOTAL JULIO'!$B$4:$B$2000,B30)</f>
        <v>5</v>
      </c>
      <c r="D30" s="14" t="n">
        <f aca="false">SUMIF('TOTAL JULIO'!$B$4:$B$2000,B30,'TOTAL JULIO'!$D$4:$D$2000)</f>
        <v>1412.35</v>
      </c>
      <c r="E30" s="15" t="n">
        <f aca="false">IF($D$57=0,0,D30/$D$57)</f>
        <v>0.0221969713043225</v>
      </c>
      <c r="F30" s="16" t="n">
        <v>1525.66</v>
      </c>
      <c r="G30" s="16" t="n">
        <f aca="false">IF(F30="","",D30-F30)</f>
        <v>-113.31</v>
      </c>
      <c r="H30" s="15" t="n">
        <f aca="false">IF(OR(F30="",N(F30)=0),"",D30/F30-1)</f>
        <v>-0.074269496480212</v>
      </c>
    </row>
    <row r="31" customFormat="false" ht="15" hidden="false" customHeight="false" outlineLevel="0" collapsed="false">
      <c r="B31" s="12" t="s">
        <v>33</v>
      </c>
      <c r="C31" s="13" t="n">
        <f aca="false">COUNTIF('TOTAL JULIO'!$B$4:$B$2000,B31)</f>
        <v>6</v>
      </c>
      <c r="D31" s="14" t="n">
        <f aca="false">SUMIF('TOTAL JULIO'!$B$4:$B$2000,B31,'TOTAL JULIO'!$D$4:$D$2000)</f>
        <v>1400.16</v>
      </c>
      <c r="E31" s="15" t="n">
        <f aca="false">IF($D$57=0,0,D31/$D$57)</f>
        <v>0.0220053891326231</v>
      </c>
      <c r="F31" s="16" t="n">
        <v>1512</v>
      </c>
      <c r="G31" s="16" t="n">
        <f aca="false">IF(F31="","",D31-F31)</f>
        <v>-111.84</v>
      </c>
      <c r="H31" s="15" t="n">
        <f aca="false">IF(OR(F31="",N(F31)=0),"",D31/F31-1)</f>
        <v>-0.0739682539682539</v>
      </c>
    </row>
    <row r="32" customFormat="false" ht="15" hidden="false" customHeight="false" outlineLevel="0" collapsed="false">
      <c r="B32" s="12" t="s">
        <v>34</v>
      </c>
      <c r="C32" s="13" t="n">
        <f aca="false">COUNTIF('TOTAL JULIO'!$B$4:$B$2000,B32)</f>
        <v>6</v>
      </c>
      <c r="D32" s="14" t="n">
        <f aca="false">SUMIF('TOTAL JULIO'!$B$4:$B$2000,B32,'TOTAL JULIO'!$D$4:$D$2000)</f>
        <v>1295.5</v>
      </c>
      <c r="E32" s="15" t="n">
        <f aca="false">IF($D$57=0,0,D32/$D$57)</f>
        <v>0.0203605170989839</v>
      </c>
      <c r="F32" s="16" t="n">
        <v>1516</v>
      </c>
      <c r="G32" s="16" t="n">
        <f aca="false">IF(F32="","",D32-F32)</f>
        <v>-220.5</v>
      </c>
      <c r="H32" s="15" t="n">
        <f aca="false">IF(OR(F32="",N(F32)=0),"",D32/F32-1)</f>
        <v>-0.145448548812665</v>
      </c>
    </row>
    <row r="33" customFormat="false" ht="15" hidden="false" customHeight="false" outlineLevel="0" collapsed="false">
      <c r="B33" s="12" t="s">
        <v>35</v>
      </c>
      <c r="C33" s="13" t="n">
        <f aca="false">COUNTIF('TOTAL JULIO'!$B$4:$B$2000,B33)</f>
        <v>7</v>
      </c>
      <c r="D33" s="14" t="n">
        <f aca="false">SUMIF('TOTAL JULIO'!$B$4:$B$2000,B33,'TOTAL JULIO'!$D$4:$D$2000)</f>
        <v>1189</v>
      </c>
      <c r="E33" s="15" t="n">
        <f aca="false">IF($D$57=0,0,D33/$D$57)</f>
        <v>0.0186867270016919</v>
      </c>
      <c r="F33" s="16" t="n">
        <v>1403</v>
      </c>
      <c r="G33" s="16" t="n">
        <f aca="false">IF(F33="","",D33-F33)</f>
        <v>-214</v>
      </c>
      <c r="H33" s="15" t="n">
        <f aca="false">IF(OR(F33="",N(F33)=0),"",D33/F33-1)</f>
        <v>-0.152530292230934</v>
      </c>
    </row>
    <row r="34" customFormat="false" ht="15" hidden="false" customHeight="false" outlineLevel="0" collapsed="false">
      <c r="B34" s="12" t="s">
        <v>36</v>
      </c>
      <c r="C34" s="13" t="n">
        <f aca="false">COUNTIF('TOTAL JULIO'!$B$4:$B$2000,B34)</f>
        <v>9</v>
      </c>
      <c r="D34" s="14" t="n">
        <f aca="false">SUMIF('TOTAL JULIO'!$B$4:$B$2000,B34,'TOTAL JULIO'!$D$4:$D$2000)</f>
        <v>1122.99</v>
      </c>
      <c r="E34" s="15" t="n">
        <f aca="false">IF($D$57=0,0,D34/$D$57)</f>
        <v>0.0176492914681497</v>
      </c>
      <c r="F34" s="16" t="n">
        <v>2777.24</v>
      </c>
      <c r="G34" s="16" t="n">
        <f aca="false">IF(F34="","",D34-F34)</f>
        <v>-1654.25</v>
      </c>
      <c r="H34" s="15" t="n">
        <f aca="false">IF(OR(F34="",N(F34)=0),"",D34/F34-1)</f>
        <v>-0.595645316933358</v>
      </c>
    </row>
    <row r="35" customFormat="false" ht="15" hidden="false" customHeight="false" outlineLevel="0" collapsed="false">
      <c r="B35" s="12" t="s">
        <v>37</v>
      </c>
      <c r="C35" s="13" t="n">
        <f aca="false">COUNTIF('TOTAL JULIO'!$B$4:$B$2000,B35)</f>
        <v>9</v>
      </c>
      <c r="D35" s="14" t="n">
        <f aca="false">SUMIF('TOTAL JULIO'!$B$4:$B$2000,B35,'TOTAL JULIO'!$D$4:$D$2000)</f>
        <v>1086.03</v>
      </c>
      <c r="E35" s="15" t="n">
        <f aca="false">IF($D$57=0,0,D35/$D$57)</f>
        <v>0.0170684155808641</v>
      </c>
      <c r="F35" s="16"/>
      <c r="G35" s="16" t="str">
        <f aca="false">IF(F35="","",D35-F35)</f>
        <v/>
      </c>
      <c r="H35" s="15" t="str">
        <f aca="false">IF(OR(F35="",N(F35)=0),"",D35/F35-1)</f>
        <v/>
      </c>
    </row>
    <row r="36" customFormat="false" ht="15" hidden="false" customHeight="false" outlineLevel="0" collapsed="false">
      <c r="B36" s="12" t="s">
        <v>38</v>
      </c>
      <c r="C36" s="13" t="n">
        <f aca="false">COUNTIF('TOTAL JULIO'!$B$4:$B$2000,B36)</f>
        <v>12</v>
      </c>
      <c r="D36" s="14" t="n">
        <f aca="false">SUMIF('TOTAL JULIO'!$B$4:$B$2000,B36,'TOTAL JULIO'!$D$4:$D$2000)</f>
        <v>1032.66</v>
      </c>
      <c r="E36" s="15" t="n">
        <f aca="false">IF($D$57=0,0,D36/$D$57)</f>
        <v>0.0162296345715451</v>
      </c>
      <c r="F36" s="16" t="n">
        <v>1179.17</v>
      </c>
      <c r="G36" s="16" t="n">
        <f aca="false">IF(F36="","",D36-F36)</f>
        <v>-146.51</v>
      </c>
      <c r="H36" s="15" t="n">
        <f aca="false">IF(OR(F36="",N(F36)=0),"",D36/F36-1)</f>
        <v>-0.124248412018623</v>
      </c>
    </row>
    <row r="37" customFormat="false" ht="15" hidden="false" customHeight="false" outlineLevel="0" collapsed="false">
      <c r="B37" s="12" t="s">
        <v>39</v>
      </c>
      <c r="C37" s="13" t="n">
        <f aca="false">COUNTIF('TOTAL JULIO'!$B$4:$B$2000,B37)</f>
        <v>3</v>
      </c>
      <c r="D37" s="14" t="n">
        <f aca="false">SUMIF('TOTAL JULIO'!$B$4:$B$2000,B37,'TOTAL JULIO'!$D$4:$D$2000)</f>
        <v>904.82</v>
      </c>
      <c r="E37" s="15" t="n">
        <f aca="false">IF($D$57=0,0,D37/$D$57)</f>
        <v>0.014220457801237</v>
      </c>
      <c r="F37" s="16" t="n">
        <v>1726</v>
      </c>
      <c r="G37" s="16" t="n">
        <f aca="false">IF(F37="","",D37-F37)</f>
        <v>-821.18</v>
      </c>
      <c r="H37" s="15" t="n">
        <f aca="false">IF(OR(F37="",N(F37)=0),"",D37/F37-1)</f>
        <v>-0.47577056778679</v>
      </c>
    </row>
    <row r="38" customFormat="false" ht="15" hidden="false" customHeight="false" outlineLevel="0" collapsed="false">
      <c r="B38" s="12" t="s">
        <v>40</v>
      </c>
      <c r="C38" s="13" t="n">
        <f aca="false">COUNTIF('TOTAL JULIO'!$B$4:$B$2000,B38)</f>
        <v>1</v>
      </c>
      <c r="D38" s="14" t="n">
        <f aca="false">SUMIF('TOTAL JULIO'!$B$4:$B$2000,B38,'TOTAL JULIO'!$D$4:$D$2000)</f>
        <v>748.5</v>
      </c>
      <c r="E38" s="15" t="n">
        <f aca="false">IF($D$57=0,0,D38/$D$57)</f>
        <v>0.0117636796978691</v>
      </c>
      <c r="F38" s="16"/>
      <c r="G38" s="16" t="str">
        <f aca="false">IF(F38="","",D38-F38)</f>
        <v/>
      </c>
      <c r="H38" s="15" t="str">
        <f aca="false">IF(OR(F38="",N(F38)=0),"",D38/F38-1)</f>
        <v/>
      </c>
    </row>
    <row r="39" customFormat="false" ht="15" hidden="false" customHeight="false" outlineLevel="0" collapsed="false">
      <c r="B39" s="12" t="s">
        <v>41</v>
      </c>
      <c r="C39" s="13" t="n">
        <f aca="false">COUNTIF('TOTAL JULIO'!$B$4:$B$2000,B39)</f>
        <v>2</v>
      </c>
      <c r="D39" s="14" t="n">
        <f aca="false">SUMIF('TOTAL JULIO'!$B$4:$B$2000,B39,'TOTAL JULIO'!$D$4:$D$2000)</f>
        <v>705.24</v>
      </c>
      <c r="E39" s="15" t="n">
        <f aca="false">IF($D$57=0,0,D39/$D$57)</f>
        <v>0.0110837908752508</v>
      </c>
      <c r="F39" s="16" t="n">
        <v>1155.06</v>
      </c>
      <c r="G39" s="16" t="n">
        <f aca="false">IF(F39="","",D39-F39)</f>
        <v>-449.82</v>
      </c>
      <c r="H39" s="15" t="n">
        <f aca="false">IF(OR(F39="",N(F39)=0),"",D39/F39-1)</f>
        <v>-0.389434315100514</v>
      </c>
    </row>
    <row r="40" customFormat="false" ht="15" hidden="false" customHeight="false" outlineLevel="0" collapsed="false">
      <c r="B40" s="12" t="s">
        <v>42</v>
      </c>
      <c r="C40" s="13" t="n">
        <f aca="false">COUNTIF('TOTAL JULIO'!$B$4:$B$2000,B40)</f>
        <v>5</v>
      </c>
      <c r="D40" s="14" t="n">
        <f aca="false">SUMIF('TOTAL JULIO'!$B$4:$B$2000,B40,'TOTAL JULIO'!$D$4:$D$2000)</f>
        <v>646.58</v>
      </c>
      <c r="E40" s="15" t="n">
        <f aca="false">IF($D$57=0,0,D40/$D$57)</f>
        <v>0.0101618704329301</v>
      </c>
      <c r="F40" s="16" t="n">
        <v>691.28</v>
      </c>
      <c r="G40" s="16" t="n">
        <f aca="false">IF(F40="","",D40-F40)</f>
        <v>-44.6999999999999</v>
      </c>
      <c r="H40" s="15" t="n">
        <f aca="false">IF(OR(F40="",N(F40)=0),"",D40/F40-1)</f>
        <v>-0.0646626547853256</v>
      </c>
    </row>
    <row r="41" customFormat="false" ht="15" hidden="false" customHeight="false" outlineLevel="0" collapsed="false">
      <c r="B41" s="12" t="s">
        <v>43</v>
      </c>
      <c r="C41" s="13" t="n">
        <f aca="false">COUNTIF('TOTAL JULIO'!$B$4:$B$2000,B41)</f>
        <v>18</v>
      </c>
      <c r="D41" s="14" t="n">
        <f aca="false">SUMIF('TOTAL JULIO'!$B$4:$B$2000,B41,'TOTAL JULIO'!$D$4:$D$2000)</f>
        <v>611.4</v>
      </c>
      <c r="E41" s="15" t="n">
        <f aca="false">IF($D$57=0,0,D41/$D$57)</f>
        <v>0.00960896962896081</v>
      </c>
      <c r="F41" s="16"/>
      <c r="G41" s="16" t="str">
        <f aca="false">IF(F41="","",D41-F41)</f>
        <v/>
      </c>
      <c r="H41" s="15" t="str">
        <f aca="false">IF(OR(F41="",N(F41)=0),"",D41/F41-1)</f>
        <v/>
      </c>
    </row>
    <row r="42" customFormat="false" ht="15" hidden="false" customHeight="false" outlineLevel="0" collapsed="false">
      <c r="B42" s="12" t="s">
        <v>44</v>
      </c>
      <c r="C42" s="13" t="n">
        <f aca="false">COUNTIF('TOTAL JULIO'!$B$4:$B$2000,B42)</f>
        <v>14</v>
      </c>
      <c r="D42" s="14" t="n">
        <f aca="false">SUMIF('TOTAL JULIO'!$B$4:$B$2000,B42,'TOTAL JULIO'!$D$4:$D$2000)</f>
        <v>584.97</v>
      </c>
      <c r="E42" s="15" t="n">
        <f aca="false">IF($D$57=0,0,D42/$D$57)</f>
        <v>0.00919358679073145</v>
      </c>
      <c r="F42" s="16" t="n">
        <v>520.94</v>
      </c>
      <c r="G42" s="16" t="n">
        <f aca="false">IF(F42="","",D42-F42)</f>
        <v>64.03</v>
      </c>
      <c r="H42" s="15" t="n">
        <f aca="false">IF(OR(F42="",N(F42)=0),"",D42/F42-1)</f>
        <v>0.122912427534841</v>
      </c>
    </row>
    <row r="43" customFormat="false" ht="15" hidden="false" customHeight="false" outlineLevel="0" collapsed="false">
      <c r="B43" s="12" t="s">
        <v>45</v>
      </c>
      <c r="C43" s="13" t="n">
        <f aca="false">COUNTIF('TOTAL JULIO'!$B$4:$B$2000,B43)</f>
        <v>2</v>
      </c>
      <c r="D43" s="14" t="n">
        <f aca="false">SUMIF('TOTAL JULIO'!$B$4:$B$2000,B43,'TOTAL JULIO'!$D$4:$D$2000)</f>
        <v>533.74</v>
      </c>
      <c r="E43" s="15" t="n">
        <f aca="false">IF($D$57=0,0,D43/$D$57)</f>
        <v>0.0083884387467477</v>
      </c>
      <c r="F43" s="16"/>
      <c r="G43" s="16" t="str">
        <f aca="false">IF(F43="","",D43-F43)</f>
        <v/>
      </c>
      <c r="H43" s="15" t="str">
        <f aca="false">IF(OR(F43="",N(F43)=0),"",D43/F43-1)</f>
        <v/>
      </c>
    </row>
    <row r="44" customFormat="false" ht="15" hidden="false" customHeight="false" outlineLevel="0" collapsed="false">
      <c r="B44" s="12" t="s">
        <v>46</v>
      </c>
      <c r="C44" s="13" t="n">
        <f aca="false">COUNTIF('TOTAL JULIO'!$B$4:$B$2000,B44)</f>
        <v>14</v>
      </c>
      <c r="D44" s="14" t="n">
        <f aca="false">SUMIF('TOTAL JULIO'!$B$4:$B$2000,B44,'TOTAL JULIO'!$D$4:$D$2000)</f>
        <v>444.1</v>
      </c>
      <c r="E44" s="15" t="n">
        <f aca="false">IF($D$57=0,0,D44/$D$57)</f>
        <v>0.00697962612401292</v>
      </c>
      <c r="F44" s="16" t="n">
        <v>304.9</v>
      </c>
      <c r="G44" s="16" t="n">
        <f aca="false">IF(F44="","",D44-F44)</f>
        <v>139.2</v>
      </c>
      <c r="H44" s="15" t="n">
        <f aca="false">IF(OR(F44="",N(F44)=0),"",D44/F44-1)</f>
        <v>0.45654312889472</v>
      </c>
    </row>
    <row r="45" customFormat="false" ht="15" hidden="false" customHeight="false" outlineLevel="0" collapsed="false">
      <c r="B45" s="12" t="s">
        <v>47</v>
      </c>
      <c r="C45" s="13" t="n">
        <f aca="false">COUNTIF('TOTAL JULIO'!$B$4:$B$2000,B45)</f>
        <v>1</v>
      </c>
      <c r="D45" s="14" t="n">
        <f aca="false">SUMIF('TOTAL JULIO'!$B$4:$B$2000,B45,'TOTAL JULIO'!$D$4:$D$2000)</f>
        <v>339</v>
      </c>
      <c r="E45" s="15" t="n">
        <f aca="false">IF($D$57=0,0,D45/$D$57)</f>
        <v>0.00532783890123931</v>
      </c>
      <c r="F45" s="16" t="n">
        <v>608.7</v>
      </c>
      <c r="G45" s="16" t="n">
        <f aca="false">IF(F45="","",D45-F45)</f>
        <v>-269.7</v>
      </c>
      <c r="H45" s="15" t="n">
        <f aca="false">IF(OR(F45="",N(F45)=0),"",D45/F45-1)</f>
        <v>-0.443075406604239</v>
      </c>
    </row>
    <row r="46" customFormat="false" ht="15" hidden="false" customHeight="false" outlineLevel="0" collapsed="false">
      <c r="B46" s="12" t="s">
        <v>48</v>
      </c>
      <c r="C46" s="13" t="n">
        <f aca="false">COUNTIF('TOTAL JULIO'!$B$4:$B$2000,B46)</f>
        <v>1</v>
      </c>
      <c r="D46" s="14" t="n">
        <f aca="false">SUMIF('TOTAL JULIO'!$B$4:$B$2000,B46,'TOTAL JULIO'!$D$4:$D$2000)</f>
        <v>280.3</v>
      </c>
      <c r="E46" s="15" t="n">
        <f aca="false">IF($D$57=0,0,D46/$D$57)</f>
        <v>0.004405289805361</v>
      </c>
      <c r="F46" s="16" t="n">
        <v>585.47</v>
      </c>
      <c r="G46" s="16" t="n">
        <f aca="false">IF(F46="","",D46-F46)</f>
        <v>-305.17</v>
      </c>
      <c r="H46" s="15" t="n">
        <f aca="false">IF(OR(F46="",N(F46)=0),"",D46/F46-1)</f>
        <v>-0.521239346166328</v>
      </c>
    </row>
    <row r="47" customFormat="false" ht="15" hidden="false" customHeight="false" outlineLevel="0" collapsed="false">
      <c r="B47" s="12" t="s">
        <v>49</v>
      </c>
      <c r="C47" s="13" t="n">
        <f aca="false">COUNTIF('TOTAL JULIO'!$B$4:$B$2000,B47)</f>
        <v>1</v>
      </c>
      <c r="D47" s="14" t="n">
        <f aca="false">SUMIF('TOTAL JULIO'!$B$4:$B$2000,B47,'TOTAL JULIO'!$D$4:$D$2000)</f>
        <v>270.4</v>
      </c>
      <c r="E47" s="15" t="n">
        <f aca="false">IF($D$57=0,0,D47/$D$57)</f>
        <v>0.00424969804983808</v>
      </c>
      <c r="F47" s="16" t="n">
        <v>1077.96</v>
      </c>
      <c r="G47" s="16" t="n">
        <f aca="false">IF(F47="","",D47-F47)</f>
        <v>-807.56</v>
      </c>
      <c r="H47" s="15" t="n">
        <f aca="false">IF(OR(F47="",N(F47)=0),"",D47/F47-1)</f>
        <v>-0.749155812831645</v>
      </c>
    </row>
    <row r="48" customFormat="false" ht="15" hidden="false" customHeight="false" outlineLevel="0" collapsed="false">
      <c r="B48" s="12" t="s">
        <v>50</v>
      </c>
      <c r="C48" s="13" t="n">
        <f aca="false">COUNTIF('TOTAL JULIO'!$B$4:$B$2000,B48)</f>
        <v>3</v>
      </c>
      <c r="D48" s="14" t="n">
        <f aca="false">SUMIF('TOTAL JULIO'!$B$4:$B$2000,B48,'TOTAL JULIO'!$D$4:$D$2000)</f>
        <v>240.66</v>
      </c>
      <c r="E48" s="15" t="n">
        <f aca="false">IF($D$57=0,0,D48/$D$57)</f>
        <v>0.00378229412971166</v>
      </c>
      <c r="F48" s="16" t="n">
        <v>1278.41</v>
      </c>
      <c r="G48" s="16" t="n">
        <f aca="false">IF(F48="","",D48-F48)</f>
        <v>-1037.75</v>
      </c>
      <c r="H48" s="15" t="n">
        <f aca="false">IF(OR(F48="",N(F48)=0),"",D48/F48-1)</f>
        <v>-0.811750533866287</v>
      </c>
    </row>
    <row r="49" customFormat="false" ht="15" hidden="false" customHeight="false" outlineLevel="0" collapsed="false">
      <c r="B49" s="12" t="s">
        <v>51</v>
      </c>
      <c r="C49" s="13" t="n">
        <f aca="false">COUNTIF('TOTAL JULIO'!$B$4:$B$2000,B49)</f>
        <v>2</v>
      </c>
      <c r="D49" s="14" t="n">
        <f aca="false">SUMIF('TOTAL JULIO'!$B$4:$B$2000,B49,'TOTAL JULIO'!$D$4:$D$2000)</f>
        <v>227.89</v>
      </c>
      <c r="E49" s="15" t="n">
        <f aca="false">IF($D$57=0,0,D49/$D$57)</f>
        <v>0.00358159648142604</v>
      </c>
      <c r="F49" s="16"/>
      <c r="G49" s="16" t="str">
        <f aca="false">IF(F49="","",D49-F49)</f>
        <v/>
      </c>
      <c r="H49" s="15" t="str">
        <f aca="false">IF(OR(F49="",N(F49)=0),"",D49/F49-1)</f>
        <v/>
      </c>
    </row>
    <row r="50" customFormat="false" ht="15" hidden="false" customHeight="false" outlineLevel="0" collapsed="false">
      <c r="B50" s="12" t="s">
        <v>52</v>
      </c>
      <c r="C50" s="13" t="n">
        <f aca="false">COUNTIF('TOTAL JULIO'!$B$4:$B$2000,B50)</f>
        <v>1</v>
      </c>
      <c r="D50" s="14" t="n">
        <f aca="false">SUMIF('TOTAL JULIO'!$B$4:$B$2000,B50,'TOTAL JULIO'!$D$4:$D$2000)</f>
        <v>202.8</v>
      </c>
      <c r="E50" s="15" t="n">
        <f aca="false">IF($D$57=0,0,D50/$D$57)</f>
        <v>0.00318727353737856</v>
      </c>
      <c r="F50" s="16" t="n">
        <v>542.7</v>
      </c>
      <c r="G50" s="16" t="n">
        <f aca="false">IF(F50="","",D50-F50)</f>
        <v>-339.9</v>
      </c>
      <c r="H50" s="15" t="n">
        <f aca="false">IF(OR(F50="",N(F50)=0),"",D50/F50-1)</f>
        <v>-0.626312880044223</v>
      </c>
    </row>
    <row r="51" customFormat="false" ht="15" hidden="false" customHeight="false" outlineLevel="0" collapsed="false">
      <c r="B51" s="12" t="s">
        <v>53</v>
      </c>
      <c r="C51" s="13" t="n">
        <f aca="false">COUNTIF('TOTAL JULIO'!$B$4:$B$2000,B51)</f>
        <v>3</v>
      </c>
      <c r="D51" s="14" t="n">
        <f aca="false">SUMIF('TOTAL JULIO'!$B$4:$B$2000,B51,'TOTAL JULIO'!$D$4:$D$2000)</f>
        <v>193.7</v>
      </c>
      <c r="E51" s="15" t="n">
        <f aca="false">IF($D$57=0,0,D51/$D$57)</f>
        <v>0.00304425485300901</v>
      </c>
      <c r="F51" s="16" t="n">
        <v>258.52</v>
      </c>
      <c r="G51" s="16" t="n">
        <f aca="false">IF(F51="","",D51-F51)</f>
        <v>-64.82</v>
      </c>
      <c r="H51" s="15" t="n">
        <f aca="false">IF(OR(F51="",N(F51)=0),"",D51/F51-1)</f>
        <v>-0.250734952808293</v>
      </c>
    </row>
    <row r="52" customFormat="false" ht="15" hidden="false" customHeight="false" outlineLevel="0" collapsed="false">
      <c r="B52" s="12" t="s">
        <v>54</v>
      </c>
      <c r="C52" s="13" t="n">
        <f aca="false">COUNTIF('TOTAL JULIO'!$B$4:$B$2000,B52)</f>
        <v>2</v>
      </c>
      <c r="D52" s="14" t="n">
        <f aca="false">SUMIF('TOTAL JULIO'!$B$4:$B$2000,B52,'TOTAL JULIO'!$D$4:$D$2000)</f>
        <v>183.2</v>
      </c>
      <c r="E52" s="15" t="n">
        <f aca="false">IF($D$57=0,0,D52/$D$57)</f>
        <v>0.00287923329412107</v>
      </c>
      <c r="F52" s="16" t="n">
        <v>183.2</v>
      </c>
      <c r="G52" s="16" t="n">
        <f aca="false">IF(F52="","",D52-F52)</f>
        <v>0</v>
      </c>
      <c r="H52" s="15" t="n">
        <f aca="false">IF(OR(F52="",N(F52)=0),"",D52/F52-1)</f>
        <v>0</v>
      </c>
    </row>
    <row r="53" customFormat="false" ht="15" hidden="false" customHeight="false" outlineLevel="0" collapsed="false">
      <c r="B53" s="12" t="s">
        <v>55</v>
      </c>
      <c r="C53" s="13" t="n">
        <f aca="false">COUNTIF('TOTAL JULIO'!$B$4:$B$2000,B53)</f>
        <v>3</v>
      </c>
      <c r="D53" s="14" t="n">
        <f aca="false">SUMIF('TOTAL JULIO'!$B$4:$B$2000,B53,'TOTAL JULIO'!$D$4:$D$2000)</f>
        <v>171</v>
      </c>
      <c r="E53" s="15" t="n">
        <f aca="false">IF($D$57=0,0,D53/$D$57)</f>
        <v>0.00268749395903222</v>
      </c>
      <c r="F53" s="16"/>
      <c r="G53" s="16" t="str">
        <f aca="false">IF(F53="","",D53-F53)</f>
        <v/>
      </c>
      <c r="H53" s="15" t="str">
        <f aca="false">IF(OR(F53="",N(F53)=0),"",D53/F53-1)</f>
        <v/>
      </c>
    </row>
    <row r="54" customFormat="false" ht="15" hidden="false" customHeight="false" outlineLevel="0" collapsed="false">
      <c r="B54" s="12" t="s">
        <v>56</v>
      </c>
      <c r="C54" s="13" t="n">
        <f aca="false">COUNTIF('TOTAL JULIO'!$B$4:$B$2000,B54)</f>
        <v>2</v>
      </c>
      <c r="D54" s="14" t="n">
        <f aca="false">SUMIF('TOTAL JULIO'!$B$4:$B$2000,B54,'TOTAL JULIO'!$D$4:$D$2000)</f>
        <v>158.99</v>
      </c>
      <c r="E54" s="15" t="n">
        <f aca="false">IF($D$57=0,0,D54/$D$57)</f>
        <v>0.0024987407283423</v>
      </c>
      <c r="F54" s="16" t="n">
        <v>449.6</v>
      </c>
      <c r="G54" s="16" t="n">
        <f aca="false">IF(F54="","",D54-F54)</f>
        <v>-290.61</v>
      </c>
      <c r="H54" s="15" t="n">
        <f aca="false">IF(OR(F54="",N(F54)=0),"",D54/F54-1)</f>
        <v>-0.646374555160142</v>
      </c>
    </row>
    <row r="55" customFormat="false" ht="15" hidden="false" customHeight="false" outlineLevel="0" collapsed="false">
      <c r="B55" s="12" t="s">
        <v>57</v>
      </c>
      <c r="C55" s="13" t="n">
        <f aca="false">COUNTIF('TOTAL JULIO'!$B$4:$B$2000,B55)</f>
        <v>0</v>
      </c>
      <c r="D55" s="14" t="n">
        <f aca="false">SUMIF('TOTAL JULIO'!$B$4:$B$2000,B55,'TOTAL JULIO'!$D$4:$D$2000)</f>
        <v>0</v>
      </c>
      <c r="E55" s="15" t="n">
        <f aca="false">IF($D$57=0,0,D55/$D$57)</f>
        <v>0</v>
      </c>
      <c r="F55" s="16" t="n">
        <v>1096.5</v>
      </c>
      <c r="G55" s="16" t="n">
        <f aca="false">IF(F55="","",D55-F55)</f>
        <v>-1096.5</v>
      </c>
      <c r="H55" s="15" t="n">
        <f aca="false">IF(OR(F55="",N(F55)=0),"",D55/F55-1)</f>
        <v>-1</v>
      </c>
    </row>
    <row r="56" customFormat="false" ht="15" hidden="false" customHeight="false" outlineLevel="0" collapsed="false">
      <c r="B56" s="12" t="s">
        <v>58</v>
      </c>
      <c r="C56" s="13" t="n">
        <f aca="false">COUNTIF('TOTAL JULIO'!$B$4:$B$2000,B56)</f>
        <v>0</v>
      </c>
      <c r="D56" s="14" t="n">
        <f aca="false">SUMIF('TOTAL JULIO'!$B$4:$B$2000,B56,'TOTAL JULIO'!$D$4:$D$2000)</f>
        <v>0</v>
      </c>
      <c r="E56" s="15" t="n">
        <f aca="false">IF($D$57=0,0,D56/$D$57)</f>
        <v>0</v>
      </c>
      <c r="F56" s="16" t="n">
        <v>1072.8</v>
      </c>
      <c r="G56" s="16" t="n">
        <f aca="false">IF(F56="","",D56-F56)</f>
        <v>-1072.8</v>
      </c>
      <c r="H56" s="15" t="n">
        <f aca="false">IF(OR(F56="",N(F56)=0),"",D56/F56-1)</f>
        <v>-1</v>
      </c>
    </row>
    <row r="57" customFormat="false" ht="15" hidden="false" customHeight="false" outlineLevel="0" collapsed="false">
      <c r="B57" s="17" t="s">
        <v>59</v>
      </c>
      <c r="C57" s="18" t="n">
        <f aca="false">SUM(C18:C56)</f>
        <v>271</v>
      </c>
      <c r="D57" s="19" t="n">
        <f aca="false">SUM(D18:D56)</f>
        <v>63628.05</v>
      </c>
      <c r="E57" s="20" t="n">
        <f aca="false">SUM(E18:E56)</f>
        <v>1</v>
      </c>
      <c r="F57" s="19" t="n">
        <f aca="false">SUM(F18:F56)</f>
        <v>75647.14</v>
      </c>
      <c r="G57" s="19" t="n">
        <f aca="false">D57-F57</f>
        <v>-12019.09</v>
      </c>
      <c r="H57" s="20" t="n">
        <f aca="false">IF(F57=0,"",D57/F57-1)</f>
        <v>-0.15888360088696</v>
      </c>
    </row>
    <row r="58" customFormat="false" ht="15" hidden="false" customHeight="false" outlineLevel="0" collapsed="false">
      <c r="B58" s="3" t="s">
        <v>60</v>
      </c>
    </row>
  </sheetData>
  <mergeCells count="18">
    <mergeCell ref="B6:C6"/>
    <mergeCell ref="D6:E6"/>
    <mergeCell ref="F6:G6"/>
    <mergeCell ref="B7:C7"/>
    <mergeCell ref="D7:E7"/>
    <mergeCell ref="F7:G7"/>
    <mergeCell ref="B9:C9"/>
    <mergeCell ref="D9:E9"/>
    <mergeCell ref="F9:G9"/>
    <mergeCell ref="B10:C10"/>
    <mergeCell ref="D10:E10"/>
    <mergeCell ref="F10:G10"/>
    <mergeCell ref="B12:C12"/>
    <mergeCell ref="D12:E12"/>
    <mergeCell ref="F12:G12"/>
    <mergeCell ref="B13:C13"/>
    <mergeCell ref="D13:E13"/>
    <mergeCell ref="F13:G13"/>
  </mergeCells>
  <conditionalFormatting sqref="F10">
    <cfRule type="cellIs" priority="2" operator="greaterThan" aboveAverage="0" equalAverage="0" bottom="0" percent="0" rank="0" text="" dxfId="0">
      <formula>0</formula>
    </cfRule>
  </conditionalFormatting>
  <conditionalFormatting sqref="B18:H56">
    <cfRule type="expression" priority="3" aboveAverage="0" equalAverage="0" bottom="0" percent="0" rank="0" text="" dxfId="1">
      <formula>$D18=0</formula>
    </cfRule>
  </conditionalFormatting>
  <conditionalFormatting sqref="D18:D56">
    <cfRule type="dataBar" priority="4">
      <dataBar showValue="1" minLength="10" maxLength="90">
        <cfvo type="num" val="0"/>
        <cfvo type="max" val="0"/>
        <color rgb="FFF4B183"/>
      </dataBar>
      <extLst>
        <ext xmlns:x14="http://schemas.microsoft.com/office/spreadsheetml/2009/9/main" uri="{B025F937-C7B1-47D3-B67F-A62EFF666E3E}">
          <x14:id>{3FE7F45F-63B0-433D-A28C-CE7039BA39CC}</x14:id>
        </ext>
      </extLst>
    </cfRule>
  </conditionalFormatting>
  <conditionalFormatting sqref="G18:H56">
    <cfRule type="expression" priority="5" aboveAverage="0" equalAverage="0" bottom="0" percent="0" rank="0" text="" dxfId="2">
      <formula>AND(ISNUMBER($G18),$G18&gt;0.005)</formula>
    </cfRule>
    <cfRule type="expression" priority="6" aboveAverage="0" equalAverage="0" bottom="0" percent="0" rank="0" text="" dxfId="3">
      <formula>AND(ISNUMBER($G18),$G18&lt;-0.005)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E7F45F-63B0-433D-A28C-CE7039BA39CC}">
            <x14:dataBar minLength="10" maxLength="90" axisPosition="none" gradient="true">
              <x14:cfvo type="num">
                <xm:f>0</xm:f>
              </x14:cfvo>
              <x14:cfvo type="max"/>
              <x14:negativeFillColor rgb="FFF4B183"/>
              <x14:axisColor rgb="FF000000"/>
            </x14:dataBar>
          </x14:cfRule>
          <xm:sqref>D18:D56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M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3"/>
    <col collapsed="false" customWidth="true" hidden="false" outlineLevel="0" max="13" min="13" style="0" width="20"/>
  </cols>
  <sheetData>
    <row r="1" customFormat="false" ht="17.35" hidden="false" customHeight="false" outlineLevel="0" collapsed="false">
      <c r="B1" s="21" t="s">
        <v>61</v>
      </c>
    </row>
    <row r="2" customFormat="false" ht="15" hidden="false" customHeight="false" outlineLevel="0" collapsed="false">
      <c r="B2" s="10" t="s">
        <v>13</v>
      </c>
      <c r="C2" s="10" t="s">
        <v>62</v>
      </c>
      <c r="D2" s="10" t="s">
        <v>63</v>
      </c>
      <c r="E2" s="10" t="s">
        <v>64</v>
      </c>
      <c r="F2" s="10" t="s">
        <v>59</v>
      </c>
      <c r="H2" s="11" t="s">
        <v>13</v>
      </c>
      <c r="I2" s="11" t="s">
        <v>63</v>
      </c>
      <c r="J2" s="11" t="s">
        <v>4</v>
      </c>
      <c r="K2" s="11" t="s">
        <v>65</v>
      </c>
      <c r="M2" s="11" t="s">
        <v>66</v>
      </c>
    </row>
    <row r="4" customFormat="false" ht="15" hidden="false" customHeight="false" outlineLevel="0" collapsed="false">
      <c r="B4" s="22" t="s">
        <v>36</v>
      </c>
      <c r="C4" s="23" t="s">
        <v>67</v>
      </c>
      <c r="D4" s="16" t="n">
        <v>191.35</v>
      </c>
      <c r="E4" s="24" t="n">
        <v>0.1</v>
      </c>
      <c r="F4" s="14" t="n">
        <f aca="false">D4+(D4*E4)</f>
        <v>210.485</v>
      </c>
      <c r="H4" s="12" t="s">
        <v>36</v>
      </c>
      <c r="I4" s="16" t="n">
        <f aca="false">SUMIF($B$4:$B$2000,H4,$D$4:$D$2000)</f>
        <v>1122.99</v>
      </c>
      <c r="J4" s="16" t="n">
        <f aca="false">K4-I4</f>
        <v>112.299</v>
      </c>
      <c r="K4" s="14" t="n">
        <f aca="false">SUMIF($B$4:$B$2000,H4,$F$4:$F$2000)</f>
        <v>1235.289</v>
      </c>
      <c r="M4" s="25" t="n">
        <f aca="false">K41</f>
        <v>71983.647</v>
      </c>
    </row>
    <row r="5" customFormat="false" ht="15" hidden="false" customHeight="false" outlineLevel="0" collapsed="false">
      <c r="B5" s="26" t="s">
        <v>36</v>
      </c>
      <c r="C5" s="27" t="s">
        <v>68</v>
      </c>
      <c r="D5" s="28" t="n">
        <v>102.7</v>
      </c>
      <c r="E5" s="29" t="n">
        <v>0.1</v>
      </c>
      <c r="F5" s="30" t="n">
        <f aca="false">D5+(D5*E5)</f>
        <v>112.97</v>
      </c>
      <c r="H5" s="12" t="s">
        <v>23</v>
      </c>
      <c r="I5" s="16" t="n">
        <f aca="false">SUMIF($B$4:$B$2000,H5,$D$4:$D$2000)</f>
        <v>4059.72</v>
      </c>
      <c r="J5" s="16" t="n">
        <f aca="false">K5-I5</f>
        <v>405.972</v>
      </c>
      <c r="K5" s="14" t="n">
        <f aca="false">SUMIF($B$4:$B$2000,H5,$F$4:$F$2000)</f>
        <v>4465.692</v>
      </c>
    </row>
    <row r="6" customFormat="false" ht="15" hidden="false" customHeight="false" outlineLevel="0" collapsed="false">
      <c r="B6" s="22" t="s">
        <v>36</v>
      </c>
      <c r="C6" s="23" t="s">
        <v>69</v>
      </c>
      <c r="D6" s="16" t="n">
        <v>41.83</v>
      </c>
      <c r="E6" s="24" t="n">
        <v>0.1</v>
      </c>
      <c r="F6" s="14" t="n">
        <f aca="false">D6+(D6*E6)</f>
        <v>46.013</v>
      </c>
      <c r="H6" s="12" t="s">
        <v>48</v>
      </c>
      <c r="I6" s="16" t="n">
        <f aca="false">SUMIF($B$4:$B$2000,H6,$D$4:$D$2000)</f>
        <v>280.3</v>
      </c>
      <c r="J6" s="16" t="n">
        <f aca="false">K6-I6</f>
        <v>28.03</v>
      </c>
      <c r="K6" s="14" t="n">
        <f aca="false">SUMIF($B$4:$B$2000,H6,$F$4:$F$2000)</f>
        <v>308.33</v>
      </c>
    </row>
    <row r="7" customFormat="false" ht="15" hidden="false" customHeight="false" outlineLevel="0" collapsed="false">
      <c r="B7" s="26" t="s">
        <v>36</v>
      </c>
      <c r="C7" s="27" t="s">
        <v>70</v>
      </c>
      <c r="D7" s="28" t="n">
        <v>195.25</v>
      </c>
      <c r="E7" s="29" t="n">
        <v>0.1</v>
      </c>
      <c r="F7" s="30" t="n">
        <f aca="false">D7+(D7*E7)</f>
        <v>214.775</v>
      </c>
      <c r="H7" s="12" t="s">
        <v>47</v>
      </c>
      <c r="I7" s="16" t="n">
        <f aca="false">SUMIF($B$4:$B$2000,H7,$D$4:$D$2000)</f>
        <v>339</v>
      </c>
      <c r="J7" s="16" t="n">
        <f aca="false">K7-I7</f>
        <v>71.19</v>
      </c>
      <c r="K7" s="14" t="n">
        <f aca="false">SUMIF($B$4:$B$2000,H7,$F$4:$F$2000)</f>
        <v>410.19</v>
      </c>
    </row>
    <row r="8" customFormat="false" ht="15" hidden="false" customHeight="false" outlineLevel="0" collapsed="false">
      <c r="B8" s="22" t="s">
        <v>36</v>
      </c>
      <c r="C8" s="23" t="s">
        <v>71</v>
      </c>
      <c r="D8" s="16" t="n">
        <v>94.8</v>
      </c>
      <c r="E8" s="24" t="n">
        <v>0.1</v>
      </c>
      <c r="F8" s="14" t="n">
        <f aca="false">D8+(D8*E8)</f>
        <v>104.28</v>
      </c>
      <c r="H8" s="12" t="s">
        <v>32</v>
      </c>
      <c r="I8" s="16" t="n">
        <f aca="false">SUMIF($B$4:$B$2000,H8,$D$4:$D$2000)</f>
        <v>1412.35</v>
      </c>
      <c r="J8" s="16" t="n">
        <f aca="false">K8-I8</f>
        <v>141.235</v>
      </c>
      <c r="K8" s="14" t="n">
        <f aca="false">SUMIF($B$4:$B$2000,H8,$F$4:$F$2000)</f>
        <v>1553.585</v>
      </c>
    </row>
    <row r="9" customFormat="false" ht="15" hidden="false" customHeight="false" outlineLevel="0" collapsed="false">
      <c r="B9" s="26" t="s">
        <v>36</v>
      </c>
      <c r="C9" s="27" t="s">
        <v>72</v>
      </c>
      <c r="D9" s="28" t="n">
        <v>203.06</v>
      </c>
      <c r="E9" s="29" t="n">
        <v>0.1</v>
      </c>
      <c r="F9" s="30" t="n">
        <f aca="false">D9+(D9*E9)</f>
        <v>223.366</v>
      </c>
      <c r="H9" s="12" t="s">
        <v>50</v>
      </c>
      <c r="I9" s="16" t="n">
        <f aca="false">SUMIF($B$4:$B$2000,H9,$D$4:$D$2000)</f>
        <v>240.66</v>
      </c>
      <c r="J9" s="16" t="n">
        <f aca="false">K9-I9</f>
        <v>35.715</v>
      </c>
      <c r="K9" s="14" t="n">
        <f aca="false">SUMIF($B$4:$B$2000,H9,$F$4:$F$2000)</f>
        <v>276.375</v>
      </c>
    </row>
    <row r="10" customFormat="false" ht="15" hidden="false" customHeight="false" outlineLevel="0" collapsed="false">
      <c r="B10" s="22" t="s">
        <v>36</v>
      </c>
      <c r="C10" s="23" t="s">
        <v>73</v>
      </c>
      <c r="D10" s="16" t="n">
        <v>126</v>
      </c>
      <c r="E10" s="24" t="n">
        <v>0.1</v>
      </c>
      <c r="F10" s="14" t="n">
        <f aca="false">D10+(D10*E10)</f>
        <v>138.6</v>
      </c>
      <c r="H10" s="12" t="s">
        <v>28</v>
      </c>
      <c r="I10" s="16" t="n">
        <f aca="false">SUMIF($B$4:$B$2000,H10,$D$4:$D$2000)</f>
        <v>2124.02</v>
      </c>
      <c r="J10" s="16" t="n">
        <f aca="false">K10-I10</f>
        <v>403.5094</v>
      </c>
      <c r="K10" s="14" t="n">
        <f aca="false">SUMIF($B$4:$B$2000,H10,$F$4:$F$2000)</f>
        <v>2527.5294</v>
      </c>
    </row>
    <row r="11" customFormat="false" ht="15" hidden="false" customHeight="false" outlineLevel="0" collapsed="false">
      <c r="B11" s="26" t="s">
        <v>36</v>
      </c>
      <c r="C11" s="27" t="s">
        <v>74</v>
      </c>
      <c r="D11" s="28" t="n">
        <v>84</v>
      </c>
      <c r="E11" s="29" t="n">
        <v>0.1</v>
      </c>
      <c r="F11" s="30" t="n">
        <f aca="false">D11+(D11*E11)</f>
        <v>92.4</v>
      </c>
      <c r="H11" s="12" t="s">
        <v>41</v>
      </c>
      <c r="I11" s="16" t="n">
        <f aca="false">SUMIF($B$4:$B$2000,H11,$D$4:$D$2000)</f>
        <v>705.24</v>
      </c>
      <c r="J11" s="16" t="n">
        <f aca="false">K11-I11</f>
        <v>70.524</v>
      </c>
      <c r="K11" s="14" t="n">
        <f aca="false">SUMIF($B$4:$B$2000,H11,$F$4:$F$2000)</f>
        <v>775.764</v>
      </c>
    </row>
    <row r="12" customFormat="false" ht="15" hidden="false" customHeight="false" outlineLevel="0" collapsed="false">
      <c r="B12" s="22" t="s">
        <v>36</v>
      </c>
      <c r="C12" s="23" t="s">
        <v>75</v>
      </c>
      <c r="D12" s="16" t="n">
        <v>84</v>
      </c>
      <c r="E12" s="24" t="n">
        <v>0.1</v>
      </c>
      <c r="F12" s="14" t="n">
        <f aca="false">D12+(D12*E12)</f>
        <v>92.4</v>
      </c>
      <c r="H12" s="12" t="s">
        <v>24</v>
      </c>
      <c r="I12" s="16" t="n">
        <f aca="false">SUMIF($B$4:$B$2000,H12,$D$4:$D$2000)</f>
        <v>3739.92</v>
      </c>
      <c r="J12" s="16" t="n">
        <f aca="false">K12-I12</f>
        <v>373.992</v>
      </c>
      <c r="K12" s="14" t="n">
        <f aca="false">SUMIF($B$4:$B$2000,H12,$F$4:$F$2000)</f>
        <v>4113.912</v>
      </c>
    </row>
    <row r="13" customFormat="false" ht="15" hidden="false" customHeight="false" outlineLevel="0" collapsed="false">
      <c r="B13" s="26" t="s">
        <v>23</v>
      </c>
      <c r="C13" s="27" t="s">
        <v>76</v>
      </c>
      <c r="D13" s="28" t="n">
        <v>441</v>
      </c>
      <c r="E13" s="29" t="n">
        <v>0.1</v>
      </c>
      <c r="F13" s="30" t="n">
        <f aca="false">D13+(D13*E13)</f>
        <v>485.1</v>
      </c>
      <c r="H13" s="12" t="s">
        <v>37</v>
      </c>
      <c r="I13" s="16" t="n">
        <f aca="false">SUMIF($B$4:$B$2000,H13,$D$4:$D$2000)</f>
        <v>1086.03</v>
      </c>
      <c r="J13" s="16" t="n">
        <f aca="false">K13-I13</f>
        <v>108.603</v>
      </c>
      <c r="K13" s="14" t="n">
        <f aca="false">SUMIF($B$4:$B$2000,H13,$F$4:$F$2000)</f>
        <v>1194.633</v>
      </c>
    </row>
    <row r="14" customFormat="false" ht="15" hidden="false" customHeight="false" outlineLevel="0" collapsed="false">
      <c r="B14" s="22" t="s">
        <v>23</v>
      </c>
      <c r="C14" s="23" t="s">
        <v>77</v>
      </c>
      <c r="D14" s="16" t="n">
        <v>290.59</v>
      </c>
      <c r="E14" s="24" t="n">
        <v>0.1</v>
      </c>
      <c r="F14" s="14" t="n">
        <f aca="false">D14+(D14*E14)</f>
        <v>319.649</v>
      </c>
      <c r="H14" s="12" t="s">
        <v>29</v>
      </c>
      <c r="I14" s="16" t="n">
        <f aca="false">SUMIF($B$4:$B$2000,H14,$D$4:$D$2000)</f>
        <v>1970.46</v>
      </c>
      <c r="J14" s="16" t="n">
        <f aca="false">K14-I14</f>
        <v>197.046</v>
      </c>
      <c r="K14" s="14" t="n">
        <f aca="false">SUMIF($B$4:$B$2000,H14,$F$4:$F$2000)</f>
        <v>2167.506</v>
      </c>
    </row>
    <row r="15" customFormat="false" ht="15" hidden="false" customHeight="false" outlineLevel="0" collapsed="false">
      <c r="B15" s="26" t="s">
        <v>23</v>
      </c>
      <c r="C15" s="27" t="s">
        <v>78</v>
      </c>
      <c r="D15" s="28" t="n">
        <v>494.86</v>
      </c>
      <c r="E15" s="29" t="n">
        <v>0.1</v>
      </c>
      <c r="F15" s="30" t="n">
        <f aca="false">D15+(D15*E15)</f>
        <v>544.346</v>
      </c>
      <c r="H15" s="12" t="s">
        <v>38</v>
      </c>
      <c r="I15" s="16" t="n">
        <f aca="false">SUMIF($B$4:$B$2000,H15,$D$4:$D$2000)</f>
        <v>1032.66</v>
      </c>
      <c r="J15" s="16" t="n">
        <f aca="false">K15-I15</f>
        <v>57.1625999999999</v>
      </c>
      <c r="K15" s="14" t="n">
        <f aca="false">SUMIF($B$4:$B$2000,H15,$F$4:$F$2000)</f>
        <v>1089.8226</v>
      </c>
    </row>
    <row r="16" customFormat="false" ht="15" hidden="false" customHeight="false" outlineLevel="0" collapsed="false">
      <c r="B16" s="22" t="s">
        <v>23</v>
      </c>
      <c r="C16" s="23" t="s">
        <v>79</v>
      </c>
      <c r="D16" s="16" t="n">
        <v>512.15</v>
      </c>
      <c r="E16" s="24" t="n">
        <v>0.1</v>
      </c>
      <c r="F16" s="14" t="n">
        <f aca="false">D16+(D16*E16)</f>
        <v>563.365</v>
      </c>
      <c r="H16" s="12" t="s">
        <v>34</v>
      </c>
      <c r="I16" s="16" t="n">
        <f aca="false">SUMIF($B$4:$B$2000,H16,$D$4:$D$2000)</f>
        <v>1295.5</v>
      </c>
      <c r="J16" s="16" t="n">
        <f aca="false">K16-I16</f>
        <v>129.55</v>
      </c>
      <c r="K16" s="14" t="n">
        <f aca="false">SUMIF($B$4:$B$2000,H16,$F$4:$F$2000)</f>
        <v>1425.05</v>
      </c>
    </row>
    <row r="17" customFormat="false" ht="15" hidden="false" customHeight="false" outlineLevel="0" collapsed="false">
      <c r="B17" s="26" t="s">
        <v>23</v>
      </c>
      <c r="C17" s="27" t="s">
        <v>80</v>
      </c>
      <c r="D17" s="28" t="n">
        <v>88.5</v>
      </c>
      <c r="E17" s="29" t="n">
        <v>0.1</v>
      </c>
      <c r="F17" s="30" t="n">
        <f aca="false">D17+(D17*E17)</f>
        <v>97.35</v>
      </c>
      <c r="H17" s="12" t="s">
        <v>27</v>
      </c>
      <c r="I17" s="16" t="n">
        <f aca="false">SUMIF($B$4:$B$2000,H17,$D$4:$D$2000)</f>
        <v>3131.64</v>
      </c>
      <c r="J17" s="16" t="n">
        <f aca="false">K17-I17</f>
        <v>657.6444</v>
      </c>
      <c r="K17" s="14" t="n">
        <f aca="false">SUMIF($B$4:$B$2000,H17,$F$4:$F$2000)</f>
        <v>3789.2844</v>
      </c>
    </row>
    <row r="18" customFormat="false" ht="15" hidden="false" customHeight="false" outlineLevel="0" collapsed="false">
      <c r="B18" s="22" t="s">
        <v>23</v>
      </c>
      <c r="C18" s="23" t="s">
        <v>81</v>
      </c>
      <c r="D18" s="16" t="n">
        <v>226.35</v>
      </c>
      <c r="E18" s="24" t="n">
        <v>0.1</v>
      </c>
      <c r="F18" s="14" t="n">
        <f aca="false">D18+(D18*E18)</f>
        <v>248.985</v>
      </c>
      <c r="H18" s="12" t="s">
        <v>42</v>
      </c>
      <c r="I18" s="16" t="n">
        <f aca="false">SUMIF($B$4:$B$2000,H18,$D$4:$D$2000)</f>
        <v>646.58</v>
      </c>
      <c r="J18" s="16" t="n">
        <f aca="false">K18-I18</f>
        <v>121.0418</v>
      </c>
      <c r="K18" s="14" t="n">
        <f aca="false">SUMIF($B$4:$B$2000,H18,$F$4:$F$2000)</f>
        <v>767.6218</v>
      </c>
    </row>
    <row r="19" customFormat="false" ht="15" hidden="false" customHeight="false" outlineLevel="0" collapsed="false">
      <c r="B19" s="26" t="s">
        <v>23</v>
      </c>
      <c r="C19" s="27" t="s">
        <v>82</v>
      </c>
      <c r="D19" s="28" t="n">
        <v>618.08</v>
      </c>
      <c r="E19" s="29" t="n">
        <v>0.1</v>
      </c>
      <c r="F19" s="30" t="n">
        <f aca="false">D19+(D19*E19)</f>
        <v>679.888</v>
      </c>
      <c r="H19" s="12" t="s">
        <v>35</v>
      </c>
      <c r="I19" s="16" t="n">
        <f aca="false">SUMIF($B$4:$B$2000,H19,$D$4:$D$2000)</f>
        <v>1189</v>
      </c>
      <c r="J19" s="16" t="n">
        <f aca="false">K19-I19</f>
        <v>118.9</v>
      </c>
      <c r="K19" s="14" t="n">
        <f aca="false">SUMIF($B$4:$B$2000,H19,$F$4:$F$2000)</f>
        <v>1307.9</v>
      </c>
    </row>
    <row r="20" customFormat="false" ht="15" hidden="false" customHeight="false" outlineLevel="0" collapsed="false">
      <c r="B20" s="22" t="s">
        <v>23</v>
      </c>
      <c r="C20" s="23" t="s">
        <v>83</v>
      </c>
      <c r="D20" s="16" t="n">
        <v>445.18</v>
      </c>
      <c r="E20" s="24" t="n">
        <v>0.1</v>
      </c>
      <c r="F20" s="14" t="n">
        <f aca="false">D20+(D20*E20)</f>
        <v>489.698</v>
      </c>
      <c r="H20" s="12" t="s">
        <v>53</v>
      </c>
      <c r="I20" s="16" t="n">
        <f aca="false">SUMIF($B$4:$B$2000,H20,$D$4:$D$2000)</f>
        <v>193.7</v>
      </c>
      <c r="J20" s="16" t="n">
        <f aca="false">K20-I20</f>
        <v>19.37</v>
      </c>
      <c r="K20" s="14" t="n">
        <f aca="false">SUMIF($B$4:$B$2000,H20,$F$4:$F$2000)</f>
        <v>213.07</v>
      </c>
    </row>
    <row r="21" customFormat="false" ht="15" hidden="false" customHeight="false" outlineLevel="0" collapsed="false">
      <c r="B21" s="26" t="s">
        <v>23</v>
      </c>
      <c r="C21" s="27" t="s">
        <v>84</v>
      </c>
      <c r="D21" s="28" t="n">
        <v>577.26</v>
      </c>
      <c r="E21" s="29" t="n">
        <v>0.1</v>
      </c>
      <c r="F21" s="30" t="n">
        <f aca="false">D21+(D21*E21)</f>
        <v>634.986</v>
      </c>
      <c r="H21" s="12" t="s">
        <v>54</v>
      </c>
      <c r="I21" s="16" t="n">
        <f aca="false">SUMIF($B$4:$B$2000,H21,$D$4:$D$2000)</f>
        <v>183.2</v>
      </c>
      <c r="J21" s="16" t="n">
        <f aca="false">K21-I21</f>
        <v>18.32</v>
      </c>
      <c r="K21" s="14" t="n">
        <f aca="false">SUMIF($B$4:$B$2000,H21,$F$4:$F$2000)</f>
        <v>201.52</v>
      </c>
    </row>
    <row r="22" customFormat="false" ht="15" hidden="false" customHeight="false" outlineLevel="0" collapsed="false">
      <c r="B22" s="22" t="s">
        <v>23</v>
      </c>
      <c r="C22" s="23" t="s">
        <v>85</v>
      </c>
      <c r="D22" s="16" t="n">
        <v>365.75</v>
      </c>
      <c r="E22" s="24" t="n">
        <v>0.1</v>
      </c>
      <c r="F22" s="14" t="n">
        <f aca="false">D22+(D22*E22)</f>
        <v>402.325</v>
      </c>
      <c r="H22" s="12" t="s">
        <v>56</v>
      </c>
      <c r="I22" s="16" t="n">
        <f aca="false">SUMIF($B$4:$B$2000,H22,$D$4:$D$2000)</f>
        <v>158.99</v>
      </c>
      <c r="J22" s="16" t="n">
        <f aca="false">K22-I22</f>
        <v>6.3596</v>
      </c>
      <c r="K22" s="14" t="n">
        <f aca="false">SUMIF($B$4:$B$2000,H22,$F$4:$F$2000)</f>
        <v>165.3496</v>
      </c>
    </row>
    <row r="23" customFormat="false" ht="15" hidden="false" customHeight="false" outlineLevel="0" collapsed="false">
      <c r="B23" s="26" t="s">
        <v>48</v>
      </c>
      <c r="C23" s="27" t="s">
        <v>86</v>
      </c>
      <c r="D23" s="28" t="n">
        <v>280.3</v>
      </c>
      <c r="E23" s="29" t="n">
        <v>0.1</v>
      </c>
      <c r="F23" s="30" t="n">
        <f aca="false">D23+(D23*E23)</f>
        <v>308.33</v>
      </c>
      <c r="H23" s="12" t="s">
        <v>40</v>
      </c>
      <c r="I23" s="16" t="n">
        <f aca="false">SUMIF($B$4:$B$2000,H23,$D$4:$D$2000)</f>
        <v>748.5</v>
      </c>
      <c r="J23" s="16" t="n">
        <f aca="false">K23-I23</f>
        <v>74.85</v>
      </c>
      <c r="K23" s="14" t="n">
        <f aca="false">SUMIF($B$4:$B$2000,H23,$F$4:$F$2000)</f>
        <v>823.35</v>
      </c>
    </row>
    <row r="24" customFormat="false" ht="15" hidden="false" customHeight="false" outlineLevel="0" collapsed="false">
      <c r="B24" s="22" t="s">
        <v>47</v>
      </c>
      <c r="C24" s="23" t="s">
        <v>87</v>
      </c>
      <c r="D24" s="16" t="n">
        <v>339</v>
      </c>
      <c r="E24" s="24" t="n">
        <v>0.21</v>
      </c>
      <c r="F24" s="14" t="n">
        <f aca="false">D24+(D24*E24)</f>
        <v>410.19</v>
      </c>
      <c r="H24" s="12" t="s">
        <v>46</v>
      </c>
      <c r="I24" s="16" t="n">
        <f aca="false">SUMIF($B$4:$B$2000,H24,$D$4:$D$2000)</f>
        <v>444.1</v>
      </c>
      <c r="J24" s="16" t="n">
        <f aca="false">K24-I24</f>
        <v>44.41</v>
      </c>
      <c r="K24" s="14" t="n">
        <f aca="false">SUMIF($B$4:$B$2000,H24,$F$4:$F$2000)</f>
        <v>488.51</v>
      </c>
    </row>
    <row r="25" customFormat="false" ht="15" hidden="false" customHeight="false" outlineLevel="0" collapsed="false">
      <c r="B25" s="26" t="s">
        <v>32</v>
      </c>
      <c r="C25" s="27" t="s">
        <v>88</v>
      </c>
      <c r="D25" s="28" t="n">
        <v>221.5</v>
      </c>
      <c r="E25" s="29" t="n">
        <v>0.1</v>
      </c>
      <c r="F25" s="30" t="n">
        <f aca="false">D25+(D25*E25)</f>
        <v>243.65</v>
      </c>
      <c r="H25" s="12" t="s">
        <v>30</v>
      </c>
      <c r="I25" s="16" t="n">
        <f aca="false">SUMIF($B$4:$B$2000,H25,$D$4:$D$2000)</f>
        <v>1815.6</v>
      </c>
      <c r="J25" s="16" t="n">
        <f aca="false">K25-I25</f>
        <v>112.674</v>
      </c>
      <c r="K25" s="14" t="n">
        <f aca="false">SUMIF($B$4:$B$2000,H25,$F$4:$F$2000)</f>
        <v>1928.274</v>
      </c>
    </row>
    <row r="26" customFormat="false" ht="15" hidden="false" customHeight="false" outlineLevel="0" collapsed="false">
      <c r="B26" s="22" t="s">
        <v>32</v>
      </c>
      <c r="C26" s="23" t="s">
        <v>89</v>
      </c>
      <c r="D26" s="16" t="n">
        <v>243.8</v>
      </c>
      <c r="E26" s="24" t="n">
        <v>0.1</v>
      </c>
      <c r="F26" s="14" t="n">
        <f aca="false">D26+(D26*E26)</f>
        <v>268.18</v>
      </c>
      <c r="H26" s="12" t="s">
        <v>51</v>
      </c>
      <c r="I26" s="16" t="n">
        <f aca="false">SUMIF($B$4:$B$2000,H26,$D$4:$D$2000)</f>
        <v>227.89</v>
      </c>
      <c r="J26" s="16" t="n">
        <f aca="false">K26-I26</f>
        <v>14.2348</v>
      </c>
      <c r="K26" s="14" t="n">
        <f aca="false">SUMIF($B$4:$B$2000,H26,$F$4:$F$2000)</f>
        <v>242.1248</v>
      </c>
    </row>
    <row r="27" customFormat="false" ht="15" hidden="false" customHeight="false" outlineLevel="0" collapsed="false">
      <c r="B27" s="26" t="s">
        <v>32</v>
      </c>
      <c r="C27" s="27" t="s">
        <v>90</v>
      </c>
      <c r="D27" s="28" t="n">
        <v>370.7</v>
      </c>
      <c r="E27" s="29" t="n">
        <v>0.1</v>
      </c>
      <c r="F27" s="30" t="n">
        <f aca="false">D27+(D27*E27)</f>
        <v>407.77</v>
      </c>
      <c r="H27" s="12" t="s">
        <v>39</v>
      </c>
      <c r="I27" s="16" t="n">
        <f aca="false">SUMIF($B$4:$B$2000,H27,$D$4:$D$2000)</f>
        <v>904.82</v>
      </c>
      <c r="J27" s="16" t="n">
        <f aca="false">K27-I27</f>
        <v>90.4820000000001</v>
      </c>
      <c r="K27" s="14" t="n">
        <f aca="false">SUMIF($B$4:$B$2000,H27,$F$4:$F$2000)</f>
        <v>995.302</v>
      </c>
    </row>
    <row r="28" customFormat="false" ht="15" hidden="false" customHeight="false" outlineLevel="0" collapsed="false">
      <c r="B28" s="22" t="s">
        <v>32</v>
      </c>
      <c r="C28" s="23" t="s">
        <v>91</v>
      </c>
      <c r="D28" s="16" t="n">
        <v>340.98</v>
      </c>
      <c r="E28" s="24" t="n">
        <v>0.1</v>
      </c>
      <c r="F28" s="14" t="n">
        <f aca="false">D28+(D28*E28)</f>
        <v>375.078</v>
      </c>
      <c r="H28" s="12" t="s">
        <v>25</v>
      </c>
      <c r="I28" s="16" t="n">
        <f aca="false">SUMIF($B$4:$B$2000,H28,$D$4:$D$2000)</f>
        <v>3561.4</v>
      </c>
      <c r="J28" s="16" t="n">
        <f aca="false">K28-I28</f>
        <v>356.14</v>
      </c>
      <c r="K28" s="14" t="n">
        <f aca="false">SUMIF($B$4:$B$2000,H28,$F$4:$F$2000)</f>
        <v>3917.54</v>
      </c>
    </row>
    <row r="29" customFormat="false" ht="15" hidden="false" customHeight="false" outlineLevel="0" collapsed="false">
      <c r="B29" s="26" t="s">
        <v>32</v>
      </c>
      <c r="C29" s="27" t="s">
        <v>92</v>
      </c>
      <c r="D29" s="28" t="n">
        <v>235.37</v>
      </c>
      <c r="E29" s="29" t="n">
        <v>0.1</v>
      </c>
      <c r="F29" s="30" t="n">
        <f aca="false">D29+(D29*E29)</f>
        <v>258.907</v>
      </c>
      <c r="H29" s="12" t="s">
        <v>55</v>
      </c>
      <c r="I29" s="16" t="n">
        <f aca="false">SUMIF($B$4:$B$2000,H29,$D$4:$D$2000)</f>
        <v>171</v>
      </c>
      <c r="J29" s="16" t="n">
        <f aca="false">K29-I29</f>
        <v>6.84</v>
      </c>
      <c r="K29" s="14" t="n">
        <f aca="false">SUMIF($B$4:$B$2000,H29,$F$4:$F$2000)</f>
        <v>177.84</v>
      </c>
    </row>
    <row r="30" customFormat="false" ht="15" hidden="false" customHeight="false" outlineLevel="0" collapsed="false">
      <c r="B30" s="22" t="s">
        <v>50</v>
      </c>
      <c r="C30" s="23" t="s">
        <v>93</v>
      </c>
      <c r="D30" s="16" t="n">
        <v>81.96</v>
      </c>
      <c r="E30" s="24" t="n">
        <v>0.1</v>
      </c>
      <c r="F30" s="14" t="n">
        <f aca="false">D30+(D30*E30)</f>
        <v>90.156</v>
      </c>
      <c r="H30" s="12" t="s">
        <v>22</v>
      </c>
      <c r="I30" s="16" t="n">
        <f aca="false">SUMIF($B$4:$B$2000,H30,$D$4:$D$2000)</f>
        <v>5092.38</v>
      </c>
      <c r="J30" s="16" t="n">
        <f aca="false">K30-I30</f>
        <v>1069.3998</v>
      </c>
      <c r="K30" s="14" t="n">
        <f aca="false">SUMIF($B$4:$B$2000,H30,$F$4:$F$2000)</f>
        <v>6161.7798</v>
      </c>
    </row>
    <row r="31" customFormat="false" ht="15" hidden="false" customHeight="false" outlineLevel="0" collapsed="false">
      <c r="B31" s="26" t="s">
        <v>50</v>
      </c>
      <c r="C31" s="27" t="s">
        <v>94</v>
      </c>
      <c r="D31" s="28" t="n">
        <v>105.9</v>
      </c>
      <c r="E31" s="29" t="n">
        <v>0.21</v>
      </c>
      <c r="F31" s="30" t="n">
        <f aca="false">D31+(D31*E31)</f>
        <v>128.139</v>
      </c>
      <c r="H31" s="12" t="s">
        <v>43</v>
      </c>
      <c r="I31" s="16" t="n">
        <f aca="false">SUMIF($B$4:$B$2000,H31,$D$4:$D$2000)</f>
        <v>611.4</v>
      </c>
      <c r="J31" s="16" t="n">
        <f aca="false">K31-I31</f>
        <v>24.456</v>
      </c>
      <c r="K31" s="14" t="n">
        <f aca="false">SUMIF($B$4:$B$2000,H31,$F$4:$F$2000)</f>
        <v>635.856</v>
      </c>
    </row>
    <row r="32" customFormat="false" ht="15" hidden="false" customHeight="false" outlineLevel="0" collapsed="false">
      <c r="B32" s="22" t="s">
        <v>50</v>
      </c>
      <c r="C32" s="23" t="s">
        <v>95</v>
      </c>
      <c r="D32" s="16" t="n">
        <v>52.8</v>
      </c>
      <c r="E32" s="24" t="n">
        <v>0.1</v>
      </c>
      <c r="F32" s="14" t="n">
        <f aca="false">D32+(D32*E32)</f>
        <v>58.08</v>
      </c>
      <c r="H32" s="12" t="s">
        <v>33</v>
      </c>
      <c r="I32" s="16" t="n">
        <f aca="false">SUMIF($B$4:$B$2000,H32,$D$4:$D$2000)</f>
        <v>1400.16</v>
      </c>
      <c r="J32" s="16" t="n">
        <f aca="false">K32-I32</f>
        <v>140.016</v>
      </c>
      <c r="K32" s="14" t="n">
        <f aca="false">SUMIF($B$4:$B$2000,H32,$F$4:$F$2000)</f>
        <v>1540.176</v>
      </c>
    </row>
    <row r="33" customFormat="false" ht="15" hidden="false" customHeight="false" outlineLevel="0" collapsed="false">
      <c r="B33" s="26" t="s">
        <v>28</v>
      </c>
      <c r="C33" s="27" t="s">
        <v>96</v>
      </c>
      <c r="D33" s="28" t="n">
        <v>200.66</v>
      </c>
      <c r="E33" s="29" t="n">
        <v>0.21</v>
      </c>
      <c r="F33" s="30" t="n">
        <f aca="false">D33+(D33*E33)</f>
        <v>242.7986</v>
      </c>
      <c r="H33" s="12" t="s">
        <v>20</v>
      </c>
      <c r="I33" s="16" t="n">
        <f aca="false">SUMIF($B$4:$B$2000,H33,$D$4:$D$2000)</f>
        <v>10740.83</v>
      </c>
      <c r="J33" s="16" t="n">
        <f aca="false">K33-I33</f>
        <v>1074.083</v>
      </c>
      <c r="K33" s="14" t="n">
        <f aca="false">SUMIF($B$4:$B$2000,H33,$F$4:$F$2000)</f>
        <v>11814.913</v>
      </c>
    </row>
    <row r="34" customFormat="false" ht="15" hidden="false" customHeight="false" outlineLevel="0" collapsed="false">
      <c r="B34" s="22" t="s">
        <v>28</v>
      </c>
      <c r="C34" s="23" t="s">
        <v>97</v>
      </c>
      <c r="D34" s="16" t="n">
        <v>141.96</v>
      </c>
      <c r="E34" s="24" t="n">
        <v>0.21</v>
      </c>
      <c r="F34" s="14" t="n">
        <f aca="false">D34+(D34*E34)</f>
        <v>171.7716</v>
      </c>
      <c r="H34" s="12" t="s">
        <v>31</v>
      </c>
      <c r="I34" s="16" t="n">
        <f aca="false">SUMIF($B$4:$B$2000,H34,$D$4:$D$2000)</f>
        <v>1568.32</v>
      </c>
      <c r="J34" s="16" t="n">
        <f aca="false">K34-I34</f>
        <v>156.832</v>
      </c>
      <c r="K34" s="14" t="n">
        <f aca="false">SUMIF($B$4:$B$2000,H34,$F$4:$F$2000)</f>
        <v>1725.152</v>
      </c>
    </row>
    <row r="35" customFormat="false" ht="15" hidden="false" customHeight="false" outlineLevel="0" collapsed="false">
      <c r="B35" s="26" t="s">
        <v>28</v>
      </c>
      <c r="C35" s="27" t="s">
        <v>98</v>
      </c>
      <c r="D35" s="28" t="n">
        <v>34.96</v>
      </c>
      <c r="E35" s="29" t="n">
        <v>0.1</v>
      </c>
      <c r="F35" s="30" t="n">
        <f aca="false">D35+(D35*E35)</f>
        <v>38.456</v>
      </c>
      <c r="H35" s="12" t="s">
        <v>45</v>
      </c>
      <c r="I35" s="16" t="n">
        <f aca="false">SUMIF($B$4:$B$2000,H35,$D$4:$D$2000)</f>
        <v>533.74</v>
      </c>
      <c r="J35" s="16" t="n">
        <f aca="false">K35-I35</f>
        <v>53.374</v>
      </c>
      <c r="K35" s="14" t="n">
        <f aca="false">SUMIF($B$4:$B$2000,H35,$F$4:$F$2000)</f>
        <v>587.114</v>
      </c>
    </row>
    <row r="36" customFormat="false" ht="15" hidden="false" customHeight="false" outlineLevel="0" collapsed="false">
      <c r="B36" s="22" t="s">
        <v>28</v>
      </c>
      <c r="C36" s="23" t="s">
        <v>98</v>
      </c>
      <c r="D36" s="16" t="n">
        <v>293.69</v>
      </c>
      <c r="E36" s="24" t="n">
        <v>0.21</v>
      </c>
      <c r="F36" s="14" t="n">
        <f aca="false">D36+(D36*E36)</f>
        <v>355.3649</v>
      </c>
      <c r="H36" s="12" t="s">
        <v>26</v>
      </c>
      <c r="I36" s="16" t="n">
        <f aca="false">SUMIF($B$4:$B$2000,H36,$D$4:$D$2000)</f>
        <v>3291.32</v>
      </c>
      <c r="J36" s="16" t="n">
        <f aca="false">K36-I36</f>
        <v>691.1772</v>
      </c>
      <c r="K36" s="14" t="n">
        <f aca="false">SUMIF($B$4:$B$2000,H36,$F$4:$F$2000)</f>
        <v>3982.4972</v>
      </c>
    </row>
    <row r="37" customFormat="false" ht="15" hidden="false" customHeight="false" outlineLevel="0" collapsed="false">
      <c r="B37" s="26" t="s">
        <v>28</v>
      </c>
      <c r="C37" s="27" t="s">
        <v>99</v>
      </c>
      <c r="D37" s="28" t="n">
        <v>48</v>
      </c>
      <c r="E37" s="29" t="n">
        <v>0.21</v>
      </c>
      <c r="F37" s="30" t="n">
        <f aca="false">D37+(D37*E37)</f>
        <v>58.08</v>
      </c>
      <c r="H37" s="12" t="s">
        <v>44</v>
      </c>
      <c r="I37" s="16" t="n">
        <f aca="false">SUMIF($B$4:$B$2000,H37,$D$4:$D$2000)</f>
        <v>584.97</v>
      </c>
      <c r="J37" s="16" t="n">
        <f aca="false">K37-I37</f>
        <v>31.5294</v>
      </c>
      <c r="K37" s="14" t="n">
        <f aca="false">SUMIF($B$4:$B$2000,H37,$F$4:$F$2000)</f>
        <v>616.4994</v>
      </c>
    </row>
    <row r="38" customFormat="false" ht="15" hidden="false" customHeight="false" outlineLevel="0" collapsed="false">
      <c r="B38" s="22" t="s">
        <v>28</v>
      </c>
      <c r="C38" s="23" t="s">
        <v>100</v>
      </c>
      <c r="D38" s="16" t="n">
        <v>17.48</v>
      </c>
      <c r="E38" s="24" t="n">
        <v>0.1</v>
      </c>
      <c r="F38" s="14" t="n">
        <f aca="false">D38+(D38*E38)</f>
        <v>19.228</v>
      </c>
      <c r="H38" s="12" t="s">
        <v>49</v>
      </c>
      <c r="I38" s="16" t="n">
        <f aca="false">SUMIF($B$4:$B$2000,H38,$D$4:$D$2000)</f>
        <v>270.4</v>
      </c>
      <c r="J38" s="16" t="n">
        <f aca="false">K38-I38</f>
        <v>27.04</v>
      </c>
      <c r="K38" s="14" t="n">
        <f aca="false">SUMIF($B$4:$B$2000,H38,$F$4:$F$2000)</f>
        <v>297.44</v>
      </c>
    </row>
    <row r="39" customFormat="false" ht="15" hidden="false" customHeight="false" outlineLevel="0" collapsed="false">
      <c r="B39" s="26" t="s">
        <v>28</v>
      </c>
      <c r="C39" s="27" t="s">
        <v>100</v>
      </c>
      <c r="D39" s="28" t="n">
        <v>287.64</v>
      </c>
      <c r="E39" s="29" t="n">
        <v>0.21</v>
      </c>
      <c r="F39" s="30" t="n">
        <f aca="false">D39+(D39*E39)</f>
        <v>348.0444</v>
      </c>
      <c r="H39" s="12" t="s">
        <v>52</v>
      </c>
      <c r="I39" s="16" t="n">
        <f aca="false">SUMIF($B$4:$B$2000,H39,$D$4:$D$2000)</f>
        <v>202.8</v>
      </c>
      <c r="J39" s="16" t="n">
        <f aca="false">K39-I39</f>
        <v>42.588</v>
      </c>
      <c r="K39" s="14" t="n">
        <f aca="false">SUMIF($B$4:$B$2000,H39,$F$4:$F$2000)</f>
        <v>245.388</v>
      </c>
    </row>
    <row r="40" customFormat="false" ht="15" hidden="false" customHeight="false" outlineLevel="0" collapsed="false">
      <c r="B40" s="22" t="s">
        <v>28</v>
      </c>
      <c r="C40" s="23" t="s">
        <v>101</v>
      </c>
      <c r="D40" s="16" t="n">
        <v>232.84</v>
      </c>
      <c r="E40" s="24" t="n">
        <v>0.21</v>
      </c>
      <c r="F40" s="14" t="n">
        <f aca="false">D40+(D40*E40)</f>
        <v>281.7364</v>
      </c>
      <c r="H40" s="12" t="s">
        <v>21</v>
      </c>
      <c r="I40" s="16" t="n">
        <f aca="false">SUMIF($B$4:$B$2000,H40,$D$4:$D$2000)</f>
        <v>6546.46</v>
      </c>
      <c r="J40" s="16" t="n">
        <f aca="false">K40-I40</f>
        <v>1269.007</v>
      </c>
      <c r="K40" s="14" t="n">
        <f aca="false">SUMIF($B$4:$B$2000,H40,$F$4:$F$2000)</f>
        <v>7815.467</v>
      </c>
    </row>
    <row r="41" customFormat="false" ht="15" hidden="false" customHeight="false" outlineLevel="0" collapsed="false">
      <c r="B41" s="26" t="s">
        <v>28</v>
      </c>
      <c r="C41" s="27" t="s">
        <v>102</v>
      </c>
      <c r="D41" s="28" t="n">
        <v>484.55</v>
      </c>
      <c r="E41" s="29" t="n">
        <v>0.21</v>
      </c>
      <c r="F41" s="30" t="n">
        <f aca="false">D41+(D41*E41)</f>
        <v>586.3055</v>
      </c>
      <c r="H41" s="31" t="s">
        <v>59</v>
      </c>
      <c r="I41" s="31" t="n">
        <f aca="false">SUM(I4:I40)</f>
        <v>63628.05</v>
      </c>
      <c r="J41" s="31" t="n">
        <f aca="false">SUM(J4:J40)</f>
        <v>8355.597</v>
      </c>
      <c r="K41" s="31" t="n">
        <f aca="false">SUM(K4:K40)</f>
        <v>71983.647</v>
      </c>
    </row>
    <row r="42" customFormat="false" ht="15" hidden="false" customHeight="false" outlineLevel="0" collapsed="false">
      <c r="B42" s="22" t="s">
        <v>28</v>
      </c>
      <c r="C42" s="23" t="s">
        <v>103</v>
      </c>
      <c r="D42" s="16" t="n">
        <v>334.24</v>
      </c>
      <c r="E42" s="24" t="n">
        <v>0.1</v>
      </c>
      <c r="F42" s="14" t="n">
        <f aca="false">D42+(D42*E42)</f>
        <v>367.664</v>
      </c>
    </row>
    <row r="43" customFormat="false" ht="15" hidden="false" customHeight="false" outlineLevel="0" collapsed="false">
      <c r="B43" s="26" t="s">
        <v>28</v>
      </c>
      <c r="C43" s="27" t="s">
        <v>104</v>
      </c>
      <c r="D43" s="28" t="n">
        <v>48</v>
      </c>
      <c r="E43" s="29" t="n">
        <v>0.21</v>
      </c>
      <c r="F43" s="30" t="n">
        <f aca="false">D43+(D43*E43)</f>
        <v>58.08</v>
      </c>
    </row>
    <row r="44" customFormat="false" ht="15" hidden="false" customHeight="false" outlineLevel="0" collapsed="false">
      <c r="B44" s="22" t="s">
        <v>41</v>
      </c>
      <c r="C44" s="23" t="s">
        <v>105</v>
      </c>
      <c r="D44" s="16" t="n">
        <v>347.76</v>
      </c>
      <c r="E44" s="24" t="n">
        <v>0.1</v>
      </c>
      <c r="F44" s="14" t="n">
        <f aca="false">D44+(D44*E44)</f>
        <v>382.536</v>
      </c>
    </row>
    <row r="45" customFormat="false" ht="15" hidden="false" customHeight="false" outlineLevel="0" collapsed="false">
      <c r="B45" s="26" t="s">
        <v>41</v>
      </c>
      <c r="C45" s="27" t="s">
        <v>106</v>
      </c>
      <c r="D45" s="28" t="n">
        <v>357.48</v>
      </c>
      <c r="E45" s="29" t="n">
        <v>0.1</v>
      </c>
      <c r="F45" s="30" t="n">
        <f aca="false">D45+(D45*E45)</f>
        <v>393.228</v>
      </c>
    </row>
    <row r="46" customFormat="false" ht="15" hidden="false" customHeight="false" outlineLevel="0" collapsed="false">
      <c r="B46" s="22" t="s">
        <v>24</v>
      </c>
      <c r="C46" s="23" t="s">
        <v>107</v>
      </c>
      <c r="D46" s="16" t="n">
        <v>719.71</v>
      </c>
      <c r="E46" s="24" t="n">
        <v>0.1</v>
      </c>
      <c r="F46" s="14" t="n">
        <f aca="false">D46+(D46*E46)</f>
        <v>791.681</v>
      </c>
    </row>
    <row r="47" customFormat="false" ht="15" hidden="false" customHeight="false" outlineLevel="0" collapsed="false">
      <c r="B47" s="26" t="s">
        <v>24</v>
      </c>
      <c r="C47" s="27" t="s">
        <v>108</v>
      </c>
      <c r="D47" s="28" t="n">
        <v>993.58</v>
      </c>
      <c r="E47" s="29" t="n">
        <v>0.1</v>
      </c>
      <c r="F47" s="30" t="n">
        <f aca="false">D47+(D47*E47)</f>
        <v>1092.938</v>
      </c>
    </row>
    <row r="48" customFormat="false" ht="15" hidden="false" customHeight="false" outlineLevel="0" collapsed="false">
      <c r="B48" s="22" t="s">
        <v>24</v>
      </c>
      <c r="C48" s="23" t="s">
        <v>109</v>
      </c>
      <c r="D48" s="16" t="n">
        <v>270.32</v>
      </c>
      <c r="E48" s="24" t="n">
        <v>0.1</v>
      </c>
      <c r="F48" s="14" t="n">
        <f aca="false">D48+(D48*E48)</f>
        <v>297.352</v>
      </c>
    </row>
    <row r="49" customFormat="false" ht="15" hidden="false" customHeight="false" outlineLevel="0" collapsed="false">
      <c r="B49" s="26" t="s">
        <v>24</v>
      </c>
      <c r="C49" s="27" t="s">
        <v>110</v>
      </c>
      <c r="D49" s="28" t="n">
        <v>132.5</v>
      </c>
      <c r="E49" s="29" t="n">
        <v>0.1</v>
      </c>
      <c r="F49" s="30" t="n">
        <f aca="false">D49+(D49*E49)</f>
        <v>145.75</v>
      </c>
    </row>
    <row r="50" customFormat="false" ht="15" hidden="false" customHeight="false" outlineLevel="0" collapsed="false">
      <c r="B50" s="22" t="s">
        <v>24</v>
      </c>
      <c r="C50" s="23" t="s">
        <v>111</v>
      </c>
      <c r="D50" s="16" t="n">
        <v>812.77</v>
      </c>
      <c r="E50" s="24" t="n">
        <v>0.1</v>
      </c>
      <c r="F50" s="14" t="n">
        <f aca="false">D50+(D50*E50)</f>
        <v>894.047</v>
      </c>
    </row>
    <row r="51" customFormat="false" ht="15" hidden="false" customHeight="false" outlineLevel="0" collapsed="false">
      <c r="B51" s="26" t="s">
        <v>24</v>
      </c>
      <c r="C51" s="27" t="s">
        <v>112</v>
      </c>
      <c r="D51" s="28" t="n">
        <v>229.16</v>
      </c>
      <c r="E51" s="29" t="n">
        <v>0.1</v>
      </c>
      <c r="F51" s="30" t="n">
        <f aca="false">D51+(D51*E51)</f>
        <v>252.076</v>
      </c>
    </row>
    <row r="52" customFormat="false" ht="15" hidden="false" customHeight="false" outlineLevel="0" collapsed="false">
      <c r="B52" s="22" t="s">
        <v>24</v>
      </c>
      <c r="C52" s="23" t="s">
        <v>113</v>
      </c>
      <c r="D52" s="16" t="n">
        <v>581.88</v>
      </c>
      <c r="E52" s="24" t="n">
        <v>0.1</v>
      </c>
      <c r="F52" s="14" t="n">
        <f aca="false">D52+(D52*E52)</f>
        <v>640.068</v>
      </c>
    </row>
    <row r="53" customFormat="false" ht="15" hidden="false" customHeight="false" outlineLevel="0" collapsed="false">
      <c r="B53" s="26" t="s">
        <v>37</v>
      </c>
      <c r="C53" s="27" t="s">
        <v>114</v>
      </c>
      <c r="D53" s="28" t="n">
        <v>84.6</v>
      </c>
      <c r="E53" s="29" t="n">
        <v>0.1</v>
      </c>
      <c r="F53" s="30" t="n">
        <f aca="false">D53+(D53*E53)</f>
        <v>93.06</v>
      </c>
    </row>
    <row r="54" customFormat="false" ht="15" hidden="false" customHeight="false" outlineLevel="0" collapsed="false">
      <c r="B54" s="22" t="s">
        <v>37</v>
      </c>
      <c r="C54" s="23" t="s">
        <v>115</v>
      </c>
      <c r="D54" s="16" t="n">
        <v>172.3</v>
      </c>
      <c r="E54" s="24" t="n">
        <v>0.1</v>
      </c>
      <c r="F54" s="14" t="n">
        <f aca="false">D54+(D54*E54)</f>
        <v>189.53</v>
      </c>
    </row>
    <row r="55" customFormat="false" ht="15" hidden="false" customHeight="false" outlineLevel="0" collapsed="false">
      <c r="B55" s="26" t="s">
        <v>37</v>
      </c>
      <c r="C55" s="27" t="s">
        <v>116</v>
      </c>
      <c r="D55" s="28" t="n">
        <v>57.09</v>
      </c>
      <c r="E55" s="29" t="n">
        <v>0.1</v>
      </c>
      <c r="F55" s="30" t="n">
        <f aca="false">D55+(D55*E55)</f>
        <v>62.799</v>
      </c>
    </row>
    <row r="56" customFormat="false" ht="15" hidden="false" customHeight="false" outlineLevel="0" collapsed="false">
      <c r="B56" s="22" t="s">
        <v>37</v>
      </c>
      <c r="C56" s="23" t="s">
        <v>117</v>
      </c>
      <c r="D56" s="16" t="n">
        <v>208.55</v>
      </c>
      <c r="E56" s="24" t="n">
        <v>0.1</v>
      </c>
      <c r="F56" s="14" t="n">
        <f aca="false">D56+(D56*E56)</f>
        <v>229.405</v>
      </c>
    </row>
    <row r="57" customFormat="false" ht="15" hidden="false" customHeight="false" outlineLevel="0" collapsed="false">
      <c r="B57" s="26" t="s">
        <v>37</v>
      </c>
      <c r="C57" s="27" t="s">
        <v>118</v>
      </c>
      <c r="D57" s="28" t="n">
        <v>77.44</v>
      </c>
      <c r="E57" s="29" t="n">
        <v>0.1</v>
      </c>
      <c r="F57" s="30" t="n">
        <f aca="false">D57+(D57*E57)</f>
        <v>85.184</v>
      </c>
    </row>
    <row r="58" customFormat="false" ht="15" hidden="false" customHeight="false" outlineLevel="0" collapsed="false">
      <c r="B58" s="22" t="s">
        <v>37</v>
      </c>
      <c r="C58" s="23" t="s">
        <v>119</v>
      </c>
      <c r="D58" s="16" t="n">
        <v>71.4</v>
      </c>
      <c r="E58" s="24" t="n">
        <v>0.1</v>
      </c>
      <c r="F58" s="14" t="n">
        <f aca="false">D58+(D58*E58)</f>
        <v>78.54</v>
      </c>
    </row>
    <row r="59" customFormat="false" ht="15" hidden="false" customHeight="false" outlineLevel="0" collapsed="false">
      <c r="B59" s="26" t="s">
        <v>37</v>
      </c>
      <c r="C59" s="27" t="s">
        <v>120</v>
      </c>
      <c r="D59" s="28" t="n">
        <v>64.04</v>
      </c>
      <c r="E59" s="29" t="n">
        <v>0.1</v>
      </c>
      <c r="F59" s="30" t="n">
        <f aca="false">D59+(D59*E59)</f>
        <v>70.444</v>
      </c>
    </row>
    <row r="60" customFormat="false" ht="15" hidden="false" customHeight="false" outlineLevel="0" collapsed="false">
      <c r="B60" s="22" t="s">
        <v>37</v>
      </c>
      <c r="C60" s="23" t="s">
        <v>121</v>
      </c>
      <c r="D60" s="16" t="n">
        <v>161.49</v>
      </c>
      <c r="E60" s="24" t="n">
        <v>0.1</v>
      </c>
      <c r="F60" s="14" t="n">
        <f aca="false">D60+(D60*E60)</f>
        <v>177.639</v>
      </c>
    </row>
    <row r="61" customFormat="false" ht="15" hidden="false" customHeight="false" outlineLevel="0" collapsed="false">
      <c r="B61" s="26" t="s">
        <v>37</v>
      </c>
      <c r="C61" s="27" t="s">
        <v>122</v>
      </c>
      <c r="D61" s="28" t="n">
        <v>189.12</v>
      </c>
      <c r="E61" s="29" t="n">
        <v>0.1</v>
      </c>
      <c r="F61" s="30" t="n">
        <f aca="false">D61+(D61*E61)</f>
        <v>208.032</v>
      </c>
    </row>
    <row r="62" customFormat="false" ht="15" hidden="false" customHeight="false" outlineLevel="0" collapsed="false">
      <c r="B62" s="22" t="s">
        <v>29</v>
      </c>
      <c r="C62" s="23" t="s">
        <v>123</v>
      </c>
      <c r="D62" s="16" t="n">
        <v>78</v>
      </c>
      <c r="E62" s="24" t="n">
        <v>0.1</v>
      </c>
      <c r="F62" s="14" t="n">
        <f aca="false">D62+(D62*E62)</f>
        <v>85.8</v>
      </c>
    </row>
    <row r="63" customFormat="false" ht="15" hidden="false" customHeight="false" outlineLevel="0" collapsed="false">
      <c r="B63" s="26" t="s">
        <v>29</v>
      </c>
      <c r="C63" s="27" t="s">
        <v>124</v>
      </c>
      <c r="D63" s="28" t="n">
        <v>156</v>
      </c>
      <c r="E63" s="29" t="n">
        <v>0.1</v>
      </c>
      <c r="F63" s="30" t="n">
        <f aca="false">D63+(D63*E63)</f>
        <v>171.6</v>
      </c>
    </row>
    <row r="64" customFormat="false" ht="15" hidden="false" customHeight="false" outlineLevel="0" collapsed="false">
      <c r="B64" s="22" t="s">
        <v>29</v>
      </c>
      <c r="C64" s="23" t="s">
        <v>125</v>
      </c>
      <c r="D64" s="16" t="n">
        <v>288.46</v>
      </c>
      <c r="E64" s="24" t="n">
        <v>0.1</v>
      </c>
      <c r="F64" s="14" t="n">
        <f aca="false">D64+(D64*E64)</f>
        <v>317.306</v>
      </c>
    </row>
    <row r="65" customFormat="false" ht="15" hidden="false" customHeight="false" outlineLevel="0" collapsed="false">
      <c r="B65" s="26" t="s">
        <v>29</v>
      </c>
      <c r="C65" s="27" t="s">
        <v>126</v>
      </c>
      <c r="D65" s="28" t="n">
        <v>156</v>
      </c>
      <c r="E65" s="29" t="n">
        <v>0.1</v>
      </c>
      <c r="F65" s="30" t="n">
        <f aca="false">D65+(D65*E65)</f>
        <v>171.6</v>
      </c>
    </row>
    <row r="66" customFormat="false" ht="15" hidden="false" customHeight="false" outlineLevel="0" collapsed="false">
      <c r="B66" s="22" t="s">
        <v>29</v>
      </c>
      <c r="C66" s="23" t="s">
        <v>127</v>
      </c>
      <c r="D66" s="16" t="n">
        <v>78</v>
      </c>
      <c r="E66" s="24" t="n">
        <v>0.1</v>
      </c>
      <c r="F66" s="14" t="n">
        <f aca="false">D66+(D66*E66)</f>
        <v>85.8</v>
      </c>
    </row>
    <row r="67" customFormat="false" ht="15" hidden="false" customHeight="false" outlineLevel="0" collapsed="false">
      <c r="B67" s="26" t="s">
        <v>29</v>
      </c>
      <c r="C67" s="27" t="s">
        <v>128</v>
      </c>
      <c r="D67" s="28" t="n">
        <v>90</v>
      </c>
      <c r="E67" s="29" t="n">
        <v>0.1</v>
      </c>
      <c r="F67" s="30" t="n">
        <f aca="false">D67+(D67*E67)</f>
        <v>99</v>
      </c>
    </row>
    <row r="68" customFormat="false" ht="15" hidden="false" customHeight="false" outlineLevel="0" collapsed="false">
      <c r="B68" s="22" t="s">
        <v>29</v>
      </c>
      <c r="C68" s="23" t="s">
        <v>129</v>
      </c>
      <c r="D68" s="16" t="n">
        <v>78</v>
      </c>
      <c r="E68" s="24" t="n">
        <v>0.1</v>
      </c>
      <c r="F68" s="14" t="n">
        <f aca="false">D68+(D68*E68)</f>
        <v>85.8</v>
      </c>
    </row>
    <row r="69" customFormat="false" ht="15" hidden="false" customHeight="false" outlineLevel="0" collapsed="false">
      <c r="B69" s="26" t="s">
        <v>29</v>
      </c>
      <c r="C69" s="27" t="s">
        <v>130</v>
      </c>
      <c r="D69" s="28" t="n">
        <v>78</v>
      </c>
      <c r="E69" s="29" t="n">
        <v>0.1</v>
      </c>
      <c r="F69" s="30" t="n">
        <f aca="false">D69+(D69*E69)</f>
        <v>85.8</v>
      </c>
    </row>
    <row r="70" customFormat="false" ht="15" hidden="false" customHeight="false" outlineLevel="0" collapsed="false">
      <c r="B70" s="22" t="s">
        <v>29</v>
      </c>
      <c r="C70" s="23" t="s">
        <v>131</v>
      </c>
      <c r="D70" s="16" t="n">
        <v>198</v>
      </c>
      <c r="E70" s="24" t="n">
        <v>0.1</v>
      </c>
      <c r="F70" s="14" t="n">
        <f aca="false">D70+(D70*E70)</f>
        <v>217.8</v>
      </c>
    </row>
    <row r="71" customFormat="false" ht="15" hidden="false" customHeight="false" outlineLevel="0" collapsed="false">
      <c r="B71" s="26" t="s">
        <v>29</v>
      </c>
      <c r="C71" s="27" t="s">
        <v>132</v>
      </c>
      <c r="D71" s="28" t="n">
        <v>156</v>
      </c>
      <c r="E71" s="29" t="n">
        <v>0.1</v>
      </c>
      <c r="F71" s="30" t="n">
        <f aca="false">D71+(D71*E71)</f>
        <v>171.6</v>
      </c>
    </row>
    <row r="72" customFormat="false" ht="15" hidden="false" customHeight="false" outlineLevel="0" collapsed="false">
      <c r="B72" s="22" t="s">
        <v>29</v>
      </c>
      <c r="C72" s="23" t="s">
        <v>133</v>
      </c>
      <c r="D72" s="16" t="n">
        <v>78</v>
      </c>
      <c r="E72" s="24" t="n">
        <v>0.1</v>
      </c>
      <c r="F72" s="14" t="n">
        <f aca="false">D72+(D72*E72)</f>
        <v>85.8</v>
      </c>
    </row>
    <row r="73" customFormat="false" ht="15" hidden="false" customHeight="false" outlineLevel="0" collapsed="false">
      <c r="B73" s="26" t="s">
        <v>29</v>
      </c>
      <c r="C73" s="27" t="s">
        <v>134</v>
      </c>
      <c r="D73" s="28" t="n">
        <v>120</v>
      </c>
      <c r="E73" s="29" t="n">
        <v>0.1</v>
      </c>
      <c r="F73" s="30" t="n">
        <f aca="false">D73+(D73*E73)</f>
        <v>132</v>
      </c>
    </row>
    <row r="74" customFormat="false" ht="15" hidden="false" customHeight="false" outlineLevel="0" collapsed="false">
      <c r="B74" s="22" t="s">
        <v>29</v>
      </c>
      <c r="C74" s="23" t="s">
        <v>135</v>
      </c>
      <c r="D74" s="16" t="n">
        <v>156</v>
      </c>
      <c r="E74" s="24" t="n">
        <v>0.1</v>
      </c>
      <c r="F74" s="14" t="n">
        <f aca="false">D74+(D74*E74)</f>
        <v>171.6</v>
      </c>
    </row>
    <row r="75" customFormat="false" ht="15" hidden="false" customHeight="false" outlineLevel="0" collapsed="false">
      <c r="B75" s="26" t="s">
        <v>29</v>
      </c>
      <c r="C75" s="27" t="s">
        <v>136</v>
      </c>
      <c r="D75" s="28" t="n">
        <v>78</v>
      </c>
      <c r="E75" s="29" t="n">
        <v>0.1</v>
      </c>
      <c r="F75" s="30" t="n">
        <f aca="false">D75+(D75*E75)</f>
        <v>85.8</v>
      </c>
    </row>
    <row r="76" customFormat="false" ht="15" hidden="false" customHeight="false" outlineLevel="0" collapsed="false">
      <c r="B76" s="22" t="s">
        <v>29</v>
      </c>
      <c r="C76" s="23" t="s">
        <v>137</v>
      </c>
      <c r="D76" s="16" t="n">
        <v>104</v>
      </c>
      <c r="E76" s="24" t="n">
        <v>0.1</v>
      </c>
      <c r="F76" s="14" t="n">
        <f aca="false">D76+(D76*E76)</f>
        <v>114.4</v>
      </c>
    </row>
    <row r="77" customFormat="false" ht="15" hidden="false" customHeight="false" outlineLevel="0" collapsed="false">
      <c r="B77" s="26" t="s">
        <v>29</v>
      </c>
      <c r="C77" s="27" t="s">
        <v>138</v>
      </c>
      <c r="D77" s="28" t="n">
        <v>78</v>
      </c>
      <c r="E77" s="29" t="n">
        <v>0.1</v>
      </c>
      <c r="F77" s="30" t="n">
        <f aca="false">D77+(D77*E77)</f>
        <v>85.8</v>
      </c>
    </row>
    <row r="78" customFormat="false" ht="15" hidden="false" customHeight="false" outlineLevel="0" collapsed="false">
      <c r="B78" s="22" t="s">
        <v>38</v>
      </c>
      <c r="C78" s="23" t="s">
        <v>139</v>
      </c>
      <c r="D78" s="16" t="n">
        <v>105.36</v>
      </c>
      <c r="E78" s="24" t="n">
        <v>0.04</v>
      </c>
      <c r="F78" s="14" t="n">
        <f aca="false">D78+(D78*E78)</f>
        <v>109.5744</v>
      </c>
    </row>
    <row r="79" customFormat="false" ht="15" hidden="false" customHeight="false" outlineLevel="0" collapsed="false">
      <c r="B79" s="26" t="s">
        <v>38</v>
      </c>
      <c r="C79" s="27" t="s">
        <v>140</v>
      </c>
      <c r="D79" s="28" t="n">
        <v>88.09</v>
      </c>
      <c r="E79" s="29" t="n">
        <v>0.1</v>
      </c>
      <c r="F79" s="30" t="n">
        <f aca="false">D79+(D79*E79)</f>
        <v>96.899</v>
      </c>
    </row>
    <row r="80" customFormat="false" ht="15" hidden="false" customHeight="false" outlineLevel="0" collapsed="false">
      <c r="B80" s="22" t="s">
        <v>38</v>
      </c>
      <c r="C80" s="23" t="s">
        <v>140</v>
      </c>
      <c r="D80" s="16" t="n">
        <v>76.15</v>
      </c>
      <c r="E80" s="24" t="n">
        <v>0.04</v>
      </c>
      <c r="F80" s="14" t="n">
        <f aca="false">D80+(D80*E80)</f>
        <v>79.196</v>
      </c>
    </row>
    <row r="81" customFormat="false" ht="15" hidden="false" customHeight="false" outlineLevel="0" collapsed="false">
      <c r="B81" s="26" t="s">
        <v>38</v>
      </c>
      <c r="C81" s="27" t="s">
        <v>141</v>
      </c>
      <c r="D81" s="28" t="n">
        <v>105.17</v>
      </c>
      <c r="E81" s="29" t="n">
        <v>0.04</v>
      </c>
      <c r="F81" s="30" t="n">
        <f aca="false">D81+(D81*E81)</f>
        <v>109.3768</v>
      </c>
    </row>
    <row r="82" customFormat="false" ht="15" hidden="false" customHeight="false" outlineLevel="0" collapsed="false">
      <c r="B82" s="22" t="s">
        <v>38</v>
      </c>
      <c r="C82" s="23" t="s">
        <v>142</v>
      </c>
      <c r="D82" s="16" t="n">
        <v>88.09</v>
      </c>
      <c r="E82" s="24" t="n">
        <v>0.1</v>
      </c>
      <c r="F82" s="14" t="n">
        <f aca="false">D82+(D82*E82)</f>
        <v>96.899</v>
      </c>
    </row>
    <row r="83" customFormat="false" ht="15" hidden="false" customHeight="false" outlineLevel="0" collapsed="false">
      <c r="B83" s="26" t="s">
        <v>38</v>
      </c>
      <c r="C83" s="27" t="s">
        <v>142</v>
      </c>
      <c r="D83" s="28" t="n">
        <v>75.96</v>
      </c>
      <c r="E83" s="29" t="n">
        <v>0.04</v>
      </c>
      <c r="F83" s="30" t="n">
        <f aca="false">D83+(D83*E83)</f>
        <v>78.9984</v>
      </c>
    </row>
    <row r="84" customFormat="false" ht="15" hidden="false" customHeight="false" outlineLevel="0" collapsed="false">
      <c r="B84" s="22" t="s">
        <v>38</v>
      </c>
      <c r="C84" s="23" t="s">
        <v>143</v>
      </c>
      <c r="D84" s="16" t="n">
        <v>35.46</v>
      </c>
      <c r="E84" s="24" t="n">
        <v>0.04</v>
      </c>
      <c r="F84" s="14" t="n">
        <f aca="false">D84+(D84*E84)</f>
        <v>36.8784</v>
      </c>
    </row>
    <row r="85" customFormat="false" ht="15" hidden="false" customHeight="false" outlineLevel="0" collapsed="false">
      <c r="B85" s="26" t="s">
        <v>38</v>
      </c>
      <c r="C85" s="27" t="s">
        <v>144</v>
      </c>
      <c r="D85" s="28" t="n">
        <v>93.88</v>
      </c>
      <c r="E85" s="29" t="n">
        <v>0.04</v>
      </c>
      <c r="F85" s="30" t="n">
        <f aca="false">D85+(D85*E85)</f>
        <v>97.6352</v>
      </c>
    </row>
    <row r="86" customFormat="false" ht="15" hidden="false" customHeight="false" outlineLevel="0" collapsed="false">
      <c r="B86" s="22" t="s">
        <v>38</v>
      </c>
      <c r="C86" s="23" t="s">
        <v>145</v>
      </c>
      <c r="D86" s="16" t="n">
        <v>88.09</v>
      </c>
      <c r="E86" s="24" t="n">
        <v>0.1</v>
      </c>
      <c r="F86" s="14" t="n">
        <f aca="false">D86+(D86*E86)</f>
        <v>96.899</v>
      </c>
    </row>
    <row r="87" customFormat="false" ht="15" hidden="false" customHeight="false" outlineLevel="0" collapsed="false">
      <c r="B87" s="26" t="s">
        <v>38</v>
      </c>
      <c r="C87" s="27" t="s">
        <v>145</v>
      </c>
      <c r="D87" s="28" t="n">
        <v>93.88</v>
      </c>
      <c r="E87" s="29" t="n">
        <v>0.04</v>
      </c>
      <c r="F87" s="30" t="n">
        <f aca="false">D87+(D87*E87)</f>
        <v>97.6352</v>
      </c>
    </row>
    <row r="88" customFormat="false" ht="15" hidden="false" customHeight="false" outlineLevel="0" collapsed="false">
      <c r="B88" s="22" t="s">
        <v>38</v>
      </c>
      <c r="C88" s="23" t="s">
        <v>146</v>
      </c>
      <c r="D88" s="16" t="n">
        <v>88.65</v>
      </c>
      <c r="E88" s="24" t="n">
        <v>0.04</v>
      </c>
      <c r="F88" s="14" t="n">
        <f aca="false">D88+(D88*E88)</f>
        <v>92.196</v>
      </c>
    </row>
    <row r="89" customFormat="false" ht="15" hidden="false" customHeight="false" outlineLevel="0" collapsed="false">
      <c r="B89" s="26" t="s">
        <v>38</v>
      </c>
      <c r="C89" s="27" t="s">
        <v>147</v>
      </c>
      <c r="D89" s="28" t="n">
        <v>93.88</v>
      </c>
      <c r="E89" s="29" t="n">
        <v>0.04</v>
      </c>
      <c r="F89" s="30" t="n">
        <f aca="false">D89+(D89*E89)</f>
        <v>97.6352</v>
      </c>
    </row>
    <row r="90" customFormat="false" ht="15" hidden="false" customHeight="false" outlineLevel="0" collapsed="false">
      <c r="B90" s="22" t="s">
        <v>34</v>
      </c>
      <c r="C90" s="23" t="s">
        <v>148</v>
      </c>
      <c r="D90" s="16" t="n">
        <v>152</v>
      </c>
      <c r="E90" s="24" t="n">
        <v>0.1</v>
      </c>
      <c r="F90" s="14" t="n">
        <f aca="false">D90+(D90*E90)</f>
        <v>167.2</v>
      </c>
    </row>
    <row r="91" customFormat="false" ht="15" hidden="false" customHeight="false" outlineLevel="0" collapsed="false">
      <c r="B91" s="26" t="s">
        <v>34</v>
      </c>
      <c r="C91" s="27" t="s">
        <v>149</v>
      </c>
      <c r="D91" s="28" t="n">
        <v>83</v>
      </c>
      <c r="E91" s="29" t="n">
        <v>0.1</v>
      </c>
      <c r="F91" s="30" t="n">
        <f aca="false">D91+(D91*E91)</f>
        <v>91.3</v>
      </c>
    </row>
    <row r="92" customFormat="false" ht="15" hidden="false" customHeight="false" outlineLevel="0" collapsed="false">
      <c r="B92" s="22" t="s">
        <v>34</v>
      </c>
      <c r="C92" s="23" t="s">
        <v>150</v>
      </c>
      <c r="D92" s="16" t="n">
        <v>314</v>
      </c>
      <c r="E92" s="24" t="n">
        <v>0.1</v>
      </c>
      <c r="F92" s="14" t="n">
        <f aca="false">D92+(D92*E92)</f>
        <v>345.4</v>
      </c>
    </row>
    <row r="93" customFormat="false" ht="15" hidden="false" customHeight="false" outlineLevel="0" collapsed="false">
      <c r="B93" s="26" t="s">
        <v>34</v>
      </c>
      <c r="C93" s="27" t="s">
        <v>151</v>
      </c>
      <c r="D93" s="28" t="n">
        <v>193.5</v>
      </c>
      <c r="E93" s="29" t="n">
        <v>0.1</v>
      </c>
      <c r="F93" s="30" t="n">
        <f aca="false">D93+(D93*E93)</f>
        <v>212.85</v>
      </c>
    </row>
    <row r="94" customFormat="false" ht="15" hidden="false" customHeight="false" outlineLevel="0" collapsed="false">
      <c r="B94" s="22" t="s">
        <v>34</v>
      </c>
      <c r="C94" s="23" t="s">
        <v>152</v>
      </c>
      <c r="D94" s="16" t="n">
        <v>276.5</v>
      </c>
      <c r="E94" s="24" t="n">
        <v>0.1</v>
      </c>
      <c r="F94" s="14" t="n">
        <f aca="false">D94+(D94*E94)</f>
        <v>304.15</v>
      </c>
    </row>
    <row r="95" customFormat="false" ht="15" hidden="false" customHeight="false" outlineLevel="0" collapsed="false">
      <c r="B95" s="26" t="s">
        <v>34</v>
      </c>
      <c r="C95" s="27" t="s">
        <v>153</v>
      </c>
      <c r="D95" s="28" t="n">
        <v>276.5</v>
      </c>
      <c r="E95" s="29" t="n">
        <v>0.1</v>
      </c>
      <c r="F95" s="30" t="n">
        <f aca="false">D95+(D95*E95)</f>
        <v>304.15</v>
      </c>
    </row>
    <row r="96" customFormat="false" ht="15" hidden="false" customHeight="false" outlineLevel="0" collapsed="false">
      <c r="B96" s="22" t="s">
        <v>27</v>
      </c>
      <c r="C96" s="23" t="s">
        <v>154</v>
      </c>
      <c r="D96" s="16" t="n">
        <v>137.04</v>
      </c>
      <c r="E96" s="24" t="n">
        <v>0.21</v>
      </c>
      <c r="F96" s="14" t="n">
        <f aca="false">D96+(D96*E96)</f>
        <v>165.8184</v>
      </c>
    </row>
    <row r="97" customFormat="false" ht="15" hidden="false" customHeight="false" outlineLevel="0" collapsed="false">
      <c r="B97" s="26" t="s">
        <v>27</v>
      </c>
      <c r="C97" s="27" t="s">
        <v>155</v>
      </c>
      <c r="D97" s="28" t="n">
        <v>488.88</v>
      </c>
      <c r="E97" s="29" t="n">
        <v>0.21</v>
      </c>
      <c r="F97" s="30" t="n">
        <f aca="false">D97+(D97*E97)</f>
        <v>591.5448</v>
      </c>
    </row>
    <row r="98" customFormat="false" ht="15" hidden="false" customHeight="false" outlineLevel="0" collapsed="false">
      <c r="B98" s="22" t="s">
        <v>27</v>
      </c>
      <c r="C98" s="23" t="s">
        <v>156</v>
      </c>
      <c r="D98" s="16" t="n">
        <v>799.08</v>
      </c>
      <c r="E98" s="24" t="n">
        <v>0.21</v>
      </c>
      <c r="F98" s="14" t="n">
        <f aca="false">D98+(D98*E98)</f>
        <v>966.8868</v>
      </c>
    </row>
    <row r="99" customFormat="false" ht="15" hidden="false" customHeight="false" outlineLevel="0" collapsed="false">
      <c r="B99" s="26" t="s">
        <v>27</v>
      </c>
      <c r="C99" s="27" t="s">
        <v>157</v>
      </c>
      <c r="D99" s="28" t="n">
        <v>411.12</v>
      </c>
      <c r="E99" s="29" t="n">
        <v>0.21</v>
      </c>
      <c r="F99" s="30" t="n">
        <f aca="false">D99+(D99*E99)</f>
        <v>497.4552</v>
      </c>
    </row>
    <row r="100" customFormat="false" ht="15" hidden="false" customHeight="false" outlineLevel="0" collapsed="false">
      <c r="B100" s="22" t="s">
        <v>27</v>
      </c>
      <c r="C100" s="23" t="s">
        <v>158</v>
      </c>
      <c r="D100" s="16" t="n">
        <v>765.48</v>
      </c>
      <c r="E100" s="24" t="n">
        <v>0.21</v>
      </c>
      <c r="F100" s="14" t="n">
        <f aca="false">D100+(D100*E100)</f>
        <v>926.2308</v>
      </c>
    </row>
    <row r="101" customFormat="false" ht="15" hidden="false" customHeight="false" outlineLevel="0" collapsed="false">
      <c r="B101" s="26" t="s">
        <v>27</v>
      </c>
      <c r="C101" s="27" t="s">
        <v>159</v>
      </c>
      <c r="D101" s="28" t="n">
        <v>530.04</v>
      </c>
      <c r="E101" s="29" t="n">
        <v>0.21</v>
      </c>
      <c r="F101" s="30" t="n">
        <f aca="false">D101+(D101*E101)</f>
        <v>641.3484</v>
      </c>
    </row>
    <row r="102" customFormat="false" ht="15" hidden="false" customHeight="false" outlineLevel="0" collapsed="false">
      <c r="B102" s="22" t="s">
        <v>42</v>
      </c>
      <c r="C102" s="23" t="s">
        <v>160</v>
      </c>
      <c r="D102" s="16" t="n">
        <v>138.43</v>
      </c>
      <c r="E102" s="24" t="n">
        <v>0.21</v>
      </c>
      <c r="F102" s="14" t="n">
        <f aca="false">D102+(D102*E102)</f>
        <v>167.5003</v>
      </c>
    </row>
    <row r="103" customFormat="false" ht="15" hidden="false" customHeight="false" outlineLevel="0" collapsed="false">
      <c r="B103" s="26" t="s">
        <v>42</v>
      </c>
      <c r="C103" s="27" t="s">
        <v>161</v>
      </c>
      <c r="D103" s="28" t="n">
        <v>134</v>
      </c>
      <c r="E103" s="29" t="n">
        <v>0.1</v>
      </c>
      <c r="F103" s="30" t="n">
        <f aca="false">D103+(D103*E103)</f>
        <v>147.4</v>
      </c>
    </row>
    <row r="104" customFormat="false" ht="15" hidden="false" customHeight="false" outlineLevel="0" collapsed="false">
      <c r="B104" s="22" t="s">
        <v>42</v>
      </c>
      <c r="C104" s="23" t="s">
        <v>162</v>
      </c>
      <c r="D104" s="16" t="n">
        <v>149.06</v>
      </c>
      <c r="E104" s="24" t="n">
        <v>0.21</v>
      </c>
      <c r="F104" s="14" t="n">
        <f aca="false">D104+(D104*E104)</f>
        <v>180.3626</v>
      </c>
    </row>
    <row r="105" customFormat="false" ht="15" hidden="false" customHeight="false" outlineLevel="0" collapsed="false">
      <c r="B105" s="26" t="s">
        <v>42</v>
      </c>
      <c r="C105" s="27" t="s">
        <v>163</v>
      </c>
      <c r="D105" s="28" t="n">
        <v>180.19</v>
      </c>
      <c r="E105" s="29" t="n">
        <v>0.21</v>
      </c>
      <c r="F105" s="30" t="n">
        <f aca="false">D105+(D105*E105)</f>
        <v>218.0299</v>
      </c>
    </row>
    <row r="106" customFormat="false" ht="15" hidden="false" customHeight="false" outlineLevel="0" collapsed="false">
      <c r="B106" s="22" t="s">
        <v>42</v>
      </c>
      <c r="C106" s="23" t="s">
        <v>164</v>
      </c>
      <c r="D106" s="16" t="n">
        <v>44.9</v>
      </c>
      <c r="E106" s="24" t="n">
        <v>0.21</v>
      </c>
      <c r="F106" s="14" t="n">
        <f aca="false">D106+(D106*E106)</f>
        <v>54.329</v>
      </c>
    </row>
    <row r="107" customFormat="false" ht="15" hidden="false" customHeight="false" outlineLevel="0" collapsed="false">
      <c r="B107" s="26" t="s">
        <v>35</v>
      </c>
      <c r="C107" s="27" t="s">
        <v>165</v>
      </c>
      <c r="D107" s="28" t="n">
        <v>109</v>
      </c>
      <c r="E107" s="29" t="n">
        <v>0.1</v>
      </c>
      <c r="F107" s="30" t="n">
        <f aca="false">D107+(D107*E107)</f>
        <v>119.9</v>
      </c>
    </row>
    <row r="108" customFormat="false" ht="15" hidden="false" customHeight="false" outlineLevel="0" collapsed="false">
      <c r="B108" s="22" t="s">
        <v>35</v>
      </c>
      <c r="C108" s="23" t="s">
        <v>166</v>
      </c>
      <c r="D108" s="16" t="n">
        <v>288</v>
      </c>
      <c r="E108" s="24" t="n">
        <v>0.1</v>
      </c>
      <c r="F108" s="14" t="n">
        <f aca="false">D108+(D108*E108)</f>
        <v>316.8</v>
      </c>
    </row>
    <row r="109" customFormat="false" ht="15" hidden="false" customHeight="false" outlineLevel="0" collapsed="false">
      <c r="B109" s="26" t="s">
        <v>35</v>
      </c>
      <c r="C109" s="27" t="s">
        <v>167</v>
      </c>
      <c r="D109" s="28" t="n">
        <v>144</v>
      </c>
      <c r="E109" s="29" t="n">
        <v>0.1</v>
      </c>
      <c r="F109" s="30" t="n">
        <f aca="false">D109+(D109*E109)</f>
        <v>158.4</v>
      </c>
    </row>
    <row r="110" customFormat="false" ht="15" hidden="false" customHeight="false" outlineLevel="0" collapsed="false">
      <c r="B110" s="22" t="s">
        <v>35</v>
      </c>
      <c r="C110" s="23" t="s">
        <v>168</v>
      </c>
      <c r="D110" s="16" t="n">
        <v>72</v>
      </c>
      <c r="E110" s="24" t="n">
        <v>0.1</v>
      </c>
      <c r="F110" s="14" t="n">
        <f aca="false">D110+(D110*E110)</f>
        <v>79.2</v>
      </c>
    </row>
    <row r="111" customFormat="false" ht="15" hidden="false" customHeight="false" outlineLevel="0" collapsed="false">
      <c r="B111" s="26" t="s">
        <v>35</v>
      </c>
      <c r="C111" s="27" t="s">
        <v>169</v>
      </c>
      <c r="D111" s="28" t="n">
        <v>216</v>
      </c>
      <c r="E111" s="29" t="n">
        <v>0.1</v>
      </c>
      <c r="F111" s="30" t="n">
        <f aca="false">D111+(D111*E111)</f>
        <v>237.6</v>
      </c>
    </row>
    <row r="112" customFormat="false" ht="15" hidden="false" customHeight="false" outlineLevel="0" collapsed="false">
      <c r="B112" s="22" t="s">
        <v>35</v>
      </c>
      <c r="C112" s="23" t="s">
        <v>170</v>
      </c>
      <c r="D112" s="16" t="n">
        <v>216</v>
      </c>
      <c r="E112" s="24" t="n">
        <v>0.1</v>
      </c>
      <c r="F112" s="14" t="n">
        <f aca="false">D112+(D112*E112)</f>
        <v>237.6</v>
      </c>
    </row>
    <row r="113" customFormat="false" ht="15" hidden="false" customHeight="false" outlineLevel="0" collapsed="false">
      <c r="B113" s="26" t="s">
        <v>35</v>
      </c>
      <c r="C113" s="27" t="s">
        <v>171</v>
      </c>
      <c r="D113" s="28" t="n">
        <v>144</v>
      </c>
      <c r="E113" s="29" t="n">
        <v>0.1</v>
      </c>
      <c r="F113" s="30" t="n">
        <f aca="false">D113+(D113*E113)</f>
        <v>158.4</v>
      </c>
    </row>
    <row r="114" customFormat="false" ht="15" hidden="false" customHeight="false" outlineLevel="0" collapsed="false">
      <c r="B114" s="22" t="s">
        <v>53</v>
      </c>
      <c r="C114" s="23" t="s">
        <v>172</v>
      </c>
      <c r="D114" s="16" t="n">
        <v>78.9</v>
      </c>
      <c r="E114" s="24" t="n">
        <v>0.1</v>
      </c>
      <c r="F114" s="14" t="n">
        <f aca="false">D114+(D114*E114)</f>
        <v>86.79</v>
      </c>
    </row>
    <row r="115" customFormat="false" ht="15" hidden="false" customHeight="false" outlineLevel="0" collapsed="false">
      <c r="B115" s="26" t="s">
        <v>53</v>
      </c>
      <c r="C115" s="27" t="s">
        <v>173</v>
      </c>
      <c r="D115" s="28" t="n">
        <v>80.3</v>
      </c>
      <c r="E115" s="29" t="n">
        <v>0.1</v>
      </c>
      <c r="F115" s="30" t="n">
        <f aca="false">D115+(D115*E115)</f>
        <v>88.33</v>
      </c>
    </row>
    <row r="116" customFormat="false" ht="15" hidden="false" customHeight="false" outlineLevel="0" collapsed="false">
      <c r="B116" s="22" t="s">
        <v>53</v>
      </c>
      <c r="C116" s="23" t="s">
        <v>174</v>
      </c>
      <c r="D116" s="16" t="n">
        <v>34.5</v>
      </c>
      <c r="E116" s="24" t="n">
        <v>0.1</v>
      </c>
      <c r="F116" s="14" t="n">
        <f aca="false">D116+(D116*E116)</f>
        <v>37.95</v>
      </c>
    </row>
    <row r="117" customFormat="false" ht="15" hidden="false" customHeight="false" outlineLevel="0" collapsed="false">
      <c r="B117" s="26" t="s">
        <v>54</v>
      </c>
      <c r="C117" s="27" t="s">
        <v>175</v>
      </c>
      <c r="D117" s="28" t="n">
        <v>91.6</v>
      </c>
      <c r="E117" s="29" t="n">
        <v>0.1</v>
      </c>
      <c r="F117" s="30" t="n">
        <f aca="false">D117+(D117*E117)</f>
        <v>100.76</v>
      </c>
    </row>
    <row r="118" customFormat="false" ht="15" hidden="false" customHeight="false" outlineLevel="0" collapsed="false">
      <c r="B118" s="22" t="s">
        <v>54</v>
      </c>
      <c r="C118" s="23" t="s">
        <v>176</v>
      </c>
      <c r="D118" s="16" t="n">
        <v>91.6</v>
      </c>
      <c r="E118" s="24" t="n">
        <v>0.1</v>
      </c>
      <c r="F118" s="14" t="n">
        <f aca="false">D118+(D118*E118)</f>
        <v>100.76</v>
      </c>
    </row>
    <row r="119" customFormat="false" ht="15" hidden="false" customHeight="false" outlineLevel="0" collapsed="false">
      <c r="B119" s="26" t="s">
        <v>56</v>
      </c>
      <c r="C119" s="27" t="s">
        <v>177</v>
      </c>
      <c r="D119" s="28" t="n">
        <v>91.2</v>
      </c>
      <c r="E119" s="29" t="n">
        <v>0.04</v>
      </c>
      <c r="F119" s="30" t="n">
        <f aca="false">D119+(D119*E119)</f>
        <v>94.848</v>
      </c>
    </row>
    <row r="120" customFormat="false" ht="15" hidden="false" customHeight="false" outlineLevel="0" collapsed="false">
      <c r="B120" s="22" t="s">
        <v>56</v>
      </c>
      <c r="C120" s="23" t="s">
        <v>178</v>
      </c>
      <c r="D120" s="16" t="n">
        <v>67.79</v>
      </c>
      <c r="E120" s="24" t="n">
        <v>0.04</v>
      </c>
      <c r="F120" s="14" t="n">
        <f aca="false">D120+(D120*E120)</f>
        <v>70.5016</v>
      </c>
    </row>
    <row r="121" customFormat="false" ht="15" hidden="false" customHeight="false" outlineLevel="0" collapsed="false">
      <c r="B121" s="26" t="s">
        <v>40</v>
      </c>
      <c r="C121" s="27" t="s">
        <v>179</v>
      </c>
      <c r="D121" s="28" t="n">
        <v>748.5</v>
      </c>
      <c r="E121" s="29" t="n">
        <v>0.1</v>
      </c>
      <c r="F121" s="30" t="n">
        <f aca="false">D121+(D121*E121)</f>
        <v>823.35</v>
      </c>
    </row>
    <row r="122" customFormat="false" ht="15" hidden="false" customHeight="false" outlineLevel="0" collapsed="false">
      <c r="B122" s="22" t="s">
        <v>46</v>
      </c>
      <c r="C122" s="23" t="s">
        <v>180</v>
      </c>
      <c r="D122" s="16" t="n">
        <v>24</v>
      </c>
      <c r="E122" s="24" t="n">
        <v>0.1</v>
      </c>
      <c r="F122" s="14" t="n">
        <f aca="false">D122+(D122*E122)</f>
        <v>26.4</v>
      </c>
    </row>
    <row r="123" customFormat="false" ht="15" hidden="false" customHeight="false" outlineLevel="0" collapsed="false">
      <c r="B123" s="26" t="s">
        <v>46</v>
      </c>
      <c r="C123" s="27" t="s">
        <v>181</v>
      </c>
      <c r="D123" s="28" t="n">
        <v>33</v>
      </c>
      <c r="E123" s="29" t="n">
        <v>0.1</v>
      </c>
      <c r="F123" s="30" t="n">
        <f aca="false">D123+(D123*E123)</f>
        <v>36.3</v>
      </c>
    </row>
    <row r="124" customFormat="false" ht="15" hidden="false" customHeight="false" outlineLevel="0" collapsed="false">
      <c r="B124" s="22" t="s">
        <v>46</v>
      </c>
      <c r="C124" s="23" t="s">
        <v>182</v>
      </c>
      <c r="D124" s="16" t="n">
        <v>43</v>
      </c>
      <c r="E124" s="24" t="n">
        <v>0.1</v>
      </c>
      <c r="F124" s="14" t="n">
        <f aca="false">D124+(D124*E124)</f>
        <v>47.3</v>
      </c>
    </row>
    <row r="125" customFormat="false" ht="15" hidden="false" customHeight="false" outlineLevel="0" collapsed="false">
      <c r="B125" s="26" t="s">
        <v>46</v>
      </c>
      <c r="C125" s="27" t="s">
        <v>183</v>
      </c>
      <c r="D125" s="28" t="n">
        <v>7</v>
      </c>
      <c r="E125" s="29" t="n">
        <v>0.1</v>
      </c>
      <c r="F125" s="30" t="n">
        <f aca="false">D125+(D125*E125)</f>
        <v>7.7</v>
      </c>
    </row>
    <row r="126" customFormat="false" ht="15" hidden="false" customHeight="false" outlineLevel="0" collapsed="false">
      <c r="B126" s="22" t="s">
        <v>46</v>
      </c>
      <c r="C126" s="23" t="s">
        <v>184</v>
      </c>
      <c r="D126" s="16" t="n">
        <v>7</v>
      </c>
      <c r="E126" s="24" t="n">
        <v>0.1</v>
      </c>
      <c r="F126" s="14" t="n">
        <f aca="false">D126+(D126*E126)</f>
        <v>7.7</v>
      </c>
    </row>
    <row r="127" customFormat="false" ht="15" hidden="false" customHeight="false" outlineLevel="0" collapsed="false">
      <c r="B127" s="26" t="s">
        <v>46</v>
      </c>
      <c r="C127" s="27" t="s">
        <v>185</v>
      </c>
      <c r="D127" s="28" t="n">
        <v>20</v>
      </c>
      <c r="E127" s="29" t="n">
        <v>0.1</v>
      </c>
      <c r="F127" s="30" t="n">
        <f aca="false">D127+(D127*E127)</f>
        <v>22</v>
      </c>
    </row>
    <row r="128" customFormat="false" ht="15" hidden="false" customHeight="false" outlineLevel="0" collapsed="false">
      <c r="B128" s="22" t="s">
        <v>46</v>
      </c>
      <c r="C128" s="23" t="s">
        <v>186</v>
      </c>
      <c r="D128" s="16" t="n">
        <v>29</v>
      </c>
      <c r="E128" s="24" t="n">
        <v>0.1</v>
      </c>
      <c r="F128" s="14" t="n">
        <f aca="false">D128+(D128*E128)</f>
        <v>31.9</v>
      </c>
    </row>
    <row r="129" customFormat="false" ht="15" hidden="false" customHeight="false" outlineLevel="0" collapsed="false">
      <c r="B129" s="26" t="s">
        <v>46</v>
      </c>
      <c r="C129" s="27" t="s">
        <v>187</v>
      </c>
      <c r="D129" s="28" t="n">
        <v>40.8</v>
      </c>
      <c r="E129" s="29" t="n">
        <v>0.1</v>
      </c>
      <c r="F129" s="30" t="n">
        <f aca="false">D129+(D129*E129)</f>
        <v>44.88</v>
      </c>
    </row>
    <row r="130" customFormat="false" ht="15" hidden="false" customHeight="false" outlineLevel="0" collapsed="false">
      <c r="B130" s="22" t="s">
        <v>46</v>
      </c>
      <c r="C130" s="23" t="s">
        <v>188</v>
      </c>
      <c r="D130" s="16" t="n">
        <v>40</v>
      </c>
      <c r="E130" s="24" t="n">
        <v>0.1</v>
      </c>
      <c r="F130" s="14" t="n">
        <f aca="false">D130+(D130*E130)</f>
        <v>44</v>
      </c>
    </row>
    <row r="131" customFormat="false" ht="15" hidden="false" customHeight="false" outlineLevel="0" collapsed="false">
      <c r="B131" s="26" t="s">
        <v>46</v>
      </c>
      <c r="C131" s="27" t="s">
        <v>189</v>
      </c>
      <c r="D131" s="28" t="n">
        <v>37</v>
      </c>
      <c r="E131" s="29" t="n">
        <v>0.1</v>
      </c>
      <c r="F131" s="30" t="n">
        <f aca="false">D131+(D131*E131)</f>
        <v>40.7</v>
      </c>
    </row>
    <row r="132" customFormat="false" ht="15" hidden="false" customHeight="false" outlineLevel="0" collapsed="false">
      <c r="B132" s="22" t="s">
        <v>46</v>
      </c>
      <c r="C132" s="23" t="s">
        <v>190</v>
      </c>
      <c r="D132" s="16" t="n">
        <v>35.5</v>
      </c>
      <c r="E132" s="24" t="n">
        <v>0.1</v>
      </c>
      <c r="F132" s="14" t="n">
        <f aca="false">D132+(D132*E132)</f>
        <v>39.05</v>
      </c>
    </row>
    <row r="133" customFormat="false" ht="15" hidden="false" customHeight="false" outlineLevel="0" collapsed="false">
      <c r="B133" s="26" t="s">
        <v>46</v>
      </c>
      <c r="C133" s="27" t="s">
        <v>191</v>
      </c>
      <c r="D133" s="28" t="n">
        <v>40.8</v>
      </c>
      <c r="E133" s="29" t="n">
        <v>0.1</v>
      </c>
      <c r="F133" s="30" t="n">
        <f aca="false">D133+(D133*E133)</f>
        <v>44.88</v>
      </c>
    </row>
    <row r="134" customFormat="false" ht="15" hidden="false" customHeight="false" outlineLevel="0" collapsed="false">
      <c r="B134" s="22" t="s">
        <v>46</v>
      </c>
      <c r="C134" s="23" t="s">
        <v>192</v>
      </c>
      <c r="D134" s="16" t="n">
        <v>79.2</v>
      </c>
      <c r="E134" s="24" t="n">
        <v>0.1</v>
      </c>
      <c r="F134" s="14" t="n">
        <f aca="false">D134+(D134*E134)</f>
        <v>87.12</v>
      </c>
    </row>
    <row r="135" customFormat="false" ht="15" hidden="false" customHeight="false" outlineLevel="0" collapsed="false">
      <c r="B135" s="26" t="s">
        <v>46</v>
      </c>
      <c r="C135" s="27" t="s">
        <v>193</v>
      </c>
      <c r="D135" s="28" t="n">
        <v>7.8</v>
      </c>
      <c r="E135" s="29" t="n">
        <v>0.1</v>
      </c>
      <c r="F135" s="30" t="n">
        <f aca="false">D135+(D135*E135)</f>
        <v>8.58</v>
      </c>
    </row>
    <row r="136" customFormat="false" ht="15" hidden="false" customHeight="false" outlineLevel="0" collapsed="false">
      <c r="B136" s="22" t="s">
        <v>30</v>
      </c>
      <c r="C136" s="23" t="s">
        <v>194</v>
      </c>
      <c r="D136" s="16" t="n">
        <v>262.95</v>
      </c>
      <c r="E136" s="24" t="n">
        <v>0.1</v>
      </c>
      <c r="F136" s="14" t="n">
        <f aca="false">D136+(D136*E136)</f>
        <v>289.245</v>
      </c>
    </row>
    <row r="137" customFormat="false" ht="15" hidden="false" customHeight="false" outlineLevel="0" collapsed="false">
      <c r="B137" s="26" t="s">
        <v>30</v>
      </c>
      <c r="C137" s="27" t="s">
        <v>195</v>
      </c>
      <c r="D137" s="28" t="n">
        <v>89.9</v>
      </c>
      <c r="E137" s="29" t="n">
        <v>0.1</v>
      </c>
      <c r="F137" s="30" t="n">
        <f aca="false">D137+(D137*E137)</f>
        <v>98.89</v>
      </c>
    </row>
    <row r="138" customFormat="false" ht="15" hidden="false" customHeight="false" outlineLevel="0" collapsed="false">
      <c r="B138" s="22" t="s">
        <v>30</v>
      </c>
      <c r="C138" s="23" t="s">
        <v>195</v>
      </c>
      <c r="D138" s="16" t="n">
        <v>262.95</v>
      </c>
      <c r="E138" s="24" t="n">
        <v>0.04</v>
      </c>
      <c r="F138" s="14" t="n">
        <f aca="false">D138+(D138*E138)</f>
        <v>273.468</v>
      </c>
    </row>
    <row r="139" customFormat="false" ht="15" hidden="false" customHeight="false" outlineLevel="0" collapsed="false">
      <c r="B139" s="26" t="s">
        <v>30</v>
      </c>
      <c r="C139" s="27" t="s">
        <v>196</v>
      </c>
      <c r="D139" s="28" t="n">
        <v>44.95</v>
      </c>
      <c r="E139" s="29" t="n">
        <v>0.1</v>
      </c>
      <c r="F139" s="30" t="n">
        <f aca="false">D139+(D139*E139)</f>
        <v>49.445</v>
      </c>
    </row>
    <row r="140" customFormat="false" ht="15" hidden="false" customHeight="false" outlineLevel="0" collapsed="false">
      <c r="B140" s="22" t="s">
        <v>30</v>
      </c>
      <c r="C140" s="23" t="s">
        <v>196</v>
      </c>
      <c r="D140" s="16" t="n">
        <v>71.85</v>
      </c>
      <c r="E140" s="24" t="n">
        <v>0.04</v>
      </c>
      <c r="F140" s="14" t="n">
        <f aca="false">D140+(D140*E140)</f>
        <v>74.724</v>
      </c>
    </row>
    <row r="141" customFormat="false" ht="15" hidden="false" customHeight="false" outlineLevel="0" collapsed="false">
      <c r="B141" s="26" t="s">
        <v>30</v>
      </c>
      <c r="C141" s="27" t="s">
        <v>197</v>
      </c>
      <c r="D141" s="28" t="n">
        <v>143.7</v>
      </c>
      <c r="E141" s="29" t="n">
        <v>0.04</v>
      </c>
      <c r="F141" s="30" t="n">
        <f aca="false">D141+(D141*E141)</f>
        <v>149.448</v>
      </c>
    </row>
    <row r="142" customFormat="false" ht="15" hidden="false" customHeight="false" outlineLevel="0" collapsed="false">
      <c r="B142" s="22" t="s">
        <v>30</v>
      </c>
      <c r="C142" s="23" t="s">
        <v>198</v>
      </c>
      <c r="D142" s="16" t="n">
        <v>89.9</v>
      </c>
      <c r="E142" s="24" t="n">
        <v>0.1</v>
      </c>
      <c r="F142" s="14" t="n">
        <f aca="false">D142+(D142*E142)</f>
        <v>98.89</v>
      </c>
    </row>
    <row r="143" customFormat="false" ht="15" hidden="false" customHeight="false" outlineLevel="0" collapsed="false">
      <c r="B143" s="26" t="s">
        <v>30</v>
      </c>
      <c r="C143" s="27" t="s">
        <v>198</v>
      </c>
      <c r="D143" s="28" t="n">
        <v>143.7</v>
      </c>
      <c r="E143" s="29" t="n">
        <v>0.04</v>
      </c>
      <c r="F143" s="30" t="n">
        <f aca="false">D143+(D143*E143)</f>
        <v>149.448</v>
      </c>
    </row>
    <row r="144" customFormat="false" ht="15" hidden="false" customHeight="false" outlineLevel="0" collapsed="false">
      <c r="B144" s="22" t="s">
        <v>30</v>
      </c>
      <c r="C144" s="23" t="s">
        <v>199</v>
      </c>
      <c r="D144" s="16" t="n">
        <v>262.95</v>
      </c>
      <c r="E144" s="24" t="n">
        <v>0.04</v>
      </c>
      <c r="F144" s="14" t="n">
        <f aca="false">D144+(D144*E144)</f>
        <v>273.468</v>
      </c>
    </row>
    <row r="145" customFormat="false" ht="15" hidden="false" customHeight="false" outlineLevel="0" collapsed="false">
      <c r="B145" s="26" t="s">
        <v>30</v>
      </c>
      <c r="C145" s="27" t="s">
        <v>200</v>
      </c>
      <c r="D145" s="28" t="n">
        <v>89.9</v>
      </c>
      <c r="E145" s="29" t="n">
        <v>0.1</v>
      </c>
      <c r="F145" s="30" t="n">
        <f aca="false">D145+(D145*E145)</f>
        <v>98.89</v>
      </c>
    </row>
    <row r="146" customFormat="false" ht="15" hidden="false" customHeight="false" outlineLevel="0" collapsed="false">
      <c r="B146" s="22" t="s">
        <v>30</v>
      </c>
      <c r="C146" s="23" t="s">
        <v>200</v>
      </c>
      <c r="D146" s="16" t="n">
        <v>143.7</v>
      </c>
      <c r="E146" s="24" t="n">
        <v>0.04</v>
      </c>
      <c r="F146" s="14" t="n">
        <f aca="false">D146+(D146*E146)</f>
        <v>149.448</v>
      </c>
    </row>
    <row r="147" customFormat="false" ht="15" hidden="false" customHeight="false" outlineLevel="0" collapsed="false">
      <c r="B147" s="26" t="s">
        <v>30</v>
      </c>
      <c r="C147" s="27" t="s">
        <v>201</v>
      </c>
      <c r="D147" s="28" t="n">
        <v>89.9</v>
      </c>
      <c r="E147" s="29" t="n">
        <v>0.1</v>
      </c>
      <c r="F147" s="30" t="n">
        <f aca="false">D147+(D147*E147)</f>
        <v>98.89</v>
      </c>
    </row>
    <row r="148" customFormat="false" ht="15" hidden="false" customHeight="false" outlineLevel="0" collapsed="false">
      <c r="B148" s="22" t="s">
        <v>30</v>
      </c>
      <c r="C148" s="23" t="s">
        <v>201</v>
      </c>
      <c r="D148" s="16" t="n">
        <v>119.25</v>
      </c>
      <c r="E148" s="24" t="n">
        <v>0.04</v>
      </c>
      <c r="F148" s="14" t="n">
        <f aca="false">D148+(D148*E148)</f>
        <v>124.02</v>
      </c>
    </row>
    <row r="149" customFormat="false" ht="15" hidden="false" customHeight="false" outlineLevel="0" collapsed="false">
      <c r="B149" s="26" t="s">
        <v>51</v>
      </c>
      <c r="C149" s="27" t="s">
        <v>202</v>
      </c>
      <c r="D149" s="28" t="n">
        <v>85.32</v>
      </c>
      <c r="E149" s="29" t="n">
        <v>0.1</v>
      </c>
      <c r="F149" s="30" t="n">
        <f aca="false">D149+(D149*E149)</f>
        <v>93.852</v>
      </c>
    </row>
    <row r="150" customFormat="false" ht="15" hidden="false" customHeight="false" outlineLevel="0" collapsed="false">
      <c r="B150" s="22" t="s">
        <v>51</v>
      </c>
      <c r="C150" s="23" t="s">
        <v>202</v>
      </c>
      <c r="D150" s="16" t="n">
        <v>142.57</v>
      </c>
      <c r="E150" s="24" t="n">
        <v>0.04</v>
      </c>
      <c r="F150" s="14" t="n">
        <f aca="false">D150+(D150*E150)</f>
        <v>148.2728</v>
      </c>
    </row>
    <row r="151" customFormat="false" ht="15" hidden="false" customHeight="false" outlineLevel="0" collapsed="false">
      <c r="B151" s="26" t="s">
        <v>39</v>
      </c>
      <c r="C151" s="27" t="s">
        <v>203</v>
      </c>
      <c r="D151" s="28" t="n">
        <v>68.07</v>
      </c>
      <c r="E151" s="29" t="n">
        <v>0.1</v>
      </c>
      <c r="F151" s="30" t="n">
        <f aca="false">D151+(D151*E151)</f>
        <v>74.877</v>
      </c>
    </row>
    <row r="152" customFormat="false" ht="15" hidden="false" customHeight="false" outlineLevel="0" collapsed="false">
      <c r="B152" s="22" t="s">
        <v>39</v>
      </c>
      <c r="C152" s="23" t="s">
        <v>204</v>
      </c>
      <c r="D152" s="16" t="n">
        <v>558.75</v>
      </c>
      <c r="E152" s="24" t="n">
        <v>0.1</v>
      </c>
      <c r="F152" s="14" t="n">
        <f aca="false">D152+(D152*E152)</f>
        <v>614.625</v>
      </c>
    </row>
    <row r="153" customFormat="false" ht="15" hidden="false" customHeight="false" outlineLevel="0" collapsed="false">
      <c r="B153" s="26" t="s">
        <v>39</v>
      </c>
      <c r="C153" s="27" t="s">
        <v>205</v>
      </c>
      <c r="D153" s="28" t="n">
        <v>278</v>
      </c>
      <c r="E153" s="29" t="n">
        <v>0.1</v>
      </c>
      <c r="F153" s="30" t="n">
        <f aca="false">D153+(D153*E153)</f>
        <v>305.8</v>
      </c>
    </row>
    <row r="154" customFormat="false" ht="15" hidden="false" customHeight="false" outlineLevel="0" collapsed="false">
      <c r="B154" s="22" t="s">
        <v>25</v>
      </c>
      <c r="C154" s="23" t="s">
        <v>206</v>
      </c>
      <c r="D154" s="16" t="n">
        <v>63.5</v>
      </c>
      <c r="E154" s="24" t="n">
        <v>0.1</v>
      </c>
      <c r="F154" s="14" t="n">
        <f aca="false">D154+(D154*E154)</f>
        <v>69.85</v>
      </c>
    </row>
    <row r="155" customFormat="false" ht="15" hidden="false" customHeight="false" outlineLevel="0" collapsed="false">
      <c r="B155" s="26" t="s">
        <v>25</v>
      </c>
      <c r="C155" s="27" t="s">
        <v>207</v>
      </c>
      <c r="D155" s="28" t="n">
        <v>309</v>
      </c>
      <c r="E155" s="29" t="n">
        <v>0.1</v>
      </c>
      <c r="F155" s="30" t="n">
        <f aca="false">D155+(D155*E155)</f>
        <v>339.9</v>
      </c>
    </row>
    <row r="156" customFormat="false" ht="15" hidden="false" customHeight="false" outlineLevel="0" collapsed="false">
      <c r="B156" s="22" t="s">
        <v>25</v>
      </c>
      <c r="C156" s="23" t="s">
        <v>208</v>
      </c>
      <c r="D156" s="16" t="n">
        <v>250</v>
      </c>
      <c r="E156" s="24" t="n">
        <v>0.1</v>
      </c>
      <c r="F156" s="14" t="n">
        <f aca="false">D156+(D156*E156)</f>
        <v>275</v>
      </c>
    </row>
    <row r="157" customFormat="false" ht="15" hidden="false" customHeight="false" outlineLevel="0" collapsed="false">
      <c r="B157" s="26" t="s">
        <v>25</v>
      </c>
      <c r="C157" s="27" t="s">
        <v>209</v>
      </c>
      <c r="D157" s="28" t="n">
        <v>261</v>
      </c>
      <c r="E157" s="29" t="n">
        <v>0.1</v>
      </c>
      <c r="F157" s="30" t="n">
        <f aca="false">D157+(D157*E157)</f>
        <v>287.1</v>
      </c>
    </row>
    <row r="158" customFormat="false" ht="15" hidden="false" customHeight="false" outlineLevel="0" collapsed="false">
      <c r="B158" s="22" t="s">
        <v>25</v>
      </c>
      <c r="C158" s="23" t="s">
        <v>210</v>
      </c>
      <c r="D158" s="16" t="n">
        <v>263.5</v>
      </c>
      <c r="E158" s="24" t="n">
        <v>0.1</v>
      </c>
      <c r="F158" s="14" t="n">
        <f aca="false">D158+(D158*E158)</f>
        <v>289.85</v>
      </c>
    </row>
    <row r="159" customFormat="false" ht="15" hidden="false" customHeight="false" outlineLevel="0" collapsed="false">
      <c r="B159" s="26" t="s">
        <v>25</v>
      </c>
      <c r="C159" s="27" t="s">
        <v>211</v>
      </c>
      <c r="D159" s="28" t="n">
        <v>42.9</v>
      </c>
      <c r="E159" s="29" t="n">
        <v>0.1</v>
      </c>
      <c r="F159" s="30" t="n">
        <f aca="false">D159+(D159*E159)</f>
        <v>47.19</v>
      </c>
    </row>
    <row r="160" customFormat="false" ht="15" hidden="false" customHeight="false" outlineLevel="0" collapsed="false">
      <c r="B160" s="22" t="s">
        <v>25</v>
      </c>
      <c r="C160" s="23" t="s">
        <v>212</v>
      </c>
      <c r="D160" s="16" t="n">
        <v>197.5</v>
      </c>
      <c r="E160" s="24" t="n">
        <v>0.1</v>
      </c>
      <c r="F160" s="14" t="n">
        <f aca="false">D160+(D160*E160)</f>
        <v>217.25</v>
      </c>
    </row>
    <row r="161" customFormat="false" ht="15" hidden="false" customHeight="false" outlineLevel="0" collapsed="false">
      <c r="B161" s="26" t="s">
        <v>25</v>
      </c>
      <c r="C161" s="27" t="s">
        <v>213</v>
      </c>
      <c r="D161" s="28" t="n">
        <v>100</v>
      </c>
      <c r="E161" s="29" t="n">
        <v>0.1</v>
      </c>
      <c r="F161" s="30" t="n">
        <f aca="false">D161+(D161*E161)</f>
        <v>110</v>
      </c>
    </row>
    <row r="162" customFormat="false" ht="15" hidden="false" customHeight="false" outlineLevel="0" collapsed="false">
      <c r="B162" s="22" t="s">
        <v>25</v>
      </c>
      <c r="C162" s="23" t="s">
        <v>214</v>
      </c>
      <c r="D162" s="16" t="n">
        <v>249</v>
      </c>
      <c r="E162" s="24" t="n">
        <v>0.1</v>
      </c>
      <c r="F162" s="14" t="n">
        <f aca="false">D162+(D162*E162)</f>
        <v>273.9</v>
      </c>
    </row>
    <row r="163" customFormat="false" ht="15" hidden="false" customHeight="false" outlineLevel="0" collapsed="false">
      <c r="B163" s="26" t="s">
        <v>25</v>
      </c>
      <c r="C163" s="27" t="s">
        <v>215</v>
      </c>
      <c r="D163" s="28" t="n">
        <v>50</v>
      </c>
      <c r="E163" s="29" t="n">
        <v>0.1</v>
      </c>
      <c r="F163" s="30" t="n">
        <f aca="false">D163+(D163*E163)</f>
        <v>55</v>
      </c>
    </row>
    <row r="164" customFormat="false" ht="15" hidden="false" customHeight="false" outlineLevel="0" collapsed="false">
      <c r="B164" s="22" t="s">
        <v>25</v>
      </c>
      <c r="C164" s="23" t="s">
        <v>216</v>
      </c>
      <c r="D164" s="16" t="n">
        <v>100</v>
      </c>
      <c r="E164" s="24" t="n">
        <v>0.1</v>
      </c>
      <c r="F164" s="14" t="n">
        <f aca="false">D164+(D164*E164)</f>
        <v>110</v>
      </c>
    </row>
    <row r="165" customFormat="false" ht="15" hidden="false" customHeight="false" outlineLevel="0" collapsed="false">
      <c r="B165" s="26" t="s">
        <v>25</v>
      </c>
      <c r="C165" s="27" t="s">
        <v>217</v>
      </c>
      <c r="D165" s="28" t="n">
        <v>149</v>
      </c>
      <c r="E165" s="29" t="n">
        <v>0.1</v>
      </c>
      <c r="F165" s="30" t="n">
        <f aca="false">D165+(D165*E165)</f>
        <v>163.9</v>
      </c>
    </row>
    <row r="166" customFormat="false" ht="15" hidden="false" customHeight="false" outlineLevel="0" collapsed="false">
      <c r="B166" s="22" t="s">
        <v>25</v>
      </c>
      <c r="C166" s="23" t="s">
        <v>218</v>
      </c>
      <c r="D166" s="16" t="n">
        <v>250</v>
      </c>
      <c r="E166" s="24" t="n">
        <v>0.1</v>
      </c>
      <c r="F166" s="14" t="n">
        <f aca="false">D166+(D166*E166)</f>
        <v>275</v>
      </c>
    </row>
    <row r="167" customFormat="false" ht="15" hidden="false" customHeight="false" outlineLevel="0" collapsed="false">
      <c r="B167" s="26" t="s">
        <v>25</v>
      </c>
      <c r="C167" s="27" t="s">
        <v>219</v>
      </c>
      <c r="D167" s="28" t="n">
        <v>125.25</v>
      </c>
      <c r="E167" s="29" t="n">
        <v>0.1</v>
      </c>
      <c r="F167" s="30" t="n">
        <f aca="false">D167+(D167*E167)</f>
        <v>137.775</v>
      </c>
    </row>
    <row r="168" customFormat="false" ht="15" hidden="false" customHeight="false" outlineLevel="0" collapsed="false">
      <c r="B168" s="22" t="s">
        <v>25</v>
      </c>
      <c r="C168" s="23" t="s">
        <v>220</v>
      </c>
      <c r="D168" s="16" t="n">
        <v>297.5</v>
      </c>
      <c r="E168" s="24" t="n">
        <v>0.1</v>
      </c>
      <c r="F168" s="14" t="n">
        <f aca="false">D168+(D168*E168)</f>
        <v>327.25</v>
      </c>
    </row>
    <row r="169" customFormat="false" ht="15" hidden="false" customHeight="false" outlineLevel="0" collapsed="false">
      <c r="B169" s="26" t="s">
        <v>25</v>
      </c>
      <c r="C169" s="27" t="s">
        <v>221</v>
      </c>
      <c r="D169" s="28" t="n">
        <v>84.75</v>
      </c>
      <c r="E169" s="29" t="n">
        <v>0.1</v>
      </c>
      <c r="F169" s="30" t="n">
        <f aca="false">D169+(D169*E169)</f>
        <v>93.225</v>
      </c>
    </row>
    <row r="170" customFormat="false" ht="15" hidden="false" customHeight="false" outlineLevel="0" collapsed="false">
      <c r="B170" s="22" t="s">
        <v>25</v>
      </c>
      <c r="C170" s="23" t="s">
        <v>222</v>
      </c>
      <c r="D170" s="16" t="n">
        <v>63.5</v>
      </c>
      <c r="E170" s="24" t="n">
        <v>0.1</v>
      </c>
      <c r="F170" s="14" t="n">
        <f aca="false">D170+(D170*E170)</f>
        <v>69.85</v>
      </c>
    </row>
    <row r="171" customFormat="false" ht="15" hidden="false" customHeight="false" outlineLevel="0" collapsed="false">
      <c r="B171" s="26" t="s">
        <v>25</v>
      </c>
      <c r="C171" s="27" t="s">
        <v>223</v>
      </c>
      <c r="D171" s="28" t="n">
        <v>295.5</v>
      </c>
      <c r="E171" s="29" t="n">
        <v>0.1</v>
      </c>
      <c r="F171" s="30" t="n">
        <f aca="false">D171+(D171*E171)</f>
        <v>325.05</v>
      </c>
    </row>
    <row r="172" customFormat="false" ht="15" hidden="false" customHeight="false" outlineLevel="0" collapsed="false">
      <c r="B172" s="22" t="s">
        <v>25</v>
      </c>
      <c r="C172" s="23" t="s">
        <v>224</v>
      </c>
      <c r="D172" s="16" t="n">
        <v>75</v>
      </c>
      <c r="E172" s="24" t="n">
        <v>0.1</v>
      </c>
      <c r="F172" s="14" t="n">
        <f aca="false">D172+(D172*E172)</f>
        <v>82.5</v>
      </c>
    </row>
    <row r="173" customFormat="false" ht="15" hidden="false" customHeight="false" outlineLevel="0" collapsed="false">
      <c r="B173" s="26" t="s">
        <v>25</v>
      </c>
      <c r="C173" s="27" t="s">
        <v>225</v>
      </c>
      <c r="D173" s="28" t="n">
        <v>186.5</v>
      </c>
      <c r="E173" s="29" t="n">
        <v>0.1</v>
      </c>
      <c r="F173" s="30" t="n">
        <f aca="false">D173+(D173*E173)</f>
        <v>205.15</v>
      </c>
    </row>
    <row r="174" customFormat="false" ht="15" hidden="false" customHeight="false" outlineLevel="0" collapsed="false">
      <c r="B174" s="22" t="s">
        <v>25</v>
      </c>
      <c r="C174" s="23" t="s">
        <v>226</v>
      </c>
      <c r="D174" s="16" t="n">
        <v>148</v>
      </c>
      <c r="E174" s="24" t="n">
        <v>0.1</v>
      </c>
      <c r="F174" s="14" t="n">
        <f aca="false">D174+(D174*E174)</f>
        <v>162.8</v>
      </c>
    </row>
    <row r="175" customFormat="false" ht="15" hidden="false" customHeight="false" outlineLevel="0" collapsed="false">
      <c r="B175" s="26" t="s">
        <v>55</v>
      </c>
      <c r="C175" s="27" t="s">
        <v>227</v>
      </c>
      <c r="D175" s="28" t="n">
        <v>57</v>
      </c>
      <c r="E175" s="29" t="n">
        <v>0.04</v>
      </c>
      <c r="F175" s="30" t="n">
        <f aca="false">D175+(D175*E175)</f>
        <v>59.28</v>
      </c>
    </row>
    <row r="176" customFormat="false" ht="15" hidden="false" customHeight="false" outlineLevel="0" collapsed="false">
      <c r="B176" s="22" t="s">
        <v>55</v>
      </c>
      <c r="C176" s="23" t="s">
        <v>228</v>
      </c>
      <c r="D176" s="16" t="n">
        <v>57</v>
      </c>
      <c r="E176" s="24" t="n">
        <v>0.04</v>
      </c>
      <c r="F176" s="14" t="n">
        <f aca="false">D176+(D176*E176)</f>
        <v>59.28</v>
      </c>
    </row>
    <row r="177" customFormat="false" ht="15" hidden="false" customHeight="false" outlineLevel="0" collapsed="false">
      <c r="B177" s="26" t="s">
        <v>55</v>
      </c>
      <c r="C177" s="27" t="s">
        <v>229</v>
      </c>
      <c r="D177" s="28" t="n">
        <v>57</v>
      </c>
      <c r="E177" s="29" t="n">
        <v>0.04</v>
      </c>
      <c r="F177" s="30" t="n">
        <f aca="false">D177+(D177*E177)</f>
        <v>59.28</v>
      </c>
    </row>
    <row r="178" customFormat="false" ht="15" hidden="false" customHeight="false" outlineLevel="0" collapsed="false">
      <c r="B178" s="22" t="s">
        <v>22</v>
      </c>
      <c r="C178" s="23" t="s">
        <v>230</v>
      </c>
      <c r="D178" s="16" t="n">
        <v>528.12</v>
      </c>
      <c r="E178" s="24" t="n">
        <v>0.21</v>
      </c>
      <c r="F178" s="14" t="n">
        <f aca="false">D178+(D178*E178)</f>
        <v>639.0252</v>
      </c>
    </row>
    <row r="179" customFormat="false" ht="15" hidden="false" customHeight="false" outlineLevel="0" collapsed="false">
      <c r="B179" s="26" t="s">
        <v>22</v>
      </c>
      <c r="C179" s="27" t="s">
        <v>231</v>
      </c>
      <c r="D179" s="28" t="n">
        <v>746.52</v>
      </c>
      <c r="E179" s="29" t="n">
        <v>0.21</v>
      </c>
      <c r="F179" s="30" t="n">
        <f aca="false">D179+(D179*E179)</f>
        <v>903.2892</v>
      </c>
    </row>
    <row r="180" customFormat="false" ht="15" hidden="false" customHeight="false" outlineLevel="0" collapsed="false">
      <c r="B180" s="22" t="s">
        <v>22</v>
      </c>
      <c r="C180" s="23" t="s">
        <v>232</v>
      </c>
      <c r="D180" s="16" t="n">
        <v>848.58</v>
      </c>
      <c r="E180" s="24" t="n">
        <v>0.21</v>
      </c>
      <c r="F180" s="14" t="n">
        <f aca="false">D180+(D180*E180)</f>
        <v>1026.7818</v>
      </c>
    </row>
    <row r="181" customFormat="false" ht="15" hidden="false" customHeight="false" outlineLevel="0" collapsed="false">
      <c r="B181" s="26" t="s">
        <v>22</v>
      </c>
      <c r="C181" s="27" t="s">
        <v>233</v>
      </c>
      <c r="D181" s="28" t="n">
        <v>1280.7</v>
      </c>
      <c r="E181" s="29" t="n">
        <v>0.21</v>
      </c>
      <c r="F181" s="30" t="n">
        <f aca="false">D181+(D181*E181)</f>
        <v>1549.647</v>
      </c>
    </row>
    <row r="182" customFormat="false" ht="15" hidden="false" customHeight="false" outlineLevel="0" collapsed="false">
      <c r="B182" s="22" t="s">
        <v>22</v>
      </c>
      <c r="C182" s="23" t="s">
        <v>234</v>
      </c>
      <c r="D182" s="16" t="n">
        <v>1038.9</v>
      </c>
      <c r="E182" s="24" t="n">
        <v>0.21</v>
      </c>
      <c r="F182" s="14" t="n">
        <f aca="false">D182+(D182*E182)</f>
        <v>1257.069</v>
      </c>
    </row>
    <row r="183" customFormat="false" ht="15" hidden="false" customHeight="false" outlineLevel="0" collapsed="false">
      <c r="B183" s="26" t="s">
        <v>22</v>
      </c>
      <c r="C183" s="27" t="s">
        <v>235</v>
      </c>
      <c r="D183" s="28" t="n">
        <v>649.56</v>
      </c>
      <c r="E183" s="29" t="n">
        <v>0.21</v>
      </c>
      <c r="F183" s="30" t="n">
        <f aca="false">D183+(D183*E183)</f>
        <v>785.9676</v>
      </c>
    </row>
    <row r="184" customFormat="false" ht="15" hidden="false" customHeight="false" outlineLevel="0" collapsed="false">
      <c r="B184" s="22" t="s">
        <v>43</v>
      </c>
      <c r="C184" s="23" t="s">
        <v>236</v>
      </c>
      <c r="D184" s="16" t="n">
        <v>44.5</v>
      </c>
      <c r="E184" s="24" t="n">
        <v>0.04</v>
      </c>
      <c r="F184" s="14" t="n">
        <f aca="false">D184+(D184*E184)</f>
        <v>46.28</v>
      </c>
    </row>
    <row r="185" customFormat="false" ht="15" hidden="false" customHeight="false" outlineLevel="0" collapsed="false">
      <c r="B185" s="26" t="s">
        <v>43</v>
      </c>
      <c r="C185" s="27" t="s">
        <v>237</v>
      </c>
      <c r="D185" s="28" t="n">
        <v>23.25</v>
      </c>
      <c r="E185" s="29" t="n">
        <v>0.04</v>
      </c>
      <c r="F185" s="30" t="n">
        <f aca="false">D185+(D185*E185)</f>
        <v>24.18</v>
      </c>
    </row>
    <row r="186" customFormat="false" ht="15" hidden="false" customHeight="false" outlineLevel="0" collapsed="false">
      <c r="B186" s="22" t="s">
        <v>43</v>
      </c>
      <c r="C186" s="23" t="s">
        <v>238</v>
      </c>
      <c r="D186" s="16" t="n">
        <v>44.5</v>
      </c>
      <c r="E186" s="24" t="n">
        <v>0.04</v>
      </c>
      <c r="F186" s="14" t="n">
        <f aca="false">D186+(D186*E186)</f>
        <v>46.28</v>
      </c>
    </row>
    <row r="187" customFormat="false" ht="15" hidden="false" customHeight="false" outlineLevel="0" collapsed="false">
      <c r="B187" s="26" t="s">
        <v>43</v>
      </c>
      <c r="C187" s="27" t="s">
        <v>239</v>
      </c>
      <c r="D187" s="28" t="n">
        <v>46.25</v>
      </c>
      <c r="E187" s="29" t="n">
        <v>0.04</v>
      </c>
      <c r="F187" s="30" t="n">
        <f aca="false">D187+(D187*E187)</f>
        <v>48.1</v>
      </c>
    </row>
    <row r="188" customFormat="false" ht="15" hidden="false" customHeight="false" outlineLevel="0" collapsed="false">
      <c r="B188" s="22" t="s">
        <v>43</v>
      </c>
      <c r="C188" s="23" t="s">
        <v>240</v>
      </c>
      <c r="D188" s="16" t="n">
        <v>47.5</v>
      </c>
      <c r="E188" s="24" t="n">
        <v>0.04</v>
      </c>
      <c r="F188" s="14" t="n">
        <f aca="false">D188+(D188*E188)</f>
        <v>49.4</v>
      </c>
    </row>
    <row r="189" customFormat="false" ht="15" hidden="false" customHeight="false" outlineLevel="0" collapsed="false">
      <c r="B189" s="26" t="s">
        <v>43</v>
      </c>
      <c r="C189" s="27" t="s">
        <v>241</v>
      </c>
      <c r="D189" s="28" t="n">
        <v>23.75</v>
      </c>
      <c r="E189" s="29" t="n">
        <v>0.04</v>
      </c>
      <c r="F189" s="30" t="n">
        <f aca="false">D189+(D189*E189)</f>
        <v>24.7</v>
      </c>
    </row>
    <row r="190" customFormat="false" ht="15" hidden="false" customHeight="false" outlineLevel="0" collapsed="false">
      <c r="B190" s="22" t="s">
        <v>43</v>
      </c>
      <c r="C190" s="23" t="s">
        <v>242</v>
      </c>
      <c r="D190" s="16" t="n">
        <v>22</v>
      </c>
      <c r="E190" s="24" t="n">
        <v>0.04</v>
      </c>
      <c r="F190" s="14" t="n">
        <f aca="false">D190+(D190*E190)</f>
        <v>22.88</v>
      </c>
    </row>
    <row r="191" customFormat="false" ht="15" hidden="false" customHeight="false" outlineLevel="0" collapsed="false">
      <c r="B191" s="26" t="s">
        <v>43</v>
      </c>
      <c r="C191" s="27" t="s">
        <v>243</v>
      </c>
      <c r="D191" s="28" t="n">
        <v>22</v>
      </c>
      <c r="E191" s="29" t="n">
        <v>0.04</v>
      </c>
      <c r="F191" s="30" t="n">
        <f aca="false">D191+(D191*E191)</f>
        <v>22.88</v>
      </c>
    </row>
    <row r="192" customFormat="false" ht="15" hidden="false" customHeight="false" outlineLevel="0" collapsed="false">
      <c r="B192" s="22" t="s">
        <v>43</v>
      </c>
      <c r="C192" s="23" t="s">
        <v>244</v>
      </c>
      <c r="D192" s="16" t="n">
        <v>67.25</v>
      </c>
      <c r="E192" s="24" t="n">
        <v>0.04</v>
      </c>
      <c r="F192" s="14" t="n">
        <f aca="false">D192+(D192*E192)</f>
        <v>69.94</v>
      </c>
    </row>
    <row r="193" customFormat="false" ht="15" hidden="false" customHeight="false" outlineLevel="0" collapsed="false">
      <c r="B193" s="26" t="s">
        <v>43</v>
      </c>
      <c r="C193" s="27" t="s">
        <v>245</v>
      </c>
      <c r="D193" s="28" t="n">
        <v>23.25</v>
      </c>
      <c r="E193" s="29" t="n">
        <v>0.04</v>
      </c>
      <c r="F193" s="30" t="n">
        <f aca="false">D193+(D193*E193)</f>
        <v>24.18</v>
      </c>
    </row>
    <row r="194" customFormat="false" ht="15" hidden="false" customHeight="false" outlineLevel="0" collapsed="false">
      <c r="B194" s="22" t="s">
        <v>43</v>
      </c>
      <c r="C194" s="23" t="s">
        <v>246</v>
      </c>
      <c r="D194" s="16" t="n">
        <v>22</v>
      </c>
      <c r="E194" s="24" t="n">
        <v>0.04</v>
      </c>
      <c r="F194" s="14" t="n">
        <f aca="false">D194+(D194*E194)</f>
        <v>22.88</v>
      </c>
    </row>
    <row r="195" customFormat="false" ht="15" hidden="false" customHeight="false" outlineLevel="0" collapsed="false">
      <c r="B195" s="26" t="s">
        <v>43</v>
      </c>
      <c r="C195" s="27" t="s">
        <v>247</v>
      </c>
      <c r="D195" s="28" t="n">
        <v>22</v>
      </c>
      <c r="E195" s="29" t="n">
        <v>0.04</v>
      </c>
      <c r="F195" s="30" t="n">
        <f aca="false">D195+(D195*E195)</f>
        <v>22.88</v>
      </c>
    </row>
    <row r="196" customFormat="false" ht="15" hidden="false" customHeight="false" outlineLevel="0" collapsed="false">
      <c r="B196" s="22" t="s">
        <v>43</v>
      </c>
      <c r="C196" s="23" t="s">
        <v>248</v>
      </c>
      <c r="D196" s="16" t="n">
        <v>44.5</v>
      </c>
      <c r="E196" s="24" t="n">
        <v>0.04</v>
      </c>
      <c r="F196" s="14" t="n">
        <f aca="false">D196+(D196*E196)</f>
        <v>46.28</v>
      </c>
    </row>
    <row r="197" customFormat="false" ht="15" hidden="false" customHeight="false" outlineLevel="0" collapsed="false">
      <c r="B197" s="26" t="s">
        <v>43</v>
      </c>
      <c r="C197" s="27" t="s">
        <v>249</v>
      </c>
      <c r="D197" s="28" t="n">
        <v>22.25</v>
      </c>
      <c r="E197" s="29" t="n">
        <v>0.04</v>
      </c>
      <c r="F197" s="30" t="n">
        <f aca="false">D197+(D197*E197)</f>
        <v>23.14</v>
      </c>
    </row>
    <row r="198" customFormat="false" ht="15" hidden="false" customHeight="false" outlineLevel="0" collapsed="false">
      <c r="B198" s="22" t="s">
        <v>43</v>
      </c>
      <c r="C198" s="23" t="s">
        <v>250</v>
      </c>
      <c r="D198" s="16" t="n">
        <v>47.15</v>
      </c>
      <c r="E198" s="24" t="n">
        <v>0.04</v>
      </c>
      <c r="F198" s="14" t="n">
        <f aca="false">D198+(D198*E198)</f>
        <v>49.036</v>
      </c>
    </row>
    <row r="199" customFormat="false" ht="15" hidden="false" customHeight="false" outlineLevel="0" collapsed="false">
      <c r="B199" s="26" t="s">
        <v>43</v>
      </c>
      <c r="C199" s="27" t="s">
        <v>251</v>
      </c>
      <c r="D199" s="28" t="n">
        <v>22</v>
      </c>
      <c r="E199" s="29" t="n">
        <v>0.04</v>
      </c>
      <c r="F199" s="30" t="n">
        <f aca="false">D199+(D199*E199)</f>
        <v>22.88</v>
      </c>
    </row>
    <row r="200" customFormat="false" ht="15" hidden="false" customHeight="false" outlineLevel="0" collapsed="false">
      <c r="B200" s="22" t="s">
        <v>43</v>
      </c>
      <c r="C200" s="23" t="s">
        <v>252</v>
      </c>
      <c r="D200" s="16" t="n">
        <v>45.25</v>
      </c>
      <c r="E200" s="24" t="n">
        <v>0.04</v>
      </c>
      <c r="F200" s="14" t="n">
        <f aca="false">D200+(D200*E200)</f>
        <v>47.06</v>
      </c>
    </row>
    <row r="201" customFormat="false" ht="15" hidden="false" customHeight="false" outlineLevel="0" collapsed="false">
      <c r="B201" s="26" t="s">
        <v>43</v>
      </c>
      <c r="C201" s="27" t="s">
        <v>253</v>
      </c>
      <c r="D201" s="28" t="n">
        <v>22</v>
      </c>
      <c r="E201" s="29" t="n">
        <v>0.04</v>
      </c>
      <c r="F201" s="30" t="n">
        <f aca="false">D201+(D201*E201)</f>
        <v>22.88</v>
      </c>
    </row>
    <row r="202" customFormat="false" ht="15" hidden="false" customHeight="false" outlineLevel="0" collapsed="false">
      <c r="B202" s="22" t="s">
        <v>33</v>
      </c>
      <c r="C202" s="23" t="s">
        <v>254</v>
      </c>
      <c r="D202" s="16" t="n">
        <v>199.2</v>
      </c>
      <c r="E202" s="24" t="n">
        <v>0.1</v>
      </c>
      <c r="F202" s="14" t="n">
        <f aca="false">D202+(D202*E202)</f>
        <v>219.12</v>
      </c>
    </row>
    <row r="203" customFormat="false" ht="15" hidden="false" customHeight="false" outlineLevel="0" collapsed="false">
      <c r="B203" s="26" t="s">
        <v>33</v>
      </c>
      <c r="C203" s="27" t="s">
        <v>255</v>
      </c>
      <c r="D203" s="28" t="n">
        <v>259.2</v>
      </c>
      <c r="E203" s="29" t="n">
        <v>0.1</v>
      </c>
      <c r="F203" s="30" t="n">
        <f aca="false">D203+(D203*E203)</f>
        <v>285.12</v>
      </c>
    </row>
    <row r="204" customFormat="false" ht="15" hidden="false" customHeight="false" outlineLevel="0" collapsed="false">
      <c r="B204" s="22" t="s">
        <v>33</v>
      </c>
      <c r="C204" s="23" t="s">
        <v>256</v>
      </c>
      <c r="D204" s="16" t="n">
        <v>307.2</v>
      </c>
      <c r="E204" s="24" t="n">
        <v>0.1</v>
      </c>
      <c r="F204" s="14" t="n">
        <f aca="false">D204+(D204*E204)</f>
        <v>337.92</v>
      </c>
    </row>
    <row r="205" customFormat="false" ht="15" hidden="false" customHeight="false" outlineLevel="0" collapsed="false">
      <c r="B205" s="26" t="s">
        <v>33</v>
      </c>
      <c r="C205" s="27" t="s">
        <v>257</v>
      </c>
      <c r="D205" s="28" t="n">
        <v>182.4</v>
      </c>
      <c r="E205" s="29" t="n">
        <v>0.1</v>
      </c>
      <c r="F205" s="30" t="n">
        <f aca="false">D205+(D205*E205)</f>
        <v>200.64</v>
      </c>
    </row>
    <row r="206" customFormat="false" ht="15" hidden="false" customHeight="false" outlineLevel="0" collapsed="false">
      <c r="B206" s="22" t="s">
        <v>33</v>
      </c>
      <c r="C206" s="23" t="s">
        <v>258</v>
      </c>
      <c r="D206" s="16" t="n">
        <v>244.8</v>
      </c>
      <c r="E206" s="24" t="n">
        <v>0.1</v>
      </c>
      <c r="F206" s="14" t="n">
        <f aca="false">D206+(D206*E206)</f>
        <v>269.28</v>
      </c>
    </row>
    <row r="207" customFormat="false" ht="15" hidden="false" customHeight="false" outlineLevel="0" collapsed="false">
      <c r="B207" s="26" t="s">
        <v>33</v>
      </c>
      <c r="C207" s="27" t="s">
        <v>259</v>
      </c>
      <c r="D207" s="28" t="n">
        <v>207.36</v>
      </c>
      <c r="E207" s="29" t="n">
        <v>0.1</v>
      </c>
      <c r="F207" s="30" t="n">
        <f aca="false">D207+(D207*E207)</f>
        <v>228.096</v>
      </c>
    </row>
    <row r="208" customFormat="false" ht="15" hidden="false" customHeight="false" outlineLevel="0" collapsed="false">
      <c r="B208" s="22" t="s">
        <v>20</v>
      </c>
      <c r="C208" s="23" t="s">
        <v>260</v>
      </c>
      <c r="D208" s="16" t="n">
        <v>568.31</v>
      </c>
      <c r="E208" s="24" t="n">
        <v>0.1</v>
      </c>
      <c r="F208" s="14" t="n">
        <f aca="false">D208+(D208*E208)</f>
        <v>625.141</v>
      </c>
    </row>
    <row r="209" customFormat="false" ht="15" hidden="false" customHeight="false" outlineLevel="0" collapsed="false">
      <c r="B209" s="26" t="s">
        <v>20</v>
      </c>
      <c r="C209" s="27" t="s">
        <v>261</v>
      </c>
      <c r="D209" s="28" t="n">
        <v>630.5</v>
      </c>
      <c r="E209" s="29" t="n">
        <v>0.1</v>
      </c>
      <c r="F209" s="30" t="n">
        <f aca="false">D209+(D209*E209)</f>
        <v>693.55</v>
      </c>
    </row>
    <row r="210" customFormat="false" ht="15" hidden="false" customHeight="false" outlineLevel="0" collapsed="false">
      <c r="B210" s="22" t="s">
        <v>20</v>
      </c>
      <c r="C210" s="23" t="s">
        <v>262</v>
      </c>
      <c r="D210" s="16" t="n">
        <v>626.95</v>
      </c>
      <c r="E210" s="24" t="n">
        <v>0.1</v>
      </c>
      <c r="F210" s="14" t="n">
        <f aca="false">D210+(D210*E210)</f>
        <v>689.645</v>
      </c>
    </row>
    <row r="211" customFormat="false" ht="15" hidden="false" customHeight="false" outlineLevel="0" collapsed="false">
      <c r="B211" s="26" t="s">
        <v>20</v>
      </c>
      <c r="C211" s="27" t="s">
        <v>177</v>
      </c>
      <c r="D211" s="28" t="n">
        <v>229.2</v>
      </c>
      <c r="E211" s="29" t="n">
        <v>0.1</v>
      </c>
      <c r="F211" s="30" t="n">
        <f aca="false">D211+(D211*E211)</f>
        <v>252.12</v>
      </c>
    </row>
    <row r="212" customFormat="false" ht="15" hidden="false" customHeight="false" outlineLevel="0" collapsed="false">
      <c r="B212" s="22" t="s">
        <v>20</v>
      </c>
      <c r="C212" s="23" t="s">
        <v>263</v>
      </c>
      <c r="D212" s="16" t="n">
        <v>1212.78</v>
      </c>
      <c r="E212" s="24" t="n">
        <v>0.1</v>
      </c>
      <c r="F212" s="14" t="n">
        <f aca="false">D212+(D212*E212)</f>
        <v>1334.058</v>
      </c>
    </row>
    <row r="213" customFormat="false" ht="15" hidden="false" customHeight="false" outlineLevel="0" collapsed="false">
      <c r="B213" s="26" t="s">
        <v>20</v>
      </c>
      <c r="C213" s="27" t="s">
        <v>178</v>
      </c>
      <c r="D213" s="28" t="n">
        <v>558.22</v>
      </c>
      <c r="E213" s="29" t="n">
        <v>0.1</v>
      </c>
      <c r="F213" s="30" t="n">
        <f aca="false">D213+(D213*E213)</f>
        <v>614.042</v>
      </c>
    </row>
    <row r="214" customFormat="false" ht="15" hidden="false" customHeight="false" outlineLevel="0" collapsed="false">
      <c r="B214" s="22" t="s">
        <v>20</v>
      </c>
      <c r="C214" s="23" t="s">
        <v>264</v>
      </c>
      <c r="D214" s="16" t="n">
        <v>175.8</v>
      </c>
      <c r="E214" s="24" t="n">
        <v>0.1</v>
      </c>
      <c r="F214" s="14" t="n">
        <f aca="false">D214+(D214*E214)</f>
        <v>193.38</v>
      </c>
    </row>
    <row r="215" customFormat="false" ht="15" hidden="false" customHeight="false" outlineLevel="0" collapsed="false">
      <c r="B215" s="26" t="s">
        <v>20</v>
      </c>
      <c r="C215" s="27" t="s">
        <v>265</v>
      </c>
      <c r="D215" s="28" t="n">
        <v>497.5</v>
      </c>
      <c r="E215" s="29" t="n">
        <v>0.1</v>
      </c>
      <c r="F215" s="30" t="n">
        <f aca="false">D215+(D215*E215)</f>
        <v>547.25</v>
      </c>
    </row>
    <row r="216" customFormat="false" ht="15" hidden="false" customHeight="false" outlineLevel="0" collapsed="false">
      <c r="B216" s="22" t="s">
        <v>20</v>
      </c>
      <c r="C216" s="23" t="s">
        <v>266</v>
      </c>
      <c r="D216" s="16" t="n">
        <v>180</v>
      </c>
      <c r="E216" s="24" t="n">
        <v>0.1</v>
      </c>
      <c r="F216" s="14" t="n">
        <f aca="false">D216+(D216*E216)</f>
        <v>198</v>
      </c>
    </row>
    <row r="217" customFormat="false" ht="15" hidden="false" customHeight="false" outlineLevel="0" collapsed="false">
      <c r="B217" s="26" t="s">
        <v>20</v>
      </c>
      <c r="C217" s="27" t="s">
        <v>267</v>
      </c>
      <c r="D217" s="28" t="n">
        <v>456.35</v>
      </c>
      <c r="E217" s="29" t="n">
        <v>0.1</v>
      </c>
      <c r="F217" s="30" t="n">
        <f aca="false">D217+(D217*E217)</f>
        <v>501.985</v>
      </c>
    </row>
    <row r="218" customFormat="false" ht="15" hidden="false" customHeight="false" outlineLevel="0" collapsed="false">
      <c r="B218" s="22" t="s">
        <v>20</v>
      </c>
      <c r="C218" s="23" t="s">
        <v>268</v>
      </c>
      <c r="D218" s="16" t="n">
        <v>614.05</v>
      </c>
      <c r="E218" s="24" t="n">
        <v>0.1</v>
      </c>
      <c r="F218" s="14" t="n">
        <f aca="false">D218+(D218*E218)</f>
        <v>675.455</v>
      </c>
    </row>
    <row r="219" customFormat="false" ht="15" hidden="false" customHeight="false" outlineLevel="0" collapsed="false">
      <c r="B219" s="26" t="s">
        <v>20</v>
      </c>
      <c r="C219" s="27" t="s">
        <v>269</v>
      </c>
      <c r="D219" s="28" t="n">
        <v>346.4</v>
      </c>
      <c r="E219" s="29" t="n">
        <v>0.1</v>
      </c>
      <c r="F219" s="30" t="n">
        <f aca="false">D219+(D219*E219)</f>
        <v>381.04</v>
      </c>
    </row>
    <row r="220" customFormat="false" ht="15" hidden="false" customHeight="false" outlineLevel="0" collapsed="false">
      <c r="B220" s="22" t="s">
        <v>20</v>
      </c>
      <c r="C220" s="23" t="s">
        <v>270</v>
      </c>
      <c r="D220" s="16" t="n">
        <v>440.92</v>
      </c>
      <c r="E220" s="24" t="n">
        <v>0.1</v>
      </c>
      <c r="F220" s="14" t="n">
        <f aca="false">D220+(D220*E220)</f>
        <v>485.012</v>
      </c>
    </row>
    <row r="221" customFormat="false" ht="15" hidden="false" customHeight="false" outlineLevel="0" collapsed="false">
      <c r="B221" s="26" t="s">
        <v>20</v>
      </c>
      <c r="C221" s="27" t="s">
        <v>271</v>
      </c>
      <c r="D221" s="28" t="n">
        <v>301.45</v>
      </c>
      <c r="E221" s="29" t="n">
        <v>0.1</v>
      </c>
      <c r="F221" s="30" t="n">
        <f aca="false">D221+(D221*E221)</f>
        <v>331.595</v>
      </c>
    </row>
    <row r="222" customFormat="false" ht="15" hidden="false" customHeight="false" outlineLevel="0" collapsed="false">
      <c r="B222" s="22" t="s">
        <v>20</v>
      </c>
      <c r="C222" s="23" t="s">
        <v>272</v>
      </c>
      <c r="D222" s="16" t="n">
        <v>284</v>
      </c>
      <c r="E222" s="24" t="n">
        <v>0.1</v>
      </c>
      <c r="F222" s="14" t="n">
        <f aca="false">D222+(D222*E222)</f>
        <v>312.4</v>
      </c>
    </row>
    <row r="223" customFormat="false" ht="15" hidden="false" customHeight="false" outlineLevel="0" collapsed="false">
      <c r="B223" s="26" t="s">
        <v>20</v>
      </c>
      <c r="C223" s="27" t="s">
        <v>273</v>
      </c>
      <c r="D223" s="28" t="n">
        <v>448</v>
      </c>
      <c r="E223" s="29" t="n">
        <v>0.1</v>
      </c>
      <c r="F223" s="30" t="n">
        <f aca="false">D223+(D223*E223)</f>
        <v>492.8</v>
      </c>
    </row>
    <row r="224" customFormat="false" ht="15" hidden="false" customHeight="false" outlineLevel="0" collapsed="false">
      <c r="B224" s="22" t="s">
        <v>20</v>
      </c>
      <c r="C224" s="23" t="s">
        <v>274</v>
      </c>
      <c r="D224" s="16" t="n">
        <v>562.17</v>
      </c>
      <c r="E224" s="24" t="n">
        <v>0.1</v>
      </c>
      <c r="F224" s="14" t="n">
        <f aca="false">D224+(D224*E224)</f>
        <v>618.387</v>
      </c>
    </row>
    <row r="225" customFormat="false" ht="15" hidden="false" customHeight="false" outlineLevel="0" collapsed="false">
      <c r="B225" s="26" t="s">
        <v>20</v>
      </c>
      <c r="C225" s="27" t="s">
        <v>275</v>
      </c>
      <c r="D225" s="28" t="n">
        <v>916.32</v>
      </c>
      <c r="E225" s="29" t="n">
        <v>0.1</v>
      </c>
      <c r="F225" s="30" t="n">
        <f aca="false">D225+(D225*E225)</f>
        <v>1007.952</v>
      </c>
    </row>
    <row r="226" customFormat="false" ht="15" hidden="false" customHeight="false" outlineLevel="0" collapsed="false">
      <c r="B226" s="22" t="s">
        <v>20</v>
      </c>
      <c r="C226" s="23" t="s">
        <v>276</v>
      </c>
      <c r="D226" s="16" t="n">
        <v>110</v>
      </c>
      <c r="E226" s="24" t="n">
        <v>0.1</v>
      </c>
      <c r="F226" s="14" t="n">
        <f aca="false">D226+(D226*E226)</f>
        <v>121</v>
      </c>
    </row>
    <row r="227" customFormat="false" ht="15" hidden="false" customHeight="false" outlineLevel="0" collapsed="false">
      <c r="B227" s="26" t="s">
        <v>20</v>
      </c>
      <c r="C227" s="27" t="s">
        <v>277</v>
      </c>
      <c r="D227" s="28" t="n">
        <v>401.85</v>
      </c>
      <c r="E227" s="29" t="n">
        <v>0.1</v>
      </c>
      <c r="F227" s="30" t="n">
        <f aca="false">D227+(D227*E227)</f>
        <v>442.035</v>
      </c>
    </row>
    <row r="228" customFormat="false" ht="15" hidden="false" customHeight="false" outlineLevel="0" collapsed="false">
      <c r="B228" s="22" t="s">
        <v>20</v>
      </c>
      <c r="C228" s="23" t="s">
        <v>278</v>
      </c>
      <c r="D228" s="16" t="n">
        <v>671.25</v>
      </c>
      <c r="E228" s="24" t="n">
        <v>0.1</v>
      </c>
      <c r="F228" s="14" t="n">
        <f aca="false">D228+(D228*E228)</f>
        <v>738.375</v>
      </c>
    </row>
    <row r="229" customFormat="false" ht="15" hidden="false" customHeight="false" outlineLevel="0" collapsed="false">
      <c r="B229" s="26" t="s">
        <v>20</v>
      </c>
      <c r="C229" s="27" t="s">
        <v>279</v>
      </c>
      <c r="D229" s="28" t="n">
        <v>508.81</v>
      </c>
      <c r="E229" s="29" t="n">
        <v>0.1</v>
      </c>
      <c r="F229" s="30" t="n">
        <f aca="false">D229+(D229*E229)</f>
        <v>559.691</v>
      </c>
    </row>
    <row r="230" customFormat="false" ht="15" hidden="false" customHeight="false" outlineLevel="0" collapsed="false">
      <c r="B230" s="22" t="s">
        <v>31</v>
      </c>
      <c r="C230" s="23" t="s">
        <v>280</v>
      </c>
      <c r="D230" s="16" t="n">
        <v>211.9</v>
      </c>
      <c r="E230" s="24" t="n">
        <v>0.1</v>
      </c>
      <c r="F230" s="14" t="n">
        <f aca="false">D230+(D230*E230)</f>
        <v>233.09</v>
      </c>
    </row>
    <row r="231" customFormat="false" ht="15" hidden="false" customHeight="false" outlineLevel="0" collapsed="false">
      <c r="B231" s="26" t="s">
        <v>31</v>
      </c>
      <c r="C231" s="27" t="s">
        <v>281</v>
      </c>
      <c r="D231" s="28" t="n">
        <v>262.89</v>
      </c>
      <c r="E231" s="29" t="n">
        <v>0.1</v>
      </c>
      <c r="F231" s="30" t="n">
        <f aca="false">D231+(D231*E231)</f>
        <v>289.179</v>
      </c>
    </row>
    <row r="232" customFormat="false" ht="15" hidden="false" customHeight="false" outlineLevel="0" collapsed="false">
      <c r="B232" s="22" t="s">
        <v>31</v>
      </c>
      <c r="C232" s="23" t="s">
        <v>282</v>
      </c>
      <c r="D232" s="16" t="n">
        <v>220.89</v>
      </c>
      <c r="E232" s="24" t="n">
        <v>0.1</v>
      </c>
      <c r="F232" s="14" t="n">
        <f aca="false">D232+(D232*E232)</f>
        <v>242.979</v>
      </c>
    </row>
    <row r="233" customFormat="false" ht="15" hidden="false" customHeight="false" outlineLevel="0" collapsed="false">
      <c r="B233" s="26" t="s">
        <v>31</v>
      </c>
      <c r="C233" s="27" t="s">
        <v>283</v>
      </c>
      <c r="D233" s="28" t="n">
        <v>303.57</v>
      </c>
      <c r="E233" s="29" t="n">
        <v>0.1</v>
      </c>
      <c r="F233" s="30" t="n">
        <f aca="false">D233+(D233*E233)</f>
        <v>333.927</v>
      </c>
    </row>
    <row r="234" customFormat="false" ht="15" hidden="false" customHeight="false" outlineLevel="0" collapsed="false">
      <c r="B234" s="22" t="s">
        <v>31</v>
      </c>
      <c r="C234" s="23" t="s">
        <v>284</v>
      </c>
      <c r="D234" s="16" t="n">
        <v>53.05</v>
      </c>
      <c r="E234" s="24" t="n">
        <v>0.1</v>
      </c>
      <c r="F234" s="14" t="n">
        <f aca="false">D234+(D234*E234)</f>
        <v>58.355</v>
      </c>
    </row>
    <row r="235" customFormat="false" ht="15" hidden="false" customHeight="false" outlineLevel="0" collapsed="false">
      <c r="B235" s="26" t="s">
        <v>31</v>
      </c>
      <c r="C235" s="27" t="s">
        <v>285</v>
      </c>
      <c r="D235" s="28" t="n">
        <v>292.32</v>
      </c>
      <c r="E235" s="29" t="n">
        <v>0.1</v>
      </c>
      <c r="F235" s="30" t="n">
        <f aca="false">D235+(D235*E235)</f>
        <v>321.552</v>
      </c>
    </row>
    <row r="236" customFormat="false" ht="15" hidden="false" customHeight="false" outlineLevel="0" collapsed="false">
      <c r="B236" s="22" t="s">
        <v>31</v>
      </c>
      <c r="C236" s="23" t="s">
        <v>286</v>
      </c>
      <c r="D236" s="16" t="n">
        <v>223.7</v>
      </c>
      <c r="E236" s="24" t="n">
        <v>0.1</v>
      </c>
      <c r="F236" s="14" t="n">
        <f aca="false">D236+(D236*E236)</f>
        <v>246.07</v>
      </c>
    </row>
    <row r="237" customFormat="false" ht="15" hidden="false" customHeight="false" outlineLevel="0" collapsed="false">
      <c r="B237" s="26" t="s">
        <v>45</v>
      </c>
      <c r="C237" s="27" t="s">
        <v>287</v>
      </c>
      <c r="D237" s="28" t="n">
        <v>260.57</v>
      </c>
      <c r="E237" s="29" t="n">
        <v>0.1</v>
      </c>
      <c r="F237" s="30" t="n">
        <f aca="false">D237+(D237*E237)</f>
        <v>286.627</v>
      </c>
    </row>
    <row r="238" customFormat="false" ht="15" hidden="false" customHeight="false" outlineLevel="0" collapsed="false">
      <c r="B238" s="22" t="s">
        <v>45</v>
      </c>
      <c r="C238" s="23" t="s">
        <v>288</v>
      </c>
      <c r="D238" s="16" t="n">
        <v>273.17</v>
      </c>
      <c r="E238" s="24" t="n">
        <v>0.1</v>
      </c>
      <c r="F238" s="14" t="n">
        <f aca="false">D238+(D238*E238)</f>
        <v>300.487</v>
      </c>
    </row>
    <row r="239" customFormat="false" ht="15" hidden="false" customHeight="false" outlineLevel="0" collapsed="false">
      <c r="B239" s="26" t="s">
        <v>26</v>
      </c>
      <c r="C239" s="27" t="s">
        <v>289</v>
      </c>
      <c r="D239" s="28" t="n">
        <v>1389.49</v>
      </c>
      <c r="E239" s="29" t="n">
        <v>0.21</v>
      </c>
      <c r="F239" s="30" t="n">
        <f aca="false">D239+(D239*E239)</f>
        <v>1681.2829</v>
      </c>
    </row>
    <row r="240" customFormat="false" ht="15" hidden="false" customHeight="false" outlineLevel="0" collapsed="false">
      <c r="B240" s="22" t="s">
        <v>26</v>
      </c>
      <c r="C240" s="23" t="s">
        <v>290</v>
      </c>
      <c r="D240" s="16" t="n">
        <v>963.55</v>
      </c>
      <c r="E240" s="24" t="n">
        <v>0.21</v>
      </c>
      <c r="F240" s="14" t="n">
        <f aca="false">D240+(D240*E240)</f>
        <v>1165.8955</v>
      </c>
    </row>
    <row r="241" customFormat="false" ht="15" hidden="false" customHeight="false" outlineLevel="0" collapsed="false">
      <c r="B241" s="26" t="s">
        <v>26</v>
      </c>
      <c r="C241" s="27" t="s">
        <v>291</v>
      </c>
      <c r="D241" s="28" t="n">
        <v>152.52</v>
      </c>
      <c r="E241" s="29" t="n">
        <v>0.21</v>
      </c>
      <c r="F241" s="30" t="n">
        <f aca="false">D241+(D241*E241)</f>
        <v>184.5492</v>
      </c>
    </row>
    <row r="242" customFormat="false" ht="15" hidden="false" customHeight="false" outlineLevel="0" collapsed="false">
      <c r="B242" s="22" t="s">
        <v>26</v>
      </c>
      <c r="C242" s="23" t="s">
        <v>292</v>
      </c>
      <c r="D242" s="16" t="n">
        <v>456.92</v>
      </c>
      <c r="E242" s="24" t="n">
        <v>0.21</v>
      </c>
      <c r="F242" s="14" t="n">
        <f aca="false">D242+(D242*E242)</f>
        <v>552.8732</v>
      </c>
    </row>
    <row r="243" customFormat="false" ht="15" hidden="false" customHeight="false" outlineLevel="0" collapsed="false">
      <c r="B243" s="26" t="s">
        <v>26</v>
      </c>
      <c r="C243" s="27" t="s">
        <v>293</v>
      </c>
      <c r="D243" s="28" t="n">
        <v>328.84</v>
      </c>
      <c r="E243" s="29" t="n">
        <v>0.21</v>
      </c>
      <c r="F243" s="30" t="n">
        <f aca="false">D243+(D243*E243)</f>
        <v>397.8964</v>
      </c>
    </row>
    <row r="244" customFormat="false" ht="15" hidden="false" customHeight="false" outlineLevel="0" collapsed="false">
      <c r="B244" s="22" t="s">
        <v>44</v>
      </c>
      <c r="C244" s="23" t="s">
        <v>260</v>
      </c>
      <c r="D244" s="16" t="n">
        <v>36</v>
      </c>
      <c r="E244" s="24" t="n">
        <v>0.1</v>
      </c>
      <c r="F244" s="14" t="n">
        <f aca="false">D244+(D244*E244)</f>
        <v>39.6</v>
      </c>
    </row>
    <row r="245" customFormat="false" ht="15" hidden="false" customHeight="false" outlineLevel="0" collapsed="false">
      <c r="B245" s="26" t="s">
        <v>44</v>
      </c>
      <c r="C245" s="27" t="s">
        <v>262</v>
      </c>
      <c r="D245" s="28" t="n">
        <v>63</v>
      </c>
      <c r="E245" s="29" t="n">
        <v>0.1</v>
      </c>
      <c r="F245" s="30" t="n">
        <f aca="false">D245+(D245*E245)</f>
        <v>69.3</v>
      </c>
    </row>
    <row r="246" customFormat="false" ht="15" hidden="false" customHeight="false" outlineLevel="0" collapsed="false">
      <c r="B246" s="22" t="s">
        <v>44</v>
      </c>
      <c r="C246" s="23" t="s">
        <v>177</v>
      </c>
      <c r="D246" s="16" t="n">
        <v>36.51</v>
      </c>
      <c r="E246" s="24" t="n">
        <v>0.1</v>
      </c>
      <c r="F246" s="14" t="n">
        <f aca="false">D246+(D246*E246)</f>
        <v>40.161</v>
      </c>
    </row>
    <row r="247" customFormat="false" ht="15" hidden="false" customHeight="false" outlineLevel="0" collapsed="false">
      <c r="B247" s="26" t="s">
        <v>44</v>
      </c>
      <c r="C247" s="27" t="s">
        <v>263</v>
      </c>
      <c r="D247" s="28" t="n">
        <v>60</v>
      </c>
      <c r="E247" s="29" t="n">
        <v>0.04</v>
      </c>
      <c r="F247" s="30" t="n">
        <f aca="false">D247+(D247*E247)</f>
        <v>62.4</v>
      </c>
    </row>
    <row r="248" customFormat="false" ht="15" hidden="false" customHeight="false" outlineLevel="0" collapsed="false">
      <c r="B248" s="22" t="s">
        <v>44</v>
      </c>
      <c r="C248" s="23" t="s">
        <v>178</v>
      </c>
      <c r="D248" s="16" t="n">
        <v>60.45</v>
      </c>
      <c r="E248" s="24" t="n">
        <v>0.04</v>
      </c>
      <c r="F248" s="14" t="n">
        <f aca="false">D248+(D248*E248)</f>
        <v>62.868</v>
      </c>
    </row>
    <row r="249" customFormat="false" ht="15" hidden="false" customHeight="false" outlineLevel="0" collapsed="false">
      <c r="B249" s="26" t="s">
        <v>44</v>
      </c>
      <c r="C249" s="27" t="s">
        <v>266</v>
      </c>
      <c r="D249" s="28" t="n">
        <v>36</v>
      </c>
      <c r="E249" s="29" t="n">
        <v>0.04</v>
      </c>
      <c r="F249" s="30" t="n">
        <f aca="false">D249+(D249*E249)</f>
        <v>37.44</v>
      </c>
    </row>
    <row r="250" customFormat="false" ht="15" hidden="false" customHeight="false" outlineLevel="0" collapsed="false">
      <c r="B250" s="22" t="s">
        <v>44</v>
      </c>
      <c r="C250" s="23" t="s">
        <v>267</v>
      </c>
      <c r="D250" s="16" t="n">
        <v>39.18</v>
      </c>
      <c r="E250" s="24" t="n">
        <v>0.04</v>
      </c>
      <c r="F250" s="14" t="n">
        <f aca="false">D250+(D250*E250)</f>
        <v>40.7472</v>
      </c>
    </row>
    <row r="251" customFormat="false" ht="15" hidden="false" customHeight="false" outlineLevel="0" collapsed="false">
      <c r="B251" s="26" t="s">
        <v>44</v>
      </c>
      <c r="C251" s="27" t="s">
        <v>268</v>
      </c>
      <c r="D251" s="28" t="n">
        <v>36.21</v>
      </c>
      <c r="E251" s="29" t="n">
        <v>0.04</v>
      </c>
      <c r="F251" s="30" t="n">
        <f aca="false">D251+(D251*E251)</f>
        <v>37.6584</v>
      </c>
    </row>
    <row r="252" customFormat="false" ht="15" hidden="false" customHeight="false" outlineLevel="0" collapsed="false">
      <c r="B252" s="22" t="s">
        <v>44</v>
      </c>
      <c r="C252" s="23" t="s">
        <v>270</v>
      </c>
      <c r="D252" s="16" t="n">
        <v>36</v>
      </c>
      <c r="E252" s="24" t="n">
        <v>0.04</v>
      </c>
      <c r="F252" s="14" t="n">
        <f aca="false">D252+(D252*E252)</f>
        <v>37.44</v>
      </c>
    </row>
    <row r="253" customFormat="false" ht="15" hidden="false" customHeight="false" outlineLevel="0" collapsed="false">
      <c r="B253" s="26" t="s">
        <v>44</v>
      </c>
      <c r="C253" s="27" t="s">
        <v>275</v>
      </c>
      <c r="D253" s="28" t="n">
        <v>36</v>
      </c>
      <c r="E253" s="29" t="n">
        <v>0.04</v>
      </c>
      <c r="F253" s="30" t="n">
        <f aca="false">D253+(D253*E253)</f>
        <v>37.44</v>
      </c>
    </row>
    <row r="254" customFormat="false" ht="15" hidden="false" customHeight="false" outlineLevel="0" collapsed="false">
      <c r="B254" s="22" t="s">
        <v>44</v>
      </c>
      <c r="C254" s="23" t="s">
        <v>277</v>
      </c>
      <c r="D254" s="16" t="n">
        <v>37.2</v>
      </c>
      <c r="E254" s="24" t="n">
        <v>0.04</v>
      </c>
      <c r="F254" s="14" t="n">
        <f aca="false">D254+(D254*E254)</f>
        <v>38.688</v>
      </c>
    </row>
    <row r="255" customFormat="false" ht="15" hidden="false" customHeight="false" outlineLevel="0" collapsed="false">
      <c r="B255" s="26" t="s">
        <v>44</v>
      </c>
      <c r="C255" s="27" t="s">
        <v>278</v>
      </c>
      <c r="D255" s="28" t="n">
        <v>36</v>
      </c>
      <c r="E255" s="29" t="n">
        <v>0.04</v>
      </c>
      <c r="F255" s="30" t="n">
        <f aca="false">D255+(D255*E255)</f>
        <v>37.44</v>
      </c>
    </row>
    <row r="256" customFormat="false" ht="15" hidden="false" customHeight="false" outlineLevel="0" collapsed="false">
      <c r="B256" s="22" t="s">
        <v>44</v>
      </c>
      <c r="C256" s="23" t="s">
        <v>279</v>
      </c>
      <c r="D256" s="16" t="n">
        <v>36</v>
      </c>
      <c r="E256" s="24" t="n">
        <v>0.04</v>
      </c>
      <c r="F256" s="14" t="n">
        <f aca="false">D256+(D256*E256)</f>
        <v>37.44</v>
      </c>
    </row>
    <row r="257" customFormat="false" ht="15" hidden="false" customHeight="false" outlineLevel="0" collapsed="false">
      <c r="B257" s="26" t="s">
        <v>44</v>
      </c>
      <c r="C257" s="27" t="s">
        <v>272</v>
      </c>
      <c r="D257" s="28" t="n">
        <v>36.42</v>
      </c>
      <c r="E257" s="29" t="n">
        <v>0.04</v>
      </c>
      <c r="F257" s="30" t="n">
        <f aca="false">D257+(D257*E257)</f>
        <v>37.8768</v>
      </c>
    </row>
    <row r="258" customFormat="false" ht="15" hidden="false" customHeight="false" outlineLevel="0" collapsed="false">
      <c r="B258" s="22" t="s">
        <v>49</v>
      </c>
      <c r="C258" s="23" t="s">
        <v>294</v>
      </c>
      <c r="D258" s="16" t="n">
        <v>270.4</v>
      </c>
      <c r="E258" s="24" t="n">
        <v>0.1</v>
      </c>
      <c r="F258" s="14" t="n">
        <f aca="false">D258+(D258*E258)</f>
        <v>297.44</v>
      </c>
    </row>
    <row r="259" customFormat="false" ht="15" hidden="false" customHeight="false" outlineLevel="0" collapsed="false">
      <c r="B259" s="26" t="s">
        <v>52</v>
      </c>
      <c r="C259" s="27" t="s">
        <v>295</v>
      </c>
      <c r="D259" s="28" t="n">
        <v>202.8</v>
      </c>
      <c r="E259" s="29" t="n">
        <v>0.21</v>
      </c>
      <c r="F259" s="30" t="n">
        <f aca="false">D259+(D259*E259)</f>
        <v>245.388</v>
      </c>
    </row>
    <row r="260" customFormat="false" ht="15" hidden="false" customHeight="false" outlineLevel="0" collapsed="false">
      <c r="B260" s="22" t="s">
        <v>21</v>
      </c>
      <c r="C260" s="23" t="s">
        <v>296</v>
      </c>
      <c r="D260" s="16" t="n">
        <v>75.45</v>
      </c>
      <c r="E260" s="24" t="n">
        <v>0.1</v>
      </c>
      <c r="F260" s="14" t="n">
        <f aca="false">D260+(D260*E260)</f>
        <v>82.995</v>
      </c>
    </row>
    <row r="261" customFormat="false" ht="15" hidden="false" customHeight="false" outlineLevel="0" collapsed="false">
      <c r="B261" s="26" t="s">
        <v>21</v>
      </c>
      <c r="C261" s="27" t="s">
        <v>296</v>
      </c>
      <c r="D261" s="28" t="n">
        <v>68.41</v>
      </c>
      <c r="E261" s="29" t="n">
        <v>0.21</v>
      </c>
      <c r="F261" s="30" t="n">
        <f aca="false">D261+(D261*E261)</f>
        <v>82.7761</v>
      </c>
    </row>
    <row r="262" customFormat="false" ht="15" hidden="false" customHeight="false" outlineLevel="0" collapsed="false">
      <c r="B262" s="22" t="s">
        <v>21</v>
      </c>
      <c r="C262" s="23" t="s">
        <v>297</v>
      </c>
      <c r="D262" s="16" t="n">
        <v>156.75</v>
      </c>
      <c r="E262" s="24" t="n">
        <v>0.1</v>
      </c>
      <c r="F262" s="14" t="n">
        <f aca="false">D262+(D262*E262)</f>
        <v>172.425</v>
      </c>
    </row>
    <row r="263" customFormat="false" ht="15" hidden="false" customHeight="false" outlineLevel="0" collapsed="false">
      <c r="B263" s="26" t="s">
        <v>21</v>
      </c>
      <c r="C263" s="27" t="s">
        <v>297</v>
      </c>
      <c r="D263" s="28" t="n">
        <v>598.88</v>
      </c>
      <c r="E263" s="29" t="n">
        <v>0.21</v>
      </c>
      <c r="F263" s="30" t="n">
        <f aca="false">D263+(D263*E263)</f>
        <v>724.6448</v>
      </c>
    </row>
    <row r="264" customFormat="false" ht="15" hidden="false" customHeight="false" outlineLevel="0" collapsed="false">
      <c r="B264" s="22" t="s">
        <v>21</v>
      </c>
      <c r="C264" s="23" t="s">
        <v>298</v>
      </c>
      <c r="D264" s="16" t="n">
        <v>184.27</v>
      </c>
      <c r="E264" s="24" t="n">
        <v>0.21</v>
      </c>
      <c r="F264" s="14" t="n">
        <f aca="false">D264+(D264*E264)</f>
        <v>222.9667</v>
      </c>
    </row>
    <row r="265" customFormat="false" ht="15" hidden="false" customHeight="false" outlineLevel="0" collapsed="false">
      <c r="B265" s="26" t="s">
        <v>21</v>
      </c>
      <c r="C265" s="27" t="s">
        <v>299</v>
      </c>
      <c r="D265" s="28" t="n">
        <v>180.34</v>
      </c>
      <c r="E265" s="29" t="n">
        <v>0.1</v>
      </c>
      <c r="F265" s="30" t="n">
        <f aca="false">D265+(D265*E265)</f>
        <v>198.374</v>
      </c>
    </row>
    <row r="266" customFormat="false" ht="15" hidden="false" customHeight="false" outlineLevel="0" collapsed="false">
      <c r="B266" s="22" t="s">
        <v>21</v>
      </c>
      <c r="C266" s="23" t="s">
        <v>299</v>
      </c>
      <c r="D266" s="16" t="n">
        <v>1256.82</v>
      </c>
      <c r="E266" s="24" t="n">
        <v>0.21</v>
      </c>
      <c r="F266" s="14" t="n">
        <f aca="false">D266+(D266*E266)</f>
        <v>1520.7522</v>
      </c>
    </row>
    <row r="267" customFormat="false" ht="15" hidden="false" customHeight="false" outlineLevel="0" collapsed="false">
      <c r="B267" s="26" t="s">
        <v>21</v>
      </c>
      <c r="C267" s="27" t="s">
        <v>300</v>
      </c>
      <c r="D267" s="28" t="n">
        <v>26.52</v>
      </c>
      <c r="E267" s="29" t="n">
        <v>0.1</v>
      </c>
      <c r="F267" s="30" t="n">
        <f aca="false">D267+(D267*E267)</f>
        <v>29.172</v>
      </c>
    </row>
    <row r="268" customFormat="false" ht="15" hidden="false" customHeight="false" outlineLevel="0" collapsed="false">
      <c r="B268" s="22" t="s">
        <v>21</v>
      </c>
      <c r="C268" s="23" t="s">
        <v>300</v>
      </c>
      <c r="D268" s="16" t="n">
        <v>547.04</v>
      </c>
      <c r="E268" s="24" t="n">
        <v>0.21</v>
      </c>
      <c r="F268" s="14" t="n">
        <f aca="false">D268+(D268*E268)</f>
        <v>661.9184</v>
      </c>
    </row>
    <row r="269" customFormat="false" ht="15" hidden="false" customHeight="false" outlineLevel="0" collapsed="false">
      <c r="B269" s="26" t="s">
        <v>21</v>
      </c>
      <c r="C269" s="27" t="s">
        <v>301</v>
      </c>
      <c r="D269" s="28" t="n">
        <v>148.18</v>
      </c>
      <c r="E269" s="29" t="n">
        <v>0.1</v>
      </c>
      <c r="F269" s="30" t="n">
        <f aca="false">D269+(D269*E269)</f>
        <v>162.998</v>
      </c>
    </row>
    <row r="270" customFormat="false" ht="15" hidden="false" customHeight="false" outlineLevel="0" collapsed="false">
      <c r="B270" s="22" t="s">
        <v>21</v>
      </c>
      <c r="C270" s="23" t="s">
        <v>301</v>
      </c>
      <c r="D270" s="16" t="n">
        <v>994.47</v>
      </c>
      <c r="E270" s="24" t="n">
        <v>0.21</v>
      </c>
      <c r="F270" s="14" t="n">
        <f aca="false">D270+(D270*E270)</f>
        <v>1203.3087</v>
      </c>
    </row>
    <row r="271" customFormat="false" ht="15" hidden="false" customHeight="false" outlineLevel="0" collapsed="false">
      <c r="B271" s="26" t="s">
        <v>21</v>
      </c>
      <c r="C271" s="27" t="s">
        <v>302</v>
      </c>
      <c r="D271" s="28" t="n">
        <v>202.48</v>
      </c>
      <c r="E271" s="29" t="n">
        <v>0.1</v>
      </c>
      <c r="F271" s="30" t="n">
        <f aca="false">D271+(D271*E271)</f>
        <v>222.728</v>
      </c>
    </row>
    <row r="272" customFormat="false" ht="15" hidden="false" customHeight="false" outlineLevel="0" collapsed="false">
      <c r="B272" s="22" t="s">
        <v>21</v>
      </c>
      <c r="C272" s="23" t="s">
        <v>302</v>
      </c>
      <c r="D272" s="16" t="n">
        <v>677.79</v>
      </c>
      <c r="E272" s="24" t="n">
        <v>0.21</v>
      </c>
      <c r="F272" s="14" t="n">
        <f aca="false">D272+(D272*E272)</f>
        <v>820.1259</v>
      </c>
    </row>
    <row r="273" customFormat="false" ht="15" hidden="false" customHeight="false" outlineLevel="0" collapsed="false">
      <c r="B273" s="26" t="s">
        <v>21</v>
      </c>
      <c r="C273" s="27" t="s">
        <v>303</v>
      </c>
      <c r="D273" s="28" t="n">
        <v>171.64</v>
      </c>
      <c r="E273" s="29" t="n">
        <v>0.1</v>
      </c>
      <c r="F273" s="30" t="n">
        <f aca="false">D273+(D273*E273)</f>
        <v>188.804</v>
      </c>
    </row>
    <row r="274" customFormat="false" ht="15" hidden="false" customHeight="false" outlineLevel="0" collapsed="false">
      <c r="B274" s="22" t="s">
        <v>21</v>
      </c>
      <c r="C274" s="23" t="s">
        <v>303</v>
      </c>
      <c r="D274" s="16" t="n">
        <v>1257.42</v>
      </c>
      <c r="E274" s="24" t="n">
        <v>0.21</v>
      </c>
      <c r="F274" s="14" t="n">
        <f aca="false">D274+(D274*E274)</f>
        <v>1521.4782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2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7" min="5" style="0" width="15"/>
    <col collapsed="false" customWidth="true" hidden="false" outlineLevel="0" max="8" min="8" style="0" width="11"/>
    <col collapsed="false" customWidth="true" hidden="false" outlineLevel="0" max="9" min="9" style="0" width="60"/>
  </cols>
  <sheetData>
    <row r="2" customFormat="false" ht="17.35" hidden="false" customHeight="false" outlineLevel="0" collapsed="false">
      <c r="A2" s="32" t="s">
        <v>304</v>
      </c>
      <c r="B2" s="32"/>
      <c r="C2" s="32"/>
      <c r="D2" s="32"/>
      <c r="E2" s="32"/>
      <c r="F2" s="32"/>
      <c r="G2" s="32"/>
      <c r="H2" s="32"/>
      <c r="I2" s="32"/>
    </row>
    <row r="3" customFormat="false" ht="30" hidden="false" customHeight="true" outlineLevel="0" collapsed="false">
      <c r="A3" s="33" t="s">
        <v>305</v>
      </c>
      <c r="B3" s="33"/>
      <c r="C3" s="33"/>
      <c r="D3" s="33"/>
      <c r="E3" s="33"/>
      <c r="F3" s="33"/>
      <c r="G3" s="33"/>
      <c r="H3" s="33"/>
      <c r="I3" s="33"/>
    </row>
    <row r="5" customFormat="false" ht="45" hidden="false" customHeight="true" outlineLevel="0" collapsed="false">
      <c r="A5" s="10" t="s">
        <v>13</v>
      </c>
      <c r="B5" s="10" t="s">
        <v>306</v>
      </c>
      <c r="C5" s="10" t="s">
        <v>307</v>
      </c>
      <c r="D5" s="10" t="s">
        <v>308</v>
      </c>
      <c r="E5" s="10" t="s">
        <v>309</v>
      </c>
      <c r="F5" s="10" t="s">
        <v>310</v>
      </c>
      <c r="G5" s="10" t="s">
        <v>311</v>
      </c>
      <c r="H5" s="10" t="s">
        <v>312</v>
      </c>
      <c r="I5" s="10" t="s">
        <v>313</v>
      </c>
    </row>
    <row r="6" customFormat="false" ht="15" hidden="false" customHeight="false" outlineLevel="0" collapsed="false">
      <c r="A6" s="22" t="s">
        <v>36</v>
      </c>
      <c r="B6" s="34" t="s">
        <v>314</v>
      </c>
      <c r="C6" s="35" t="n">
        <f aca="false">SUM(_____AGMASFOOD!F6:F300)</f>
        <v>1122.98</v>
      </c>
      <c r="D6" s="35" t="n">
        <f aca="false">SUM(_____AGMASFOOD!I9:I300)</f>
        <v>1122.99</v>
      </c>
      <c r="E6" s="35" t="n">
        <f aca="false">SUMIF('TOTAL JULIO'!$B$4:$B$2000,"AGMASFOOD",'TOTAL JULIO'!$D$4:$D$2000)</f>
        <v>1122.99</v>
      </c>
      <c r="F6" s="35" t="n">
        <f aca="false">IF(D6="","",ROUND(C6-D6,2))</f>
        <v>-0.01</v>
      </c>
      <c r="G6" s="35" t="n">
        <f aca="false">IF(D6="",ROUND(C6-E6,2),ROUND(D6-E6,2))</f>
        <v>0</v>
      </c>
      <c r="H6" s="36" t="str">
        <f aca="false">IF(AND(ABS(N(F6))&lt;=0.05,ABS(G6)&lt;=0.05),"OK","REVISAR")</f>
        <v>OK</v>
      </c>
      <c r="I6" s="22"/>
    </row>
    <row r="7" customFormat="false" ht="15" hidden="false" customHeight="false" outlineLevel="0" collapsed="false">
      <c r="A7" s="22" t="s">
        <v>23</v>
      </c>
      <c r="B7" s="34" t="s">
        <v>314</v>
      </c>
      <c r="C7" s="35" t="n">
        <f aca="false">SUM(_____AGROFOOD!F6:F300)</f>
        <v>4059.71</v>
      </c>
      <c r="D7" s="35" t="n">
        <f aca="false">SUM(_____AGROFOOD!I9:I300)</f>
        <v>4059.72</v>
      </c>
      <c r="E7" s="35" t="n">
        <f aca="false">SUMIF('TOTAL JULIO'!$B$4:$B$2000,"AGROFOOD",'TOTAL JULIO'!$D$4:$D$2000)</f>
        <v>4059.72</v>
      </c>
      <c r="F7" s="35" t="n">
        <f aca="false">IF(D7="","",ROUND(C7-D7,2))</f>
        <v>-0.01</v>
      </c>
      <c r="G7" s="35" t="n">
        <f aca="false">IF(D7="",ROUND(C7-E7,2),ROUND(D7-E7,2))</f>
        <v>0</v>
      </c>
      <c r="H7" s="36" t="str">
        <f aca="false">IF(AND(ABS(N(F7))&lt;=0.05,ABS(G7)&lt;=0.05),"OK","REVISAR")</f>
        <v>OK</v>
      </c>
      <c r="I7" s="22"/>
    </row>
    <row r="8" customFormat="false" ht="15" hidden="false" customHeight="false" outlineLevel="0" collapsed="false">
      <c r="A8" s="22" t="s">
        <v>48</v>
      </c>
      <c r="B8" s="34" t="s">
        <v>314</v>
      </c>
      <c r="C8" s="35" t="n">
        <f aca="false">SUM('_____ANTONIO DE MIGUEL'!F6:F300)</f>
        <v>280.3</v>
      </c>
      <c r="D8" s="35" t="n">
        <f aca="false">SUM('_____ANTONIO DE MIGUEL'!I9:I300)</f>
        <v>280.3</v>
      </c>
      <c r="E8" s="35" t="n">
        <f aca="false">SUMIF('TOTAL JULIO'!$B$4:$B$2000,"ANTONIO DE MIGUEL",'TOTAL JULIO'!$D$4:$D$2000)</f>
        <v>280.3</v>
      </c>
      <c r="F8" s="35" t="n">
        <f aca="false">IF(D8="","",ROUND(C8-D8,2))</f>
        <v>0</v>
      </c>
      <c r="G8" s="35" t="n">
        <f aca="false">IF(D8="",ROUND(C8-E8,2),ROUND(D8-E8,2))</f>
        <v>0</v>
      </c>
      <c r="H8" s="36" t="str">
        <f aca="false">IF(AND(ABS(N(F8))&lt;=0.05,ABS(G8)&lt;=0.05),"OK","REVISAR")</f>
        <v>OK</v>
      </c>
      <c r="I8" s="22"/>
    </row>
    <row r="9" customFormat="false" ht="15" hidden="false" customHeight="false" outlineLevel="0" collapsed="false">
      <c r="A9" s="22" t="s">
        <v>47</v>
      </c>
      <c r="B9" s="34" t="s">
        <v>314</v>
      </c>
      <c r="C9" s="35" t="n">
        <f aca="false">SUM(_____CALIDOSCOPI!F6:F300)</f>
        <v>339</v>
      </c>
      <c r="D9" s="35" t="n">
        <f aca="false">SUM(_____CALIDOSCOPI!I9:I300)</f>
        <v>339</v>
      </c>
      <c r="E9" s="35" t="n">
        <f aca="false">SUMIF('TOTAL JULIO'!$B$4:$B$2000,"CALIDOSCOPI",'TOTAL JULIO'!$D$4:$D$2000)</f>
        <v>339</v>
      </c>
      <c r="F9" s="35" t="n">
        <f aca="false">IF(D9="","",ROUND(C9-D9,2))</f>
        <v>0</v>
      </c>
      <c r="G9" s="35" t="n">
        <f aca="false">IF(D9="",ROUND(C9-E9,2),ROUND(D9-E9,2))</f>
        <v>0</v>
      </c>
      <c r="H9" s="36" t="str">
        <f aca="false">IF(AND(ABS(N(F9))&lt;=0.05,ABS(G9)&lt;=0.05),"OK","REVISAR")</f>
        <v>OK</v>
      </c>
      <c r="I9" s="22"/>
    </row>
    <row r="10" customFormat="false" ht="15" hidden="false" customHeight="false" outlineLevel="0" collapsed="false">
      <c r="A10" s="22" t="s">
        <v>32</v>
      </c>
      <c r="B10" s="34" t="s">
        <v>314</v>
      </c>
      <c r="C10" s="35" t="n">
        <f aca="false">SUM('_____CARNICAS MEAT'!F6:F300)</f>
        <v>1412.40775</v>
      </c>
      <c r="D10" s="35" t="n">
        <f aca="false">SUM('_____CARNICAS MEAT'!I9:I300)</f>
        <v>1412.35</v>
      </c>
      <c r="E10" s="35" t="n">
        <f aca="false">SUMIF('TOTAL JULIO'!$B$4:$B$2000,"CARNICAS MEAT",'TOTAL JULIO'!$D$4:$D$2000)</f>
        <v>1412.35</v>
      </c>
      <c r="F10" s="35" t="n">
        <f aca="false">IF(D10="","",ROUND(C10-D10,2))</f>
        <v>0.06</v>
      </c>
      <c r="G10" s="35" t="n">
        <f aca="false">IF(D10="",ROUND(C10-E10,2),ROUND(D10-E10,2))</f>
        <v>0</v>
      </c>
      <c r="H10" s="36" t="str">
        <f aca="false">IF(AND(ABS(N(F10))&lt;=0.05,ABS(G10)&lt;=0.05),"OK","REVISAR")</f>
        <v>REVISAR</v>
      </c>
      <c r="I10" s="22" t="s">
        <v>315</v>
      </c>
    </row>
    <row r="11" customFormat="false" ht="15" hidden="false" customHeight="false" outlineLevel="0" collapsed="false">
      <c r="A11" s="22" t="s">
        <v>50</v>
      </c>
      <c r="B11" s="34" t="s">
        <v>314</v>
      </c>
      <c r="C11" s="35" t="n">
        <f aca="false">SUM('_____CARNICAS OPC'!F6:F300)</f>
        <v>240.66</v>
      </c>
      <c r="D11" s="35" t="n">
        <f aca="false">SUM('_____CARNICAS OPC'!I9:I300)</f>
        <v>240.66</v>
      </c>
      <c r="E11" s="35" t="n">
        <f aca="false">SUMIF('TOTAL JULIO'!$B$4:$B$2000,"CARNICAS OPC",'TOTAL JULIO'!$D$4:$D$2000)</f>
        <v>240.66</v>
      </c>
      <c r="F11" s="35" t="n">
        <f aca="false">IF(D11="","",ROUND(C11-D11,2))</f>
        <v>0</v>
      </c>
      <c r="G11" s="35" t="n">
        <f aca="false">IF(D11="",ROUND(C11-E11,2),ROUND(D11-E11,2))</f>
        <v>0</v>
      </c>
      <c r="H11" s="36" t="str">
        <f aca="false">IF(AND(ABS(N(F11))&lt;=0.05,ABS(G11)&lt;=0.05),"OK","REVISAR")</f>
        <v>OK</v>
      </c>
      <c r="I11" s="22"/>
    </row>
    <row r="12" customFormat="false" ht="15" hidden="false" customHeight="false" outlineLevel="0" collapsed="false">
      <c r="A12" s="22" t="s">
        <v>28</v>
      </c>
      <c r="B12" s="34" t="s">
        <v>314</v>
      </c>
      <c r="C12" s="35" t="n">
        <f aca="false">SUM('_____COCA-COLA'!F6:F300)</f>
        <v>2124</v>
      </c>
      <c r="D12" s="35" t="n">
        <f aca="false">SUM('_____COCA-COLA'!I9:I300)</f>
        <v>2124.02</v>
      </c>
      <c r="E12" s="35" t="n">
        <f aca="false">SUMIF('TOTAL JULIO'!$B$4:$B$2000,"COCACOLA",'TOTAL JULIO'!$D$4:$D$2000)</f>
        <v>2124.02</v>
      </c>
      <c r="F12" s="35" t="n">
        <f aca="false">IF(D12="","",ROUND(C12-D12,2))</f>
        <v>-0.02</v>
      </c>
      <c r="G12" s="35" t="n">
        <f aca="false">IF(D12="",ROUND(C12-E12,2),ROUND(D12-E12,2))</f>
        <v>0</v>
      </c>
      <c r="H12" s="36" t="str">
        <f aca="false">IF(AND(ABS(N(F12))&lt;=0.05,ABS(G12)&lt;=0.05),"OK","REVISAR")</f>
        <v>OK</v>
      </c>
      <c r="I12" s="22"/>
    </row>
    <row r="13" customFormat="false" ht="15" hidden="false" customHeight="false" outlineLevel="0" collapsed="false">
      <c r="A13" s="22" t="s">
        <v>41</v>
      </c>
      <c r="B13" s="34" t="s">
        <v>314</v>
      </c>
      <c r="C13" s="35" t="n">
        <f aca="false">SUM('_____CONS. SELEC. SANT'!F6:F300)</f>
        <v>705.24</v>
      </c>
      <c r="D13" s="35" t="n">
        <f aca="false">SUM('_____CONS. SELEC. SANT'!I9:I300)</f>
        <v>705.24</v>
      </c>
      <c r="E13" s="35" t="n">
        <f aca="false">SUMIF('TOTAL JULIO'!$B$4:$B$2000,"CONS. SELEC. SANTO",'TOTAL JULIO'!$D$4:$D$2000)</f>
        <v>705.24</v>
      </c>
      <c r="F13" s="35" t="n">
        <f aca="false">IF(D13="","",ROUND(C13-D13,2))</f>
        <v>0</v>
      </c>
      <c r="G13" s="35" t="n">
        <f aca="false">IF(D13="",ROUND(C13-E13,2),ROUND(D13-E13,2))</f>
        <v>0</v>
      </c>
      <c r="H13" s="36" t="str">
        <f aca="false">IF(AND(ABS(N(F13))&lt;=0.05,ABS(G13)&lt;=0.05),"OK","REVISAR")</f>
        <v>OK</v>
      </c>
      <c r="I13" s="22"/>
    </row>
    <row r="14" customFormat="false" ht="15" hidden="false" customHeight="false" outlineLevel="0" collapsed="false">
      <c r="A14" s="22" t="s">
        <v>24</v>
      </c>
      <c r="B14" s="34" t="s">
        <v>314</v>
      </c>
      <c r="C14" s="35" t="n">
        <f aca="false">SUM('_____CONS. Y SALAZONES'!F6:F300)</f>
        <v>3739.93872</v>
      </c>
      <c r="D14" s="35" t="n">
        <f aca="false">SUM('_____CONS. Y SALAZONES'!I9:I300)</f>
        <v>3739.92</v>
      </c>
      <c r="E14" s="35" t="n">
        <f aca="false">SUMIF('TOTAL JULIO'!$B$4:$B$2000,"CONS. Y SAL. JIMENEZ",'TOTAL JULIO'!$D$4:$D$2000)</f>
        <v>3739.92</v>
      </c>
      <c r="F14" s="35" t="n">
        <f aca="false">IF(D14="","",ROUND(C14-D14,2))</f>
        <v>0.02</v>
      </c>
      <c r="G14" s="35" t="n">
        <f aca="false">IF(D14="",ROUND(C14-E14,2),ROUND(D14-E14,2))</f>
        <v>0</v>
      </c>
      <c r="H14" s="36" t="str">
        <f aca="false">IF(AND(ABS(N(F14))&lt;=0.05,ABS(G14)&lt;=0.05),"OK","REVISAR")</f>
        <v>OK</v>
      </c>
      <c r="I14" s="22"/>
    </row>
    <row r="15" customFormat="false" ht="15" hidden="false" customHeight="false" outlineLevel="0" collapsed="false">
      <c r="A15" s="22" t="s">
        <v>37</v>
      </c>
      <c r="B15" s="34" t="s">
        <v>314</v>
      </c>
      <c r="C15" s="35" t="n">
        <f aca="false">SUM('_____CRNAS SERVAN'!F6:F300)</f>
        <v>1086.025</v>
      </c>
      <c r="D15" s="35" t="n">
        <f aca="false">SUM('_____CRNAS SERVAN'!I9:I300)</f>
        <v>1086.03</v>
      </c>
      <c r="E15" s="35" t="n">
        <f aca="false">SUMIF('TOTAL JULIO'!$B$4:$B$2000,"CRNAS SERVAN",'TOTAL JULIO'!$D$4:$D$2000)</f>
        <v>1086.03</v>
      </c>
      <c r="F15" s="35" t="n">
        <f aca="false">IF(D15="","",ROUND(C15-D15,2))</f>
        <v>-0</v>
      </c>
      <c r="G15" s="35" t="n">
        <f aca="false">IF(D15="",ROUND(C15-E15,2),ROUND(D15-E15,2))</f>
        <v>0</v>
      </c>
      <c r="H15" s="36" t="str">
        <f aca="false">IF(AND(ABS(N(F15))&lt;=0.05,ABS(G15)&lt;=0.05),"OK","REVISAR")</f>
        <v>OK</v>
      </c>
      <c r="I15" s="22"/>
    </row>
    <row r="16" customFormat="false" ht="15" hidden="false" customHeight="false" outlineLevel="0" collapsed="false">
      <c r="A16" s="22" t="s">
        <v>29</v>
      </c>
      <c r="B16" s="34" t="s">
        <v>314</v>
      </c>
      <c r="C16" s="35" t="n">
        <f aca="false">SUM(_____CRUSTAPESCA!F6:F300)</f>
        <v>1970.464</v>
      </c>
      <c r="D16" s="35" t="n">
        <f aca="false">SUM(_____CRUSTAPESCA!I9:I300)</f>
        <v>1970.46</v>
      </c>
      <c r="E16" s="35" t="n">
        <f aca="false">SUMIF('TOTAL JULIO'!$B$4:$B$2000,"CRUSTAPESCA",'TOTAL JULIO'!$D$4:$D$2000)</f>
        <v>1970.46</v>
      </c>
      <c r="F16" s="35" t="n">
        <f aca="false">IF(D16="","",ROUND(C16-D16,2))</f>
        <v>0</v>
      </c>
      <c r="G16" s="35" t="n">
        <f aca="false">IF(D16="",ROUND(C16-E16,2),ROUND(D16-E16,2))</f>
        <v>0</v>
      </c>
      <c r="H16" s="36" t="str">
        <f aca="false">IF(AND(ABS(N(F16))&lt;=0.05,ABS(G16)&lt;=0.05),"OK","REVISAR")</f>
        <v>OK</v>
      </c>
      <c r="I16" s="22"/>
    </row>
    <row r="17" customFormat="false" ht="15" hidden="false" customHeight="false" outlineLevel="0" collapsed="false">
      <c r="A17" s="22" t="s">
        <v>38</v>
      </c>
      <c r="B17" s="34" t="s">
        <v>314</v>
      </c>
      <c r="C17" s="35" t="n">
        <f aca="false">SUM(_____DELIPAN!F6:F300)</f>
        <v>1032.66</v>
      </c>
      <c r="D17" s="35" t="n">
        <f aca="false">SUM(_____DELIPAN!I9:I300)</f>
        <v>1032.66</v>
      </c>
      <c r="E17" s="35" t="n">
        <f aca="false">SUMIF('TOTAL JULIO'!$B$4:$B$2000,"DELIPAN",'TOTAL JULIO'!$D$4:$D$2000)</f>
        <v>1032.66</v>
      </c>
      <c r="F17" s="35" t="n">
        <f aca="false">IF(D17="","",ROUND(C17-D17,2))</f>
        <v>0</v>
      </c>
      <c r="G17" s="35" t="n">
        <f aca="false">IF(D17="",ROUND(C17-E17,2),ROUND(D17-E17,2))</f>
        <v>0</v>
      </c>
      <c r="H17" s="36" t="str">
        <f aca="false">IF(AND(ABS(N(F17))&lt;=0.05,ABS(G17)&lt;=0.05),"OK","REVISAR")</f>
        <v>OK</v>
      </c>
      <c r="I17" s="22"/>
    </row>
    <row r="18" customFormat="false" ht="15" hidden="false" customHeight="false" outlineLevel="0" collapsed="false">
      <c r="A18" s="22" t="s">
        <v>34</v>
      </c>
      <c r="B18" s="34" t="s">
        <v>314</v>
      </c>
      <c r="C18" s="35" t="n">
        <f aca="false">SUM(_____DISOLTRIGO!F6:F300)</f>
        <v>1295.5</v>
      </c>
      <c r="D18" s="35" t="n">
        <f aca="false">SUM(_____DISOLTRIGO!I9:I300)</f>
        <v>1295.5</v>
      </c>
      <c r="E18" s="35" t="n">
        <f aca="false">SUMIF('TOTAL JULIO'!$B$4:$B$2000,"DISOLTRIGO",'TOTAL JULIO'!$D$4:$D$2000)</f>
        <v>1295.5</v>
      </c>
      <c r="F18" s="35" t="n">
        <f aca="false">IF(D18="","",ROUND(C18-D18,2))</f>
        <v>0</v>
      </c>
      <c r="G18" s="35" t="n">
        <f aca="false">IF(D18="",ROUND(C18-E18,2),ROUND(D18-E18,2))</f>
        <v>0</v>
      </c>
      <c r="H18" s="36" t="str">
        <f aca="false">IF(AND(ABS(N(F18))&lt;=0.05,ABS(G18)&lt;=0.05),"OK","REVISAR")</f>
        <v>OK</v>
      </c>
      <c r="I18" s="22"/>
    </row>
    <row r="19" customFormat="false" ht="15" hidden="false" customHeight="false" outlineLevel="0" collapsed="false">
      <c r="A19" s="22" t="s">
        <v>27</v>
      </c>
      <c r="B19" s="34" t="s">
        <v>314</v>
      </c>
      <c r="C19" s="35" t="n">
        <f aca="false">SUM('_____DIST. TENA'!F6:F300)</f>
        <v>3131.64</v>
      </c>
      <c r="D19" s="35" t="n">
        <f aca="false">SUM('_____DIST. TENA'!I9:I300)</f>
        <v>3131.64</v>
      </c>
      <c r="E19" s="35" t="n">
        <f aca="false">SUMIF('TOTAL JULIO'!$B$4:$B$2000,"DIST. TENA MTNEZ",'TOTAL JULIO'!$D$4:$D$2000)</f>
        <v>3131.64</v>
      </c>
      <c r="F19" s="35" t="n">
        <f aca="false">IF(D19="","",ROUND(C19-D19,2))</f>
        <v>0</v>
      </c>
      <c r="G19" s="35" t="n">
        <f aca="false">IF(D19="",ROUND(C19-E19,2),ROUND(D19-E19,2))</f>
        <v>0</v>
      </c>
      <c r="H19" s="36" t="str">
        <f aca="false">IF(AND(ABS(N(F19))&lt;=0.05,ABS(G19)&lt;=0.05),"OK","REVISAR")</f>
        <v>OK</v>
      </c>
      <c r="I19" s="22"/>
    </row>
    <row r="20" customFormat="false" ht="15" hidden="false" customHeight="false" outlineLevel="0" collapsed="false">
      <c r="A20" s="22" t="s">
        <v>42</v>
      </c>
      <c r="B20" s="34" t="s">
        <v>314</v>
      </c>
      <c r="C20" s="35" t="n">
        <f aca="false">SUM('_____EIF DISTRIBUCIONES'!F6:F300)</f>
        <v>646.5718</v>
      </c>
      <c r="D20" s="35" t="n">
        <f aca="false">SUM('_____EIF DISTRIBUCIONES'!I9:I300)</f>
        <v>646.58</v>
      </c>
      <c r="E20" s="35" t="n">
        <f aca="false">SUMIF('TOTAL JULIO'!$B$4:$B$2000,"EIF DISTRIBUCIONES",'TOTAL JULIO'!$D$4:$D$2000)</f>
        <v>646.58</v>
      </c>
      <c r="F20" s="35" t="n">
        <f aca="false">IF(D20="","",ROUND(C20-D20,2))</f>
        <v>-0.01</v>
      </c>
      <c r="G20" s="35" t="n">
        <f aca="false">IF(D20="",ROUND(C20-E20,2),ROUND(D20-E20,2))</f>
        <v>0</v>
      </c>
      <c r="H20" s="36" t="str">
        <f aca="false">IF(AND(ABS(N(F20))&lt;=0.05,ABS(G20)&lt;=0.05),"OK","REVISAR")</f>
        <v>OK</v>
      </c>
      <c r="I20" s="22"/>
    </row>
    <row r="21" customFormat="false" ht="15" hidden="false" customHeight="false" outlineLevel="0" collapsed="false">
      <c r="A21" s="22" t="s">
        <v>35</v>
      </c>
      <c r="B21" s="34" t="s">
        <v>314</v>
      </c>
      <c r="C21" s="35" t="n">
        <f aca="false">SUM('_____ENRIQUE CAMPS'!F6:F300)</f>
        <v>1189</v>
      </c>
      <c r="D21" s="35" t="n">
        <f aca="false">SUM('_____ENRIQUE CAMPS'!I9:I300)</f>
        <v>1189</v>
      </c>
      <c r="E21" s="35" t="n">
        <f aca="false">SUMIF('TOTAL JULIO'!$B$4:$B$2000,"ENRIQUE CAMPS",'TOTAL JULIO'!$D$4:$D$2000)</f>
        <v>1189</v>
      </c>
      <c r="F21" s="35" t="n">
        <f aca="false">IF(D21="","",ROUND(C21-D21,2))</f>
        <v>0</v>
      </c>
      <c r="G21" s="35" t="n">
        <f aca="false">IF(D21="",ROUND(C21-E21,2),ROUND(D21-E21,2))</f>
        <v>0</v>
      </c>
      <c r="H21" s="36" t="str">
        <f aca="false">IF(AND(ABS(N(F21))&lt;=0.05,ABS(G21)&lt;=0.05),"OK","REVISAR")</f>
        <v>OK</v>
      </c>
      <c r="I21" s="22"/>
    </row>
    <row r="22" customFormat="false" ht="15" hidden="false" customHeight="false" outlineLevel="0" collapsed="false">
      <c r="A22" s="22" t="s">
        <v>53</v>
      </c>
      <c r="B22" s="34" t="s">
        <v>314</v>
      </c>
      <c r="C22" s="35" t="n">
        <f aca="false">SUM('_____ESCRIBANO SANZ'!F6:F300)</f>
        <v>193.69</v>
      </c>
      <c r="D22" s="35" t="n">
        <f aca="false">SUM('_____ESCRIBANO SANZ'!I9:I300)</f>
        <v>193.7</v>
      </c>
      <c r="E22" s="35" t="n">
        <f aca="false">SUMIF('TOTAL JULIO'!$B$4:$B$2000,"ESCRIBANO SANZ",'TOTAL JULIO'!$D$4:$D$2000)</f>
        <v>193.7</v>
      </c>
      <c r="F22" s="35" t="n">
        <f aca="false">IF(D22="","",ROUND(C22-D22,2))</f>
        <v>-0.01</v>
      </c>
      <c r="G22" s="35" t="n">
        <f aca="false">IF(D22="",ROUND(C22-E22,2),ROUND(D22-E22,2))</f>
        <v>0</v>
      </c>
      <c r="H22" s="36" t="str">
        <f aca="false">IF(AND(ABS(N(F22))&lt;=0.05,ABS(G22)&lt;=0.05),"OK","REVISAR")</f>
        <v>OK</v>
      </c>
      <c r="I22" s="22"/>
    </row>
    <row r="23" customFormat="false" ht="15" hidden="false" customHeight="false" outlineLevel="0" collapsed="false">
      <c r="A23" s="22" t="s">
        <v>54</v>
      </c>
      <c r="B23" s="34" t="s">
        <v>314</v>
      </c>
      <c r="C23" s="35" t="n">
        <f aca="false">SUM('_____FCO JAVIER LABRADOR'!F6:F300)</f>
        <v>183.2</v>
      </c>
      <c r="D23" s="35" t="n">
        <f aca="false">SUM('_____FCO JAVIER LABRADOR'!I9:I300)</f>
        <v>183.2</v>
      </c>
      <c r="E23" s="35" t="n">
        <f aca="false">SUMIF('TOTAL JULIO'!$B$4:$B$2000,"FCO JAVIER LABRADOR",'TOTAL JULIO'!$D$4:$D$2000)</f>
        <v>183.2</v>
      </c>
      <c r="F23" s="35" t="n">
        <f aca="false">IF(D23="","",ROUND(C23-D23,2))</f>
        <v>0</v>
      </c>
      <c r="G23" s="35" t="n">
        <f aca="false">IF(D23="",ROUND(C23-E23,2),ROUND(D23-E23,2))</f>
        <v>0</v>
      </c>
      <c r="H23" s="36" t="str">
        <f aca="false">IF(AND(ABS(N(F23))&lt;=0.05,ABS(G23)&lt;=0.05),"OK","REVISAR")</f>
        <v>OK</v>
      </c>
      <c r="I23" s="22"/>
    </row>
    <row r="24" customFormat="false" ht="15" hidden="false" customHeight="false" outlineLevel="0" collapsed="false">
      <c r="A24" s="22" t="s">
        <v>56</v>
      </c>
      <c r="B24" s="34" t="s">
        <v>314</v>
      </c>
      <c r="C24" s="35" t="n">
        <f aca="false">SUM('_____FRUTERIA DALISTE'!F6:F300)</f>
        <v>158.9995</v>
      </c>
      <c r="D24" s="35" t="n">
        <f aca="false">SUM('_____FRUTERIA DALISTE'!I9:I300)</f>
        <v>158.99</v>
      </c>
      <c r="E24" s="35" t="n">
        <f aca="false">SUMIF('TOTAL JULIO'!$B$4:$B$2000,"FRUTERIA D'ALISTE",'TOTAL JULIO'!$D$4:$D$2000)</f>
        <v>158.99</v>
      </c>
      <c r="F24" s="35" t="n">
        <f aca="false">IF(D24="","",ROUND(C24-D24,2))</f>
        <v>0.01</v>
      </c>
      <c r="G24" s="35" t="n">
        <f aca="false">IF(D24="",ROUND(C24-E24,2),ROUND(D24-E24,2))</f>
        <v>0</v>
      </c>
      <c r="H24" s="36" t="str">
        <f aca="false">IF(AND(ABS(N(F24))&lt;=0.05,ABS(G24)&lt;=0.05),"OK","REVISAR")</f>
        <v>OK</v>
      </c>
      <c r="I24" s="22"/>
    </row>
    <row r="25" customFormat="false" ht="15" hidden="false" customHeight="false" outlineLevel="0" collapsed="false">
      <c r="A25" s="22" t="s">
        <v>40</v>
      </c>
      <c r="B25" s="34" t="s">
        <v>314</v>
      </c>
      <c r="C25" s="35" t="n">
        <f aca="false">SUM('_____JOSE PEÑA'!F6:F300)</f>
        <v>748.5</v>
      </c>
      <c r="D25" s="35" t="n">
        <f aca="false">SUM('_____JOSE PEÑA'!I9:I300)</f>
        <v>748.5</v>
      </c>
      <c r="E25" s="35" t="n">
        <f aca="false">SUMIF('TOTAL JULIO'!$B$4:$B$2000,"JOSE PEÑA",'TOTAL JULIO'!$D$4:$D$2000)</f>
        <v>748.5</v>
      </c>
      <c r="F25" s="35" t="n">
        <f aca="false">IF(D25="","",ROUND(C25-D25,2))</f>
        <v>0</v>
      </c>
      <c r="G25" s="35" t="n">
        <f aca="false">IF(D25="",ROUND(C25-E25,2),ROUND(D25-E25,2))</f>
        <v>0</v>
      </c>
      <c r="H25" s="36" t="str">
        <f aca="false">IF(AND(ABS(N(F25))&lt;=0.05,ABS(G25)&lt;=0.05),"OK","REVISAR")</f>
        <v>OK</v>
      </c>
      <c r="I25" s="22"/>
    </row>
    <row r="26" customFormat="false" ht="15" hidden="false" customHeight="false" outlineLevel="0" collapsed="false">
      <c r="A26" s="22" t="s">
        <v>46</v>
      </c>
      <c r="B26" s="34" t="s">
        <v>314</v>
      </c>
      <c r="C26" s="35" t="n">
        <f aca="false">SUM('_____JOSE ROMERO PLAZA'!F6:F300)</f>
        <v>444.1</v>
      </c>
      <c r="D26" s="35" t="n">
        <f aca="false">SUM('_____JOSE ROMERO PLAZA'!I9:I300)</f>
        <v>444.1</v>
      </c>
      <c r="E26" s="35" t="n">
        <f aca="false">SUMIF('TOTAL JULIO'!$B$4:$B$2000,"JOSE ROMERO PLAZA",'TOTAL JULIO'!$D$4:$D$2000)</f>
        <v>444.1</v>
      </c>
      <c r="F26" s="35" t="n">
        <f aca="false">IF(D26="","",ROUND(C26-D26,2))</f>
        <v>0</v>
      </c>
      <c r="G26" s="35" t="n">
        <f aca="false">IF(D26="",ROUND(C26-E26,2),ROUND(D26-E26,2))</f>
        <v>0</v>
      </c>
      <c r="H26" s="36" t="str">
        <f aca="false">IF(AND(ABS(N(F26))&lt;=0.05,ABS(G26)&lt;=0.05),"OK","REVISAR")</f>
        <v>OK</v>
      </c>
      <c r="I26" s="22"/>
    </row>
    <row r="27" customFormat="false" ht="15" hidden="false" customHeight="false" outlineLevel="0" collapsed="false">
      <c r="A27" s="22" t="s">
        <v>30</v>
      </c>
      <c r="B27" s="34" t="s">
        <v>314</v>
      </c>
      <c r="C27" s="35" t="n">
        <f aca="false">SUM(_____MAGOASE!F6:F300)</f>
        <v>1815.6</v>
      </c>
      <c r="D27" s="35" t="n">
        <f aca="false">SUM(_____MAGOASE!I9:I300)</f>
        <v>1815.6</v>
      </c>
      <c r="E27" s="35" t="n">
        <f aca="false">SUMIF('TOTAL JULIO'!$B$4:$B$2000,"MAGOASE",'TOTAL JULIO'!$D$4:$D$2000)</f>
        <v>1815.6</v>
      </c>
      <c r="F27" s="35" t="n">
        <f aca="false">IF(D27="","",ROUND(C27-D27,2))</f>
        <v>0</v>
      </c>
      <c r="G27" s="35" t="n">
        <f aca="false">IF(D27="",ROUND(C27-E27,2),ROUND(D27-E27,2))</f>
        <v>0</v>
      </c>
      <c r="H27" s="36" t="str">
        <f aca="false">IF(AND(ABS(N(F27))&lt;=0.05,ABS(G27)&lt;=0.05),"OK","REVISAR")</f>
        <v>OK</v>
      </c>
      <c r="I27" s="22"/>
    </row>
    <row r="28" customFormat="false" ht="15" hidden="false" customHeight="false" outlineLevel="0" collapsed="false">
      <c r="A28" s="22" t="s">
        <v>51</v>
      </c>
      <c r="B28" s="34" t="s">
        <v>314</v>
      </c>
      <c r="C28" s="35" t="n">
        <f aca="false">SUM(_____MAKRO!F6:F300)</f>
        <v>227.89</v>
      </c>
      <c r="D28" s="35" t="n">
        <f aca="false">SUM(_____MAKRO!I9:I300)</f>
        <v>227.89</v>
      </c>
      <c r="E28" s="35" t="n">
        <f aca="false">SUMIF('TOTAL JULIO'!$B$4:$B$2000,"MAKRO",'TOTAL JULIO'!$D$4:$D$2000)</f>
        <v>227.89</v>
      </c>
      <c r="F28" s="35" t="n">
        <f aca="false">IF(D28="","",ROUND(C28-D28,2))</f>
        <v>0</v>
      </c>
      <c r="G28" s="35" t="n">
        <f aca="false">IF(D28="",ROUND(C28-E28,2),ROUND(D28-E28,2))</f>
        <v>0</v>
      </c>
      <c r="H28" s="36" t="str">
        <f aca="false">IF(AND(ABS(N(F28))&lt;=0.05,ABS(G28)&lt;=0.05),"OK","REVISAR")</f>
        <v>OK</v>
      </c>
      <c r="I28" s="22"/>
    </row>
    <row r="29" customFormat="false" ht="15" hidden="false" customHeight="false" outlineLevel="0" collapsed="false">
      <c r="A29" s="22" t="s">
        <v>39</v>
      </c>
      <c r="B29" s="34" t="s">
        <v>314</v>
      </c>
      <c r="C29" s="35" t="n">
        <f aca="false">SUM('_____MANU AMBRES'!F6:F300)</f>
        <v>904.824</v>
      </c>
      <c r="D29" s="35" t="n">
        <f aca="false">SUM('_____MANU AMBRES'!I9:I300)</f>
        <v>904.82</v>
      </c>
      <c r="E29" s="35" t="n">
        <f aca="false">SUMIF('TOTAL JULIO'!$B$4:$B$2000,"MANUEL AMBRES",'TOTAL JULIO'!$D$4:$D$2000)</f>
        <v>904.82</v>
      </c>
      <c r="F29" s="35" t="n">
        <f aca="false">IF(D29="","",ROUND(C29-D29,2))</f>
        <v>0</v>
      </c>
      <c r="G29" s="35" t="n">
        <f aca="false">IF(D29="",ROUND(C29-E29,2),ROUND(D29-E29,2))</f>
        <v>0</v>
      </c>
      <c r="H29" s="36" t="str">
        <f aca="false">IF(AND(ABS(N(F29))&lt;=0.05,ABS(G29)&lt;=0.05),"OK","REVISAR")</f>
        <v>OK</v>
      </c>
      <c r="I29" s="22"/>
    </row>
    <row r="30" customFormat="false" ht="15" hidden="false" customHeight="false" outlineLevel="0" collapsed="false">
      <c r="A30" s="22" t="s">
        <v>25</v>
      </c>
      <c r="B30" s="34" t="s">
        <v>314</v>
      </c>
      <c r="C30" s="35" t="n">
        <f aca="false">SUM('_____MARTIN CANEDA'!F6:F300)</f>
        <v>3561.4</v>
      </c>
      <c r="D30" s="35" t="n">
        <f aca="false">SUM('_____MARTIN CANEDA'!I9:I300)</f>
        <v>3561.4</v>
      </c>
      <c r="E30" s="35" t="n">
        <f aca="false">SUMIF('TOTAL JULIO'!$B$4:$B$2000,"MARTIN CANEDA",'TOTAL JULIO'!$D$4:$D$2000)</f>
        <v>3561.4</v>
      </c>
      <c r="F30" s="35" t="n">
        <f aca="false">IF(D30="","",ROUND(C30-D30,2))</f>
        <v>0</v>
      </c>
      <c r="G30" s="35" t="n">
        <f aca="false">IF(D30="",ROUND(C30-E30,2),ROUND(D30-E30,2))</f>
        <v>0</v>
      </c>
      <c r="H30" s="36" t="str">
        <f aca="false">IF(AND(ABS(N(F30))&lt;=0.05,ABS(G30)&lt;=0.05),"OK","REVISAR")</f>
        <v>OK</v>
      </c>
      <c r="I30" s="22"/>
    </row>
    <row r="31" customFormat="false" ht="15" hidden="false" customHeight="false" outlineLevel="0" collapsed="false">
      <c r="A31" s="22" t="s">
        <v>55</v>
      </c>
      <c r="B31" s="34" t="s">
        <v>314</v>
      </c>
      <c r="C31" s="35" t="n">
        <f aca="false">SUM(_____MONVA!F6:F300)</f>
        <v>171</v>
      </c>
      <c r="D31" s="35" t="n">
        <f aca="false">SUM(_____MONVA!I9:I300)</f>
        <v>171</v>
      </c>
      <c r="E31" s="35" t="n">
        <f aca="false">SUMIF('TOTAL JULIO'!$B$4:$B$2000,"MONVA",'TOTAL JULIO'!$D$4:$D$2000)</f>
        <v>171</v>
      </c>
      <c r="F31" s="35" t="n">
        <f aca="false">IF(D31="","",ROUND(C31-D31,2))</f>
        <v>0</v>
      </c>
      <c r="G31" s="35" t="n">
        <f aca="false">IF(D31="",ROUND(C31-E31,2),ROUND(D31-E31,2))</f>
        <v>0</v>
      </c>
      <c r="H31" s="36" t="str">
        <f aca="false">IF(AND(ABS(N(F31))&lt;=0.05,ABS(G31)&lt;=0.05),"OK","REVISAR")</f>
        <v>OK</v>
      </c>
      <c r="I31" s="22"/>
    </row>
    <row r="32" customFormat="false" ht="15" hidden="false" customHeight="false" outlineLevel="0" collapsed="false">
      <c r="A32" s="22" t="s">
        <v>22</v>
      </c>
      <c r="B32" s="34" t="s">
        <v>314</v>
      </c>
      <c r="C32" s="35" t="n">
        <f aca="false">SUM(_____MUNDELA!F6:F300)</f>
        <v>5092.38</v>
      </c>
      <c r="D32" s="35" t="n">
        <f aca="false">SUM(_____MUNDELA!I9:I300)</f>
        <v>5092.38</v>
      </c>
      <c r="E32" s="35" t="n">
        <f aca="false">SUMIF('TOTAL JULIO'!$B$4:$B$2000,"MUNDELA",'TOTAL JULIO'!$D$4:$D$2000)</f>
        <v>5092.38</v>
      </c>
      <c r="F32" s="35" t="n">
        <f aca="false">IF(D32="","",ROUND(C32-D32,2))</f>
        <v>0</v>
      </c>
      <c r="G32" s="35" t="n">
        <f aca="false">IF(D32="",ROUND(C32-E32,2),ROUND(D32-E32,2))</f>
        <v>0</v>
      </c>
      <c r="H32" s="36" t="str">
        <f aca="false">IF(AND(ABS(N(F32))&lt;=0.05,ABS(G32)&lt;=0.05),"OK","REVISAR")</f>
        <v>OK</v>
      </c>
      <c r="I32" s="22"/>
    </row>
    <row r="33" customFormat="false" ht="15" hidden="false" customHeight="false" outlineLevel="0" collapsed="false">
      <c r="A33" s="22" t="s">
        <v>43</v>
      </c>
      <c r="B33" s="34" t="s">
        <v>314</v>
      </c>
      <c r="C33" s="35" t="n">
        <f aca="false">SUM('_____PATATAS YAGO'!F6:F300)</f>
        <v>611.4</v>
      </c>
      <c r="D33" s="35" t="n">
        <f aca="false">SUM('_____PATATAS YAGO'!I9:I300)</f>
        <v>611.4</v>
      </c>
      <c r="E33" s="35" t="n">
        <f aca="false">SUMIF('TOTAL JULIO'!$B$4:$B$2000,"PATATAS YAGO",'TOTAL JULIO'!$D$4:$D$2000)</f>
        <v>611.4</v>
      </c>
      <c r="F33" s="35" t="n">
        <f aca="false">IF(D33="","",ROUND(C33-D33,2))</f>
        <v>0</v>
      </c>
      <c r="G33" s="35" t="n">
        <f aca="false">IF(D33="",ROUND(C33-E33,2),ROUND(D33-E33,2))</f>
        <v>0</v>
      </c>
      <c r="H33" s="36" t="str">
        <f aca="false">IF(AND(ABS(N(F33))&lt;=0.05,ABS(G33)&lt;=0.05),"OK","REVISAR")</f>
        <v>OK</v>
      </c>
      <c r="I33" s="22"/>
    </row>
    <row r="34" customFormat="false" ht="15" hidden="false" customHeight="false" outlineLevel="0" collapsed="false">
      <c r="A34" s="22" t="s">
        <v>33</v>
      </c>
      <c r="B34" s="34" t="s">
        <v>314</v>
      </c>
      <c r="C34" s="35" t="n">
        <f aca="false">SUM('_____PESCADERIA PALACIO'!F6:F300)</f>
        <v>1400.16</v>
      </c>
      <c r="D34" s="35" t="n">
        <f aca="false">SUM('_____PESCADERIA PALACIO'!I9:I300)</f>
        <v>1400.16</v>
      </c>
      <c r="E34" s="35" t="n">
        <f aca="false">SUMIF('TOTAL JULIO'!$B$4:$B$2000,"PESCADERIA PALACIO",'TOTAL JULIO'!$D$4:$D$2000)</f>
        <v>1400.16</v>
      </c>
      <c r="F34" s="35" t="n">
        <f aca="false">IF(D34="","",ROUND(C34-D34,2))</f>
        <v>0</v>
      </c>
      <c r="G34" s="35" t="n">
        <f aca="false">IF(D34="",ROUND(C34-E34,2),ROUND(D34-E34,2))</f>
        <v>0</v>
      </c>
      <c r="H34" s="36" t="str">
        <f aca="false">IF(AND(ABS(N(F34))&lt;=0.05,ABS(G34)&lt;=0.05),"OK","REVISAR")</f>
        <v>OK</v>
      </c>
      <c r="I34" s="22"/>
    </row>
    <row r="35" customFormat="false" ht="15" hidden="false" customHeight="false" outlineLevel="0" collapsed="false">
      <c r="A35" s="22" t="s">
        <v>20</v>
      </c>
      <c r="B35" s="34" t="s">
        <v>314</v>
      </c>
      <c r="C35" s="35" t="n">
        <f aca="false">SUM(_____PESCARUM!F6:F300)</f>
        <v>10740.80499985</v>
      </c>
      <c r="D35" s="35" t="n">
        <f aca="false">SUM(_____PESCARUM!I9:I300)</f>
        <v>10740.83</v>
      </c>
      <c r="E35" s="35" t="n">
        <f aca="false">SUMIF('TOTAL JULIO'!$B$4:$B$2000,"PESCARUM",'TOTAL JULIO'!$D$4:$D$2000)</f>
        <v>10740.83</v>
      </c>
      <c r="F35" s="35" t="n">
        <f aca="false">IF(D35="","",ROUND(C35-D35,2))</f>
        <v>-0.03</v>
      </c>
      <c r="G35" s="35" t="n">
        <f aca="false">IF(D35="",ROUND(C35-E35,2),ROUND(D35-E35,2))</f>
        <v>0</v>
      </c>
      <c r="H35" s="36" t="str">
        <f aca="false">IF(AND(ABS(N(F35))&lt;=0.05,ABS(G35)&lt;=0.05),"OK","REVISAR")</f>
        <v>OK</v>
      </c>
      <c r="I35" s="22"/>
    </row>
    <row r="36" customFormat="false" ht="15" hidden="false" customHeight="false" outlineLevel="0" collapsed="false">
      <c r="A36" s="22" t="s">
        <v>31</v>
      </c>
      <c r="B36" s="34" t="s">
        <v>314</v>
      </c>
      <c r="C36" s="35" t="n">
        <f aca="false">SUM(_____PEÑALASTALLAS!F6:F300)</f>
        <v>1635.591</v>
      </c>
      <c r="D36" s="35" t="n">
        <f aca="false">SUM(_____PEÑALASTALLAS!I9:I300)</f>
        <v>1635.61</v>
      </c>
      <c r="E36" s="35" t="n">
        <f aca="false">SUMIF('TOTAL JULIO'!$B$4:$B$2000,"PEÑALASTALLAS",'TOTAL JULIO'!$D$4:$D$2000)</f>
        <v>1568.32</v>
      </c>
      <c r="F36" s="35" t="n">
        <f aca="false">IF(D36="","",ROUND(C36-D36,2))</f>
        <v>-0.02</v>
      </c>
      <c r="G36" s="35" t="n">
        <f aca="false">IF(D36="",ROUND(C36-E36,2),ROUND(D36-E36,2))</f>
        <v>67.29</v>
      </c>
      <c r="H36" s="36" t="str">
        <f aca="false">IF(AND(ABS(N(F36))&lt;=0.05,ABS(G36)&lt;=0.05),"OK","REVISAR")</f>
        <v>REVISAR</v>
      </c>
      <c r="I36" s="22" t="s">
        <v>316</v>
      </c>
    </row>
    <row r="37" customFormat="false" ht="15" hidden="false" customHeight="false" outlineLevel="0" collapsed="false">
      <c r="A37" s="22" t="s">
        <v>45</v>
      </c>
      <c r="B37" s="34" t="s">
        <v>314</v>
      </c>
      <c r="C37" s="35" t="n">
        <f aca="false">SUM('_____ROMERO ALVAREZ'!F6:F300)</f>
        <v>533.736</v>
      </c>
      <c r="D37" s="35" t="n">
        <f aca="false">SUM('_____ROMERO ALVAREZ'!I9:I300)</f>
        <v>533.74</v>
      </c>
      <c r="E37" s="35" t="n">
        <f aca="false">SUMIF('TOTAL JULIO'!$B$4:$B$2000,"ROMERO ALVAREZ",'TOTAL JULIO'!$D$4:$D$2000)</f>
        <v>533.74</v>
      </c>
      <c r="F37" s="35" t="n">
        <f aca="false">IF(D37="","",ROUND(C37-D37,2))</f>
        <v>-0</v>
      </c>
      <c r="G37" s="35" t="n">
        <f aca="false">IF(D37="",ROUND(C37-E37,2),ROUND(D37-E37,2))</f>
        <v>0</v>
      </c>
      <c r="H37" s="36" t="str">
        <f aca="false">IF(AND(ABS(N(F37))&lt;=0.05,ABS(G37)&lt;=0.05),"OK","REVISAR")</f>
        <v>OK</v>
      </c>
      <c r="I37" s="22"/>
    </row>
    <row r="38" customFormat="false" ht="15" hidden="false" customHeight="false" outlineLevel="0" collapsed="false">
      <c r="A38" s="22" t="s">
        <v>26</v>
      </c>
      <c r="B38" s="34" t="s">
        <v>314</v>
      </c>
      <c r="C38" s="35" t="n">
        <f aca="false">SUM(_____SUBMARINER!F6:F300)</f>
        <v>3291.3008</v>
      </c>
      <c r="D38" s="35" t="n">
        <f aca="false">SUM(_____SUBMARINER!I9:I300)</f>
        <v>3291.32</v>
      </c>
      <c r="E38" s="35" t="n">
        <f aca="false">SUMIF('TOTAL JULIO'!$B$4:$B$2000,"SUBMARINER",'TOTAL JULIO'!$D$4:$D$2000)</f>
        <v>3291.32</v>
      </c>
      <c r="F38" s="35" t="n">
        <f aca="false">IF(D38="","",ROUND(C38-D38,2))</f>
        <v>-0.02</v>
      </c>
      <c r="G38" s="35" t="n">
        <f aca="false">IF(D38="",ROUND(C38-E38,2),ROUND(D38-E38,2))</f>
        <v>0</v>
      </c>
      <c r="H38" s="36" t="str">
        <f aca="false">IF(AND(ABS(N(F38))&lt;=0.05,ABS(G38)&lt;=0.05),"OK","REVISAR")</f>
        <v>OK</v>
      </c>
      <c r="I38" s="22"/>
    </row>
    <row r="39" customFormat="false" ht="15" hidden="false" customHeight="false" outlineLevel="0" collapsed="false">
      <c r="A39" s="22" t="s">
        <v>44</v>
      </c>
      <c r="B39" s="34" t="s">
        <v>314</v>
      </c>
      <c r="C39" s="35" t="n">
        <f aca="false">SUM('_____TOMATERIA CEA'!F6:F300)</f>
        <v>584.97</v>
      </c>
      <c r="D39" s="35" t="n">
        <f aca="false">SUM('_____TOMATERIA CEA'!I9:I300)</f>
        <v>584.97</v>
      </c>
      <c r="E39" s="35" t="n">
        <f aca="false">SUMIF('TOTAL JULIO'!$B$4:$B$2000,"TOMATERIA DE CEA",'TOTAL JULIO'!$D$4:$D$2000)</f>
        <v>584.97</v>
      </c>
      <c r="F39" s="35" t="n">
        <f aca="false">IF(D39="","",ROUND(C39-D39,2))</f>
        <v>0</v>
      </c>
      <c r="G39" s="35" t="n">
        <f aca="false">IF(D39="",ROUND(C39-E39,2),ROUND(D39-E39,2))</f>
        <v>0</v>
      </c>
      <c r="H39" s="36" t="str">
        <f aca="false">IF(AND(ABS(N(F39))&lt;=0.05,ABS(G39)&lt;=0.05),"OK","REVISAR")</f>
        <v>OK</v>
      </c>
      <c r="I39" s="22"/>
    </row>
    <row r="40" customFormat="false" ht="15" hidden="false" customHeight="false" outlineLevel="0" collapsed="false">
      <c r="A40" s="22" t="s">
        <v>49</v>
      </c>
      <c r="B40" s="34" t="s">
        <v>314</v>
      </c>
      <c r="C40" s="35" t="n">
        <f aca="false">SUM('_____VENERO CLARO'!F6:F300)</f>
        <v>270.4</v>
      </c>
      <c r="D40" s="35" t="n">
        <f aca="false">SUM('_____VENERO CLARO'!I9:I300)</f>
        <v>270.4</v>
      </c>
      <c r="E40" s="35" t="n">
        <f aca="false">SUMIF('TOTAL JULIO'!$B$4:$B$2000,"VENERO CLARO",'TOTAL JULIO'!$D$4:$D$2000)</f>
        <v>270.4</v>
      </c>
      <c r="F40" s="35" t="n">
        <f aca="false">IF(D40="","",ROUND(C40-D40,2))</f>
        <v>0</v>
      </c>
      <c r="G40" s="35" t="n">
        <f aca="false">IF(D40="",ROUND(C40-E40,2),ROUND(D40-E40,2))</f>
        <v>0</v>
      </c>
      <c r="H40" s="36" t="str">
        <f aca="false">IF(AND(ABS(N(F40))&lt;=0.05,ABS(G40)&lt;=0.05),"OK","REVISAR")</f>
        <v>OK</v>
      </c>
      <c r="I40" s="22"/>
    </row>
    <row r="41" customFormat="false" ht="15" hidden="false" customHeight="false" outlineLevel="0" collapsed="false">
      <c r="A41" s="22" t="s">
        <v>52</v>
      </c>
      <c r="B41" s="34" t="s">
        <v>314</v>
      </c>
      <c r="C41" s="35" t="n">
        <f aca="false">SUM('_____VINS DES DIEUX'!F6:F300)</f>
        <v>202.8</v>
      </c>
      <c r="D41" s="35" t="n">
        <f aca="false">SUM('_____VINS DES DIEUX'!I9:I300)</f>
        <v>202.8</v>
      </c>
      <c r="E41" s="35" t="n">
        <f aca="false">SUMIF('TOTAL JULIO'!$B$4:$B$2000,"VINS DES DIEUX",'TOTAL JULIO'!$D$4:$D$2000)</f>
        <v>202.8</v>
      </c>
      <c r="F41" s="35" t="n">
        <f aca="false">IF(D41="","",ROUND(C41-D41,2))</f>
        <v>0</v>
      </c>
      <c r="G41" s="35" t="n">
        <f aca="false">IF(D41="",ROUND(C41-E41,2),ROUND(D41-E41,2))</f>
        <v>0</v>
      </c>
      <c r="H41" s="36" t="str">
        <f aca="false">IF(AND(ABS(N(F41))&lt;=0.05,ABS(G41)&lt;=0.05),"OK","REVISAR")</f>
        <v>OK</v>
      </c>
      <c r="I41" s="22"/>
    </row>
    <row r="42" customFormat="false" ht="15" hidden="false" customHeight="false" outlineLevel="0" collapsed="false">
      <c r="A42" s="22" t="s">
        <v>21</v>
      </c>
      <c r="B42" s="34" t="s">
        <v>314</v>
      </c>
      <c r="C42" s="35" t="n">
        <f aca="false">SUM(_____VOLDIS!F6:F300)</f>
        <v>6546.456</v>
      </c>
      <c r="D42" s="35" t="n">
        <f aca="false">SUM(_____VOLDIS!I9:I300)</f>
        <v>6546.46</v>
      </c>
      <c r="E42" s="35" t="n">
        <f aca="false">SUMIF('TOTAL JULIO'!$B$4:$B$2000,"VOLDIS",'TOTAL JULIO'!$D$4:$D$2000)</f>
        <v>6546.46</v>
      </c>
      <c r="F42" s="35" t="n">
        <f aca="false">IF(D42="","",ROUND(C42-D42,2))</f>
        <v>-0</v>
      </c>
      <c r="G42" s="35" t="n">
        <f aca="false">IF(D42="",ROUND(C42-E42,2),ROUND(D42-E42,2))</f>
        <v>0</v>
      </c>
      <c r="H42" s="36" t="str">
        <f aca="false">IF(AND(ABS(N(F42))&lt;=0.05,ABS(G42)&lt;=0.05),"OK","REVISAR")</f>
        <v>OK</v>
      </c>
      <c r="I42" s="22"/>
    </row>
  </sheetData>
  <mergeCells count="2">
    <mergeCell ref="A2:I2"/>
    <mergeCell ref="A3:I3"/>
  </mergeCells>
  <conditionalFormatting sqref="A6:I42">
    <cfRule type="expression" priority="2" aboveAverage="0" equalAverage="0" bottom="0" percent="0" rank="0" text="" dxfId="4">
      <formula>$A6&lt;&gt;$A5</formula>
    </cfRule>
  </conditionalFormatting>
  <conditionalFormatting sqref="H6:H42">
    <cfRule type="cellIs" priority="3" operator="equal" aboveAverage="0" equalAverage="0" bottom="0" percent="0" rank="0" text="" dxfId="5">
      <formula>"REVISAR"</formula>
    </cfRule>
    <cfRule type="cellIs" priority="4" operator="equal" aboveAverage="0" equalAverage="0" bottom="0" percent="0" rank="0" text="" dxfId="6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1122.98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1122.99</v>
      </c>
    </row>
    <row r="6" customFormat="false" ht="15" hidden="false" customHeight="false" outlineLevel="0" collapsed="false">
      <c r="B6" s="26" t="s">
        <v>322</v>
      </c>
      <c r="C6" s="40" t="n">
        <f aca="false">4.9+5+5.2</f>
        <v>15.1</v>
      </c>
      <c r="D6" s="28" t="n">
        <v>39.05</v>
      </c>
      <c r="E6" s="41" t="n">
        <v>0</v>
      </c>
      <c r="F6" s="30" t="n">
        <f aca="false">(C6*D6)-((C6*D6)*E6)</f>
        <v>589.655</v>
      </c>
      <c r="H6" s="38" t="s">
        <v>323</v>
      </c>
      <c r="I6" s="39" t="n">
        <f aca="false">I5-I4</f>
        <v>0.00999999999999091</v>
      </c>
    </row>
    <row r="7" customFormat="false" ht="15" hidden="false" customHeight="false" outlineLevel="0" collapsed="false">
      <c r="B7" s="22" t="s">
        <v>324</v>
      </c>
      <c r="C7" s="42" t="n">
        <f aca="false">1.3+1.2</f>
        <v>2.5</v>
      </c>
      <c r="D7" s="16" t="n">
        <v>79</v>
      </c>
      <c r="E7" s="43" t="n">
        <v>0</v>
      </c>
      <c r="F7" s="14" t="n">
        <f aca="false">(C7*D7)-((C7*D7)*E7)</f>
        <v>197.5</v>
      </c>
    </row>
    <row r="8" customFormat="false" ht="15" hidden="false" customHeight="false" outlineLevel="0" collapsed="false">
      <c r="B8" s="26" t="s">
        <v>325</v>
      </c>
      <c r="C8" s="40" t="n">
        <f aca="false">3.5</f>
        <v>3.5</v>
      </c>
      <c r="D8" s="28" t="n">
        <v>11.95</v>
      </c>
      <c r="E8" s="41" t="n">
        <v>0</v>
      </c>
      <c r="F8" s="30" t="n">
        <f aca="false">(C8*D8)-((C8*D8)*E8)</f>
        <v>41.825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324</v>
      </c>
      <c r="C9" s="42" t="n">
        <f aca="false">1.5+1+1</f>
        <v>3.5</v>
      </c>
      <c r="D9" s="16" t="n">
        <v>84</v>
      </c>
      <c r="E9" s="43" t="n">
        <v>0</v>
      </c>
      <c r="F9" s="14" t="n">
        <f aca="false">(C9*D9)-((C9*D9)*E9)</f>
        <v>294</v>
      </c>
      <c r="H9" s="23" t="s">
        <v>67</v>
      </c>
      <c r="I9" s="14" t="n">
        <v>191.35</v>
      </c>
      <c r="J9" s="24" t="n">
        <v>0.1</v>
      </c>
    </row>
    <row r="10" customFormat="false" ht="15" hidden="false" customHeight="false" outlineLevel="0" collapsed="false">
      <c r="H10" s="23" t="s">
        <v>68</v>
      </c>
      <c r="I10" s="14" t="n">
        <v>102.7</v>
      </c>
      <c r="J10" s="24" t="n">
        <v>0.1</v>
      </c>
    </row>
    <row r="11" customFormat="false" ht="15" hidden="false" customHeight="false" outlineLevel="0" collapsed="false">
      <c r="H11" s="23" t="s">
        <v>69</v>
      </c>
      <c r="I11" s="14" t="n">
        <v>41.83</v>
      </c>
      <c r="J11" s="24" t="n">
        <v>0.1</v>
      </c>
    </row>
    <row r="12" customFormat="false" ht="15" hidden="false" customHeight="false" outlineLevel="0" collapsed="false">
      <c r="H12" s="23" t="s">
        <v>70</v>
      </c>
      <c r="I12" s="14" t="n">
        <v>195.25</v>
      </c>
      <c r="J12" s="24" t="n">
        <v>0.1</v>
      </c>
    </row>
    <row r="13" customFormat="false" ht="15" hidden="false" customHeight="false" outlineLevel="0" collapsed="false">
      <c r="H13" s="23" t="s">
        <v>71</v>
      </c>
      <c r="I13" s="14" t="n">
        <v>94.8</v>
      </c>
      <c r="J13" s="24" t="n">
        <v>0.1</v>
      </c>
    </row>
    <row r="14" customFormat="false" ht="15" hidden="false" customHeight="false" outlineLevel="0" collapsed="false">
      <c r="H14" s="23" t="s">
        <v>72</v>
      </c>
      <c r="I14" s="14" t="n">
        <v>203.06</v>
      </c>
      <c r="J14" s="24" t="n">
        <v>0.1</v>
      </c>
    </row>
    <row r="15" customFormat="false" ht="15" hidden="false" customHeight="false" outlineLevel="0" collapsed="false">
      <c r="H15" s="23" t="s">
        <v>73</v>
      </c>
      <c r="I15" s="14" t="n">
        <v>126</v>
      </c>
      <c r="J15" s="24" t="n">
        <v>0.1</v>
      </c>
    </row>
    <row r="16" customFormat="false" ht="15" hidden="false" customHeight="false" outlineLevel="0" collapsed="false">
      <c r="H16" s="23" t="s">
        <v>74</v>
      </c>
      <c r="I16" s="14" t="n">
        <v>84</v>
      </c>
      <c r="J16" s="24" t="n">
        <v>0.1</v>
      </c>
    </row>
    <row r="17" customFormat="false" ht="15" hidden="false" customHeight="false" outlineLevel="0" collapsed="false">
      <c r="H17" s="23" t="s">
        <v>75</v>
      </c>
      <c r="I17" s="14" t="n">
        <v>84</v>
      </c>
      <c r="J17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4059.71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4059.72</v>
      </c>
    </row>
    <row r="6" customFormat="false" ht="15" hidden="false" customHeight="false" outlineLevel="0" collapsed="false">
      <c r="B6" s="26" t="s">
        <v>328</v>
      </c>
      <c r="C6" s="40" t="n">
        <f aca="false">6.95+3.4+7.12+3.42+15.16+10.41+3.21+8.21+13.51+3.29+7.16+3.57+13.04+10.45</f>
        <v>108.9</v>
      </c>
      <c r="D6" s="28" t="n">
        <v>27.5</v>
      </c>
      <c r="E6" s="41" t="n">
        <v>0</v>
      </c>
      <c r="F6" s="30" t="n">
        <f aca="false">(C6*D6)-((C6*D6)*E6)</f>
        <v>2994.75</v>
      </c>
      <c r="H6" s="38" t="s">
        <v>323</v>
      </c>
      <c r="I6" s="39" t="n">
        <f aca="false">I5-I4</f>
        <v>0.0100000000002183</v>
      </c>
    </row>
    <row r="7" customFormat="false" ht="15" hidden="false" customHeight="false" outlineLevel="0" collapsed="false">
      <c r="B7" s="22" t="s">
        <v>329</v>
      </c>
      <c r="C7" s="42" t="n">
        <f aca="false">2.09+2.12+2.08+2+2.05+2.04+4.19+2.03+2.01+1.94+3.95+2.1</f>
        <v>28.6</v>
      </c>
      <c r="D7" s="16" t="n">
        <v>36.9</v>
      </c>
      <c r="E7" s="43" t="n">
        <v>0</v>
      </c>
      <c r="F7" s="14" t="n">
        <f aca="false">(C7*D7)-((C7*D7)*E7)</f>
        <v>1055.34</v>
      </c>
    </row>
    <row r="8" customFormat="false" ht="15" hidden="false" customHeight="false" outlineLevel="0" collapsed="false">
      <c r="B8" s="26" t="s">
        <v>330</v>
      </c>
      <c r="C8" s="40" t="n">
        <v>1</v>
      </c>
      <c r="D8" s="28" t="n">
        <v>1.02</v>
      </c>
      <c r="E8" s="41" t="n">
        <v>0</v>
      </c>
      <c r="F8" s="30" t="n">
        <f aca="false">(C8*D8)-((C8*D8)*E8)</f>
        <v>1.02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330</v>
      </c>
      <c r="C9" s="42" t="n">
        <v>1</v>
      </c>
      <c r="D9" s="16" t="n">
        <v>0.74</v>
      </c>
      <c r="E9" s="43" t="n">
        <v>0</v>
      </c>
      <c r="F9" s="14" t="n">
        <f aca="false">(C9*D9)-((C9*D9)*E9)</f>
        <v>0.74</v>
      </c>
      <c r="H9" s="23" t="s">
        <v>76</v>
      </c>
      <c r="I9" s="14" t="n">
        <v>441</v>
      </c>
      <c r="J9" s="24" t="n">
        <v>0.1</v>
      </c>
    </row>
    <row r="10" customFormat="false" ht="15" hidden="false" customHeight="false" outlineLevel="0" collapsed="false">
      <c r="B10" s="26" t="s">
        <v>330</v>
      </c>
      <c r="C10" s="40" t="n">
        <v>1</v>
      </c>
      <c r="D10" s="28" t="n">
        <v>1.21</v>
      </c>
      <c r="E10" s="41" t="n">
        <v>0</v>
      </c>
      <c r="F10" s="30" t="n">
        <f aca="false">(C10*D10)-((C10*D10)*E10)</f>
        <v>1.21</v>
      </c>
      <c r="H10" s="23" t="s">
        <v>77</v>
      </c>
      <c r="I10" s="14" t="n">
        <v>290.59</v>
      </c>
      <c r="J10" s="24" t="n">
        <v>0.1</v>
      </c>
    </row>
    <row r="11" customFormat="false" ht="15" hidden="false" customHeight="false" outlineLevel="0" collapsed="false">
      <c r="B11" s="22" t="s">
        <v>330</v>
      </c>
      <c r="C11" s="42" t="n">
        <v>1</v>
      </c>
      <c r="D11" s="16" t="n">
        <v>1.15</v>
      </c>
      <c r="E11" s="43" t="n">
        <v>0</v>
      </c>
      <c r="F11" s="14" t="n">
        <f aca="false">(C11*D11)-((C11*D11)*E11)</f>
        <v>1.15</v>
      </c>
      <c r="H11" s="23" t="s">
        <v>78</v>
      </c>
      <c r="I11" s="14" t="n">
        <v>494.86</v>
      </c>
      <c r="J11" s="24" t="n">
        <v>0.1</v>
      </c>
    </row>
    <row r="12" customFormat="false" ht="15" hidden="false" customHeight="false" outlineLevel="0" collapsed="false">
      <c r="B12" s="26" t="s">
        <v>330</v>
      </c>
      <c r="C12" s="40" t="n">
        <v>1</v>
      </c>
      <c r="D12" s="28" t="n">
        <v>0.22</v>
      </c>
      <c r="E12" s="41" t="n">
        <v>0</v>
      </c>
      <c r="F12" s="30" t="n">
        <f aca="false">(C12*D12)-((C12*D12)*E12)</f>
        <v>0.22</v>
      </c>
      <c r="H12" s="23" t="s">
        <v>79</v>
      </c>
      <c r="I12" s="14" t="n">
        <v>512.15</v>
      </c>
      <c r="J12" s="24" t="n">
        <v>0.1</v>
      </c>
    </row>
    <row r="13" customFormat="false" ht="15" hidden="false" customHeight="false" outlineLevel="0" collapsed="false">
      <c r="B13" s="22" t="s">
        <v>330</v>
      </c>
      <c r="C13" s="42" t="n">
        <v>1</v>
      </c>
      <c r="D13" s="16" t="n">
        <v>0.57</v>
      </c>
      <c r="E13" s="43" t="n">
        <v>0</v>
      </c>
      <c r="F13" s="14" t="n">
        <f aca="false">(C13*D13)-((C13*D13)*E13)</f>
        <v>0.57</v>
      </c>
      <c r="H13" s="23" t="s">
        <v>80</v>
      </c>
      <c r="I13" s="14" t="n">
        <v>88.5</v>
      </c>
      <c r="J13" s="24" t="n">
        <v>0.1</v>
      </c>
    </row>
    <row r="14" customFormat="false" ht="15" hidden="false" customHeight="false" outlineLevel="0" collapsed="false">
      <c r="B14" s="26" t="s">
        <v>330</v>
      </c>
      <c r="C14" s="40" t="n">
        <v>1</v>
      </c>
      <c r="D14" s="28" t="n">
        <v>1.47</v>
      </c>
      <c r="E14" s="41" t="n">
        <v>0</v>
      </c>
      <c r="F14" s="30" t="n">
        <f aca="false">(C14*D14)-((C14*D14)*E14)</f>
        <v>1.47</v>
      </c>
      <c r="H14" s="23" t="s">
        <v>81</v>
      </c>
      <c r="I14" s="14" t="n">
        <v>226.35</v>
      </c>
      <c r="J14" s="24" t="n">
        <v>0.1</v>
      </c>
    </row>
    <row r="15" customFormat="false" ht="15" hidden="false" customHeight="false" outlineLevel="0" collapsed="false">
      <c r="B15" s="22" t="s">
        <v>330</v>
      </c>
      <c r="C15" s="42" t="n">
        <v>1</v>
      </c>
      <c r="D15" s="16" t="n">
        <v>1.03</v>
      </c>
      <c r="E15" s="43" t="n">
        <v>0</v>
      </c>
      <c r="F15" s="14" t="n">
        <f aca="false">(C15*D15)-((C15*D15)*E15)</f>
        <v>1.03</v>
      </c>
      <c r="H15" s="23" t="s">
        <v>82</v>
      </c>
      <c r="I15" s="14" t="n">
        <v>618.08</v>
      </c>
      <c r="J15" s="24" t="n">
        <v>0.1</v>
      </c>
    </row>
    <row r="16" customFormat="false" ht="15" hidden="false" customHeight="false" outlineLevel="0" collapsed="false">
      <c r="B16" s="26" t="s">
        <v>330</v>
      </c>
      <c r="C16" s="40" t="n">
        <v>1</v>
      </c>
      <c r="D16" s="28" t="n">
        <v>1.33</v>
      </c>
      <c r="E16" s="41" t="n">
        <v>0</v>
      </c>
      <c r="F16" s="30" t="n">
        <f aca="false">(C16*D16)-((C16*D16)*E16)</f>
        <v>1.33</v>
      </c>
      <c r="H16" s="23" t="s">
        <v>83</v>
      </c>
      <c r="I16" s="14" t="n">
        <v>445.18</v>
      </c>
      <c r="J16" s="24" t="n">
        <v>0.1</v>
      </c>
    </row>
    <row r="17" customFormat="false" ht="15" hidden="false" customHeight="false" outlineLevel="0" collapsed="false">
      <c r="B17" s="22" t="s">
        <v>330</v>
      </c>
      <c r="C17" s="42" t="n">
        <v>1</v>
      </c>
      <c r="D17" s="16" t="n">
        <v>0.88</v>
      </c>
      <c r="E17" s="43" t="n">
        <v>0</v>
      </c>
      <c r="F17" s="14" t="n">
        <f aca="false">(C17*D17)-((C17*D17)*E17)</f>
        <v>0.88</v>
      </c>
      <c r="H17" s="23" t="s">
        <v>84</v>
      </c>
      <c r="I17" s="14" t="n">
        <v>577.26</v>
      </c>
      <c r="J17" s="24" t="n">
        <v>0.1</v>
      </c>
    </row>
    <row r="18" customFormat="false" ht="15" hidden="false" customHeight="false" outlineLevel="0" collapsed="false">
      <c r="H18" s="23" t="s">
        <v>85</v>
      </c>
      <c r="I18" s="14" t="n">
        <v>365.75</v>
      </c>
      <c r="J18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280.3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280.3</v>
      </c>
    </row>
    <row r="6" customFormat="false" ht="15" hidden="false" customHeight="false" outlineLevel="0" collapsed="false">
      <c r="B6" s="26" t="s">
        <v>331</v>
      </c>
      <c r="C6" s="40" t="n">
        <v>10</v>
      </c>
      <c r="D6" s="28" t="n">
        <v>28.03</v>
      </c>
      <c r="E6" s="41" t="n">
        <v>0</v>
      </c>
      <c r="F6" s="30" t="n">
        <f aca="false">(C6*D6)-((C6*D6)*E6)</f>
        <v>280.3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86</v>
      </c>
      <c r="I9" s="14" t="n">
        <v>280.3</v>
      </c>
      <c r="J9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339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339</v>
      </c>
    </row>
    <row r="6" customFormat="false" ht="15" hidden="false" customHeight="false" outlineLevel="0" collapsed="false">
      <c r="B6" s="26" t="s">
        <v>332</v>
      </c>
      <c r="C6" s="40" t="n">
        <v>12</v>
      </c>
      <c r="D6" s="28" t="n">
        <v>28.25</v>
      </c>
      <c r="E6" s="41" t="n">
        <v>0</v>
      </c>
      <c r="F6" s="30" t="n">
        <f aca="false">(C6*D6)-((C6*D6)*E6)</f>
        <v>339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87</v>
      </c>
      <c r="I9" s="14" t="n">
        <v>339</v>
      </c>
      <c r="J9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1412.40775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1412.35</v>
      </c>
    </row>
    <row r="6" customFormat="false" ht="15" hidden="false" customHeight="false" outlineLevel="0" collapsed="false">
      <c r="B6" s="26" t="s">
        <v>333</v>
      </c>
      <c r="C6" s="40" t="n">
        <f aca="false">8.86+6.715+4.685</f>
        <v>20.26</v>
      </c>
      <c r="D6" s="28" t="n">
        <v>25</v>
      </c>
      <c r="E6" s="41" t="n">
        <v>0</v>
      </c>
      <c r="F6" s="30" t="n">
        <f aca="false">(C6*D6)-((C6*D6)*E6)</f>
        <v>506.5</v>
      </c>
      <c r="H6" s="38" t="s">
        <v>323</v>
      </c>
      <c r="I6" s="39" t="n">
        <f aca="false">I5-I4</f>
        <v>-0.0577499999999418</v>
      </c>
    </row>
    <row r="7" customFormat="false" ht="15" hidden="false" customHeight="false" outlineLevel="0" collapsed="false">
      <c r="B7" s="22" t="s">
        <v>334</v>
      </c>
      <c r="C7" s="42" t="n">
        <f aca="false">5.11</f>
        <v>5.11</v>
      </c>
      <c r="D7" s="16" t="n">
        <v>10.9</v>
      </c>
      <c r="E7" s="43" t="n">
        <v>0</v>
      </c>
      <c r="F7" s="14" t="n">
        <f aca="false">(C7*D7)-((C7*D7)*E7)</f>
        <v>55.699</v>
      </c>
    </row>
    <row r="8" customFormat="false" ht="15" hidden="false" customHeight="false" outlineLevel="0" collapsed="false">
      <c r="B8" s="26" t="s">
        <v>335</v>
      </c>
      <c r="C8" s="40" t="n">
        <f aca="false">5.445+6.48</f>
        <v>11.925</v>
      </c>
      <c r="D8" s="28" t="n">
        <v>34.55</v>
      </c>
      <c r="E8" s="41" t="n">
        <v>0</v>
      </c>
      <c r="F8" s="30" t="n">
        <f aca="false">(C8*D8)-((C8*D8)*E8)</f>
        <v>412.00875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335</v>
      </c>
      <c r="C9" s="42" t="n">
        <f aca="false">5.795+6.725</f>
        <v>12.52</v>
      </c>
      <c r="D9" s="16" t="n">
        <v>35</v>
      </c>
      <c r="E9" s="43" t="n">
        <v>0</v>
      </c>
      <c r="F9" s="14" t="n">
        <f aca="false">(C9*D9)-((C9*D9)*E9)</f>
        <v>438.2</v>
      </c>
      <c r="H9" s="23" t="s">
        <v>88</v>
      </c>
      <c r="I9" s="14" t="n">
        <v>221.5</v>
      </c>
      <c r="J9" s="24" t="n">
        <v>0.1</v>
      </c>
    </row>
    <row r="10" customFormat="false" ht="15" hidden="false" customHeight="false" outlineLevel="0" collapsed="false">
      <c r="H10" s="23" t="s">
        <v>89</v>
      </c>
      <c r="I10" s="14" t="n">
        <v>243.8</v>
      </c>
      <c r="J10" s="24" t="n">
        <v>0.1</v>
      </c>
    </row>
    <row r="11" customFormat="false" ht="15" hidden="false" customHeight="false" outlineLevel="0" collapsed="false">
      <c r="H11" s="23" t="s">
        <v>90</v>
      </c>
      <c r="I11" s="14" t="n">
        <v>370.7</v>
      </c>
      <c r="J11" s="24" t="n">
        <v>0.1</v>
      </c>
    </row>
    <row r="12" customFormat="false" ht="15" hidden="false" customHeight="false" outlineLevel="0" collapsed="false">
      <c r="H12" s="23" t="s">
        <v>91</v>
      </c>
      <c r="I12" s="14" t="n">
        <v>340.98</v>
      </c>
      <c r="J12" s="24" t="n">
        <v>0.1</v>
      </c>
    </row>
    <row r="13" customFormat="false" ht="15" hidden="false" customHeight="false" outlineLevel="0" collapsed="false">
      <c r="H13" s="23" t="s">
        <v>92</v>
      </c>
      <c r="I13" s="14" t="n">
        <v>235.37</v>
      </c>
      <c r="J13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240.66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240.66</v>
      </c>
    </row>
    <row r="6" customFormat="false" ht="15" hidden="false" customHeight="false" outlineLevel="0" collapsed="false">
      <c r="B6" s="26" t="s">
        <v>336</v>
      </c>
      <c r="C6" s="40" t="n">
        <v>1</v>
      </c>
      <c r="D6" s="28" t="n">
        <v>45</v>
      </c>
      <c r="E6" s="41" t="n">
        <v>0</v>
      </c>
      <c r="F6" s="30" t="n">
        <f aca="false">(C6*D6)-((C6*D6)*E6)</f>
        <v>45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337</v>
      </c>
      <c r="C7" s="42" t="n">
        <f aca="false">4.2+4+3</f>
        <v>11.2</v>
      </c>
      <c r="D7" s="16" t="n">
        <v>8.8</v>
      </c>
      <c r="E7" s="43" t="n">
        <v>0</v>
      </c>
      <c r="F7" s="14" t="n">
        <f aca="false">(C7*D7)-((C7*D7)*E7)</f>
        <v>98.56</v>
      </c>
    </row>
    <row r="8" customFormat="false" ht="15" hidden="false" customHeight="false" outlineLevel="0" collapsed="false">
      <c r="B8" s="26" t="s">
        <v>338</v>
      </c>
      <c r="C8" s="40" t="n">
        <v>1</v>
      </c>
      <c r="D8" s="28" t="n">
        <v>52.5</v>
      </c>
      <c r="E8" s="41" t="n">
        <v>0</v>
      </c>
      <c r="F8" s="30" t="n">
        <f aca="false">(C8*D8)-((C8*D8)*E8)</f>
        <v>52.5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339</v>
      </c>
      <c r="C9" s="42" t="n">
        <f aca="false">5.2</f>
        <v>5.2</v>
      </c>
      <c r="D9" s="16" t="n">
        <v>3.5</v>
      </c>
      <c r="E9" s="43" t="n">
        <v>0</v>
      </c>
      <c r="F9" s="14" t="n">
        <f aca="false">(C9*D9)-((C9*D9)*E9)</f>
        <v>18.2</v>
      </c>
      <c r="H9" s="23" t="s">
        <v>93</v>
      </c>
      <c r="I9" s="14" t="n">
        <v>81.96</v>
      </c>
      <c r="J9" s="24" t="n">
        <v>0.1</v>
      </c>
    </row>
    <row r="10" customFormat="false" ht="15" hidden="false" customHeight="false" outlineLevel="0" collapsed="false">
      <c r="B10" s="26" t="s">
        <v>340</v>
      </c>
      <c r="C10" s="40" t="n">
        <f aca="false">4.4</f>
        <v>4.4</v>
      </c>
      <c r="D10" s="28" t="n">
        <v>6</v>
      </c>
      <c r="E10" s="41" t="n">
        <v>0</v>
      </c>
      <c r="F10" s="30" t="n">
        <f aca="false">(C10*D10)-((C10*D10)*E10)</f>
        <v>26.4</v>
      </c>
      <c r="H10" s="23" t="s">
        <v>94</v>
      </c>
      <c r="I10" s="14" t="n">
        <v>105.9</v>
      </c>
      <c r="J10" s="24" t="n">
        <v>0.21</v>
      </c>
    </row>
    <row r="11" customFormat="false" ht="15" hidden="false" customHeight="false" outlineLevel="0" collapsed="false">
      <c r="H11" s="23" t="s">
        <v>95</v>
      </c>
      <c r="I11" s="14" t="n">
        <v>52.8</v>
      </c>
      <c r="J11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2124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2124.02</v>
      </c>
    </row>
    <row r="6" customFormat="false" ht="15" hidden="false" customHeight="false" outlineLevel="0" collapsed="false">
      <c r="B6" s="26" t="s">
        <v>341</v>
      </c>
      <c r="C6" s="40" t="n">
        <v>20</v>
      </c>
      <c r="D6" s="28" t="n">
        <v>4.8</v>
      </c>
      <c r="E6" s="41" t="n">
        <v>0</v>
      </c>
      <c r="F6" s="30" t="n">
        <f aca="false">(C6*D6)-((C6*D6)*E6)</f>
        <v>96</v>
      </c>
      <c r="H6" s="38" t="s">
        <v>323</v>
      </c>
      <c r="I6" s="39" t="n">
        <f aca="false">I5-I4</f>
        <v>0.0199999999999818</v>
      </c>
    </row>
    <row r="7" customFormat="false" ht="15" hidden="false" customHeight="false" outlineLevel="0" collapsed="false">
      <c r="B7" s="22" t="s">
        <v>342</v>
      </c>
      <c r="C7" s="42" t="n">
        <v>36</v>
      </c>
      <c r="D7" s="16" t="n">
        <v>2.504</v>
      </c>
      <c r="E7" s="43" t="n">
        <v>0</v>
      </c>
      <c r="F7" s="14" t="n">
        <f aca="false">(C7*D7)-((C7*D7)*E7)</f>
        <v>90.144</v>
      </c>
    </row>
    <row r="8" customFormat="false" ht="15" hidden="false" customHeight="false" outlineLevel="0" collapsed="false">
      <c r="B8" s="26" t="s">
        <v>343</v>
      </c>
      <c r="C8" s="40" t="n">
        <f aca="false">48+48+96+96+96+144</f>
        <v>528</v>
      </c>
      <c r="D8" s="28" t="n">
        <v>0.845</v>
      </c>
      <c r="E8" s="41" t="n">
        <v>0</v>
      </c>
      <c r="F8" s="30" t="n">
        <f aca="false">(C8*D8)-((C8*D8)*E8)</f>
        <v>446.16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343</v>
      </c>
      <c r="C9" s="42" t="n">
        <v>21</v>
      </c>
      <c r="D9" s="16" t="n">
        <v>4.8</v>
      </c>
      <c r="E9" s="43" t="n">
        <v>0</v>
      </c>
      <c r="F9" s="14" t="n">
        <f aca="false">(C9*D9)-((C9*D9)*E9)</f>
        <v>100.8</v>
      </c>
      <c r="H9" s="23" t="s">
        <v>96</v>
      </c>
      <c r="I9" s="14" t="n">
        <v>200.66</v>
      </c>
      <c r="J9" s="24" t="n">
        <v>0.21</v>
      </c>
    </row>
    <row r="10" customFormat="false" ht="15" hidden="false" customHeight="false" outlineLevel="0" collapsed="false">
      <c r="B10" s="26" t="s">
        <v>344</v>
      </c>
      <c r="C10" s="40" t="n">
        <f aca="false">144+120+168+216+144+360+288</f>
        <v>1440</v>
      </c>
      <c r="D10" s="28" t="n">
        <v>0.845</v>
      </c>
      <c r="E10" s="41" t="n">
        <v>0</v>
      </c>
      <c r="F10" s="30" t="n">
        <f aca="false">(C10*D10)-((C10*D10)*E10)</f>
        <v>1216.8</v>
      </c>
      <c r="H10" s="23" t="s">
        <v>97</v>
      </c>
      <c r="I10" s="14" t="n">
        <v>141.96</v>
      </c>
      <c r="J10" s="24" t="n">
        <v>0.21</v>
      </c>
    </row>
    <row r="11" customFormat="false" ht="15" hidden="false" customHeight="false" outlineLevel="0" collapsed="false">
      <c r="B11" s="22" t="s">
        <v>345</v>
      </c>
      <c r="C11" s="42" t="n">
        <f aca="false">48+24+72</f>
        <v>144</v>
      </c>
      <c r="D11" s="16" t="n">
        <v>0.845</v>
      </c>
      <c r="E11" s="43" t="n">
        <v>0</v>
      </c>
      <c r="F11" s="14" t="n">
        <f aca="false">(C11*D11)-((C11*D11)*E11)</f>
        <v>121.68</v>
      </c>
      <c r="H11" s="23" t="s">
        <v>98</v>
      </c>
      <c r="I11" s="14" t="n">
        <v>34.96</v>
      </c>
      <c r="J11" s="24" t="n">
        <v>0.1</v>
      </c>
    </row>
    <row r="12" customFormat="false" ht="15" hidden="false" customHeight="false" outlineLevel="0" collapsed="false">
      <c r="B12" s="26" t="s">
        <v>346</v>
      </c>
      <c r="C12" s="40" t="n">
        <f aca="false">48+24</f>
        <v>72</v>
      </c>
      <c r="D12" s="28" t="n">
        <v>0.728</v>
      </c>
      <c r="E12" s="41" t="n">
        <v>0</v>
      </c>
      <c r="F12" s="30" t="n">
        <f aca="false">(C12*D12)-((C12*D12)*E12)</f>
        <v>52.416</v>
      </c>
      <c r="H12" s="23" t="s">
        <v>98</v>
      </c>
      <c r="I12" s="14" t="n">
        <v>293.69</v>
      </c>
      <c r="J12" s="24" t="n">
        <v>0.21</v>
      </c>
    </row>
    <row r="13" customFormat="false" ht="15" hidden="false" customHeight="false" outlineLevel="0" collapsed="false">
      <c r="H13" s="23" t="s">
        <v>99</v>
      </c>
      <c r="I13" s="14" t="n">
        <v>48</v>
      </c>
      <c r="J13" s="24" t="n">
        <v>0.21</v>
      </c>
    </row>
    <row r="14" customFormat="false" ht="15" hidden="false" customHeight="false" outlineLevel="0" collapsed="false">
      <c r="H14" s="23" t="s">
        <v>100</v>
      </c>
      <c r="I14" s="14" t="n">
        <v>17.48</v>
      </c>
      <c r="J14" s="24" t="n">
        <v>0.1</v>
      </c>
    </row>
    <row r="15" customFormat="false" ht="15" hidden="false" customHeight="false" outlineLevel="0" collapsed="false">
      <c r="H15" s="23" t="s">
        <v>100</v>
      </c>
      <c r="I15" s="14" t="n">
        <v>287.64</v>
      </c>
      <c r="J15" s="24" t="n">
        <v>0.21</v>
      </c>
    </row>
    <row r="16" customFormat="false" ht="15" hidden="false" customHeight="false" outlineLevel="0" collapsed="false">
      <c r="H16" s="23" t="s">
        <v>101</v>
      </c>
      <c r="I16" s="14" t="n">
        <v>232.84</v>
      </c>
      <c r="J16" s="24" t="n">
        <v>0.21</v>
      </c>
    </row>
    <row r="17" customFormat="false" ht="15" hidden="false" customHeight="false" outlineLevel="0" collapsed="false">
      <c r="H17" s="23" t="s">
        <v>102</v>
      </c>
      <c r="I17" s="14" t="n">
        <v>484.55</v>
      </c>
      <c r="J17" s="24" t="n">
        <v>0.21</v>
      </c>
    </row>
    <row r="18" customFormat="false" ht="15" hidden="false" customHeight="false" outlineLevel="0" collapsed="false">
      <c r="H18" s="23" t="s">
        <v>103</v>
      </c>
      <c r="I18" s="14" t="n">
        <v>334.24</v>
      </c>
      <c r="J18" s="24" t="n">
        <v>0.1</v>
      </c>
    </row>
    <row r="19" customFormat="false" ht="15" hidden="false" customHeight="false" outlineLevel="0" collapsed="false">
      <c r="H19" s="23" t="s">
        <v>104</v>
      </c>
      <c r="I19" s="14" t="n">
        <v>48</v>
      </c>
      <c r="J19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705.24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705.24</v>
      </c>
    </row>
    <row r="6" customFormat="false" ht="15" hidden="false" customHeight="false" outlineLevel="0" collapsed="false">
      <c r="B6" s="26" t="s">
        <v>347</v>
      </c>
      <c r="C6" s="40" t="n">
        <f aca="false">12.88+13.24</f>
        <v>26.12</v>
      </c>
      <c r="D6" s="28" t="n">
        <v>27</v>
      </c>
      <c r="E6" s="41" t="n">
        <v>0</v>
      </c>
      <c r="F6" s="30" t="n">
        <f aca="false">(C6*D6)-((C6*D6)*E6)</f>
        <v>705.24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105</v>
      </c>
      <c r="I9" s="14" t="n">
        <v>347.76</v>
      </c>
      <c r="J9" s="24" t="n">
        <v>0.1</v>
      </c>
    </row>
    <row r="10" customFormat="false" ht="15" hidden="false" customHeight="false" outlineLevel="0" collapsed="false">
      <c r="H10" s="23" t="s">
        <v>106</v>
      </c>
      <c r="I10" s="14" t="n">
        <v>357.48</v>
      </c>
      <c r="J10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3739.93872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3739.92</v>
      </c>
    </row>
    <row r="6" customFormat="false" ht="15" hidden="false" customHeight="false" outlineLevel="0" collapsed="false">
      <c r="B6" s="26" t="s">
        <v>348</v>
      </c>
      <c r="C6" s="40" t="n">
        <f aca="false">8+8+8+8+8+8</f>
        <v>48</v>
      </c>
      <c r="D6" s="28" t="n">
        <v>16.9</v>
      </c>
      <c r="E6" s="41" t="n">
        <v>0.02</v>
      </c>
      <c r="F6" s="30" t="n">
        <f aca="false">(C6*D6)-((C6*D6)*E6)</f>
        <v>794.976</v>
      </c>
      <c r="H6" s="38" t="s">
        <v>323</v>
      </c>
      <c r="I6" s="39" t="n">
        <f aca="false">I5-I4</f>
        <v>-0.0187200000000303</v>
      </c>
    </row>
    <row r="7" customFormat="false" ht="15" hidden="false" customHeight="false" outlineLevel="0" collapsed="false">
      <c r="B7" s="22" t="s">
        <v>349</v>
      </c>
      <c r="C7" s="42" t="n">
        <f aca="false">16+16+16+16</f>
        <v>64</v>
      </c>
      <c r="D7" s="16" t="n">
        <v>28.66</v>
      </c>
      <c r="E7" s="43" t="n">
        <v>0.02</v>
      </c>
      <c r="F7" s="14" t="n">
        <f aca="false">(C7*D7)-((C7*D7)*E7)</f>
        <v>1797.5552</v>
      </c>
    </row>
    <row r="8" customFormat="false" ht="15" hidden="false" customHeight="false" outlineLevel="0" collapsed="false">
      <c r="B8" s="26" t="s">
        <v>350</v>
      </c>
      <c r="C8" s="40" t="n">
        <f aca="false">24+24</f>
        <v>48</v>
      </c>
      <c r="D8" s="28" t="n">
        <v>5.86</v>
      </c>
      <c r="E8" s="41" t="n">
        <v>0.02</v>
      </c>
      <c r="F8" s="30" t="n">
        <f aca="false">(C8*D8)-((C8*D8)*E8)</f>
        <v>275.6544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351</v>
      </c>
      <c r="C9" s="42" t="n">
        <v>25</v>
      </c>
      <c r="D9" s="16" t="n">
        <v>5.86</v>
      </c>
      <c r="E9" s="43" t="n">
        <v>0.02</v>
      </c>
      <c r="F9" s="14" t="n">
        <f aca="false">(C9*D9)-((C9*D9)*E9)</f>
        <v>143.57</v>
      </c>
      <c r="H9" s="23" t="s">
        <v>107</v>
      </c>
      <c r="I9" s="14" t="n">
        <v>719.71</v>
      </c>
      <c r="J9" s="24" t="n">
        <v>0.1</v>
      </c>
    </row>
    <row r="10" customFormat="false" ht="15" hidden="false" customHeight="false" outlineLevel="0" collapsed="false">
      <c r="B10" s="26" t="s">
        <v>352</v>
      </c>
      <c r="C10" s="40" t="n">
        <v>24</v>
      </c>
      <c r="D10" s="28" t="n">
        <v>11.4</v>
      </c>
      <c r="E10" s="41" t="n">
        <v>0.02</v>
      </c>
      <c r="F10" s="30" t="n">
        <f aca="false">(C10*D10)-((C10*D10)*E10)</f>
        <v>268.128</v>
      </c>
      <c r="H10" s="23" t="s">
        <v>108</v>
      </c>
      <c r="I10" s="14" t="n">
        <v>993.58</v>
      </c>
      <c r="J10" s="24" t="n">
        <v>0.1</v>
      </c>
    </row>
    <row r="11" customFormat="false" ht="15" hidden="false" customHeight="false" outlineLevel="0" collapsed="false">
      <c r="B11" s="22" t="s">
        <v>353</v>
      </c>
      <c r="C11" s="42" t="n">
        <v>18</v>
      </c>
      <c r="D11" s="16" t="n">
        <v>20.6</v>
      </c>
      <c r="E11" s="43" t="n">
        <v>0.02</v>
      </c>
      <c r="F11" s="14" t="n">
        <f aca="false">(C11*D11)-((C11*D11)*E11)</f>
        <v>363.384</v>
      </c>
      <c r="H11" s="23" t="s">
        <v>109</v>
      </c>
      <c r="I11" s="14" t="n">
        <v>270.32</v>
      </c>
      <c r="J11" s="24" t="n">
        <v>0.1</v>
      </c>
    </row>
    <row r="12" customFormat="false" ht="15" hidden="false" customHeight="false" outlineLevel="0" collapsed="false">
      <c r="B12" s="26" t="s">
        <v>354</v>
      </c>
      <c r="C12" s="40" t="n">
        <v>2.71</v>
      </c>
      <c r="D12" s="28" t="n">
        <v>36.4</v>
      </c>
      <c r="E12" s="41" t="n">
        <v>0.02</v>
      </c>
      <c r="F12" s="30" t="n">
        <f aca="false">(C12*D12)-((C12*D12)*E12)</f>
        <v>96.67112</v>
      </c>
      <c r="H12" s="23" t="s">
        <v>110</v>
      </c>
      <c r="I12" s="14" t="n">
        <v>132.5</v>
      </c>
      <c r="J12" s="24" t="n">
        <v>0.1</v>
      </c>
    </row>
    <row r="13" customFormat="false" ht="15" hidden="false" customHeight="false" outlineLevel="0" collapsed="false">
      <c r="H13" s="23" t="s">
        <v>111</v>
      </c>
      <c r="I13" s="14" t="n">
        <v>812.77</v>
      </c>
      <c r="J13" s="24" t="n">
        <v>0.1</v>
      </c>
    </row>
    <row r="14" customFormat="false" ht="15" hidden="false" customHeight="false" outlineLevel="0" collapsed="false">
      <c r="H14" s="23" t="s">
        <v>112</v>
      </c>
      <c r="I14" s="14" t="n">
        <v>229.16</v>
      </c>
      <c r="J14" s="24" t="n">
        <v>0.1</v>
      </c>
    </row>
    <row r="15" customFormat="false" ht="15" hidden="false" customHeight="false" outlineLevel="0" collapsed="false">
      <c r="H15" s="23" t="s">
        <v>113</v>
      </c>
      <c r="I15" s="14" t="n">
        <v>581.88</v>
      </c>
      <c r="J15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1086.025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1086.03</v>
      </c>
    </row>
    <row r="6" customFormat="false" ht="15" hidden="false" customHeight="false" outlineLevel="0" collapsed="false">
      <c r="B6" s="26" t="s">
        <v>355</v>
      </c>
      <c r="C6" s="40" t="n">
        <f aca="false">2+1</f>
        <v>3</v>
      </c>
      <c r="D6" s="28" t="n">
        <v>45</v>
      </c>
      <c r="E6" s="41" t="n">
        <v>0</v>
      </c>
      <c r="F6" s="30" t="n">
        <f aca="false">(C6*D6)-((C6*D6)*E6)</f>
        <v>135</v>
      </c>
      <c r="H6" s="38" t="s">
        <v>323</v>
      </c>
      <c r="I6" s="39" t="n">
        <f aca="false">I5-I4</f>
        <v>0.00499999999988177</v>
      </c>
    </row>
    <row r="7" customFormat="false" ht="15" hidden="false" customHeight="false" outlineLevel="0" collapsed="false">
      <c r="B7" s="22" t="s">
        <v>337</v>
      </c>
      <c r="C7" s="42" t="n">
        <f aca="false">4.5+8.5+4.3+8.8+3.8+9.8+7.8</f>
        <v>47.5</v>
      </c>
      <c r="D7" s="16" t="n">
        <v>8.8</v>
      </c>
      <c r="E7" s="43" t="n">
        <v>0</v>
      </c>
      <c r="F7" s="14" t="n">
        <f aca="false">(C7*D7)-((C7*D7)*E7)</f>
        <v>418</v>
      </c>
    </row>
    <row r="8" customFormat="false" ht="15" hidden="false" customHeight="false" outlineLevel="0" collapsed="false">
      <c r="B8" s="26" t="s">
        <v>356</v>
      </c>
      <c r="C8" s="40" t="n">
        <f aca="false">1+1+1</f>
        <v>3</v>
      </c>
      <c r="D8" s="28" t="n">
        <v>52.5</v>
      </c>
      <c r="E8" s="41" t="n">
        <v>0</v>
      </c>
      <c r="F8" s="30" t="n">
        <f aca="false">(C8*D8)-((C8*D8)*E8)</f>
        <v>157.5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339</v>
      </c>
      <c r="C9" s="42" t="n">
        <f aca="false">5.5+5.5+6.5</f>
        <v>17.5</v>
      </c>
      <c r="D9" s="16" t="n">
        <v>3.5</v>
      </c>
      <c r="E9" s="43" t="n">
        <v>0</v>
      </c>
      <c r="F9" s="14" t="n">
        <f aca="false">(C9*D9)-((C9*D9)*E9)</f>
        <v>61.25</v>
      </c>
      <c r="H9" s="23" t="s">
        <v>114</v>
      </c>
      <c r="I9" s="14" t="n">
        <v>84.6</v>
      </c>
      <c r="J9" s="24" t="n">
        <v>0.1</v>
      </c>
    </row>
    <row r="10" customFormat="false" ht="15" hidden="false" customHeight="false" outlineLevel="0" collapsed="false">
      <c r="B10" s="26" t="s">
        <v>357</v>
      </c>
      <c r="C10" s="40" t="n">
        <v>3.8</v>
      </c>
      <c r="D10" s="28" t="n">
        <v>36</v>
      </c>
      <c r="E10" s="41" t="n">
        <v>0</v>
      </c>
      <c r="F10" s="30" t="n">
        <f aca="false">(C10*D10)-((C10*D10)*E10)</f>
        <v>136.8</v>
      </c>
      <c r="H10" s="23" t="s">
        <v>115</v>
      </c>
      <c r="I10" s="14" t="n">
        <v>172.3</v>
      </c>
      <c r="J10" s="24" t="n">
        <v>0.1</v>
      </c>
    </row>
    <row r="11" customFormat="false" ht="15" hidden="false" customHeight="false" outlineLevel="0" collapsed="false">
      <c r="B11" s="22" t="s">
        <v>340</v>
      </c>
      <c r="C11" s="42" t="n">
        <f aca="false">4.4+5.1</f>
        <v>9.5</v>
      </c>
      <c r="D11" s="16" t="n">
        <v>6</v>
      </c>
      <c r="E11" s="43" t="n">
        <v>0</v>
      </c>
      <c r="F11" s="14" t="n">
        <f aca="false">(C11*D11)-((C11*D11)*E11)</f>
        <v>57</v>
      </c>
      <c r="H11" s="23" t="s">
        <v>116</v>
      </c>
      <c r="I11" s="14" t="n">
        <v>57.09</v>
      </c>
      <c r="J11" s="24" t="n">
        <v>0.1</v>
      </c>
    </row>
    <row r="12" customFormat="false" ht="15" hidden="false" customHeight="false" outlineLevel="0" collapsed="false">
      <c r="B12" s="26" t="s">
        <v>358</v>
      </c>
      <c r="C12" s="40" t="n">
        <v>5.9</v>
      </c>
      <c r="D12" s="28" t="n">
        <v>3.5</v>
      </c>
      <c r="E12" s="41" t="n">
        <v>0</v>
      </c>
      <c r="F12" s="30" t="n">
        <f aca="false">(C12*D12)-((C12*D12)*E12)</f>
        <v>20.65</v>
      </c>
      <c r="H12" s="23" t="s">
        <v>117</v>
      </c>
      <c r="I12" s="14" t="n">
        <v>208.55</v>
      </c>
      <c r="J12" s="24" t="n">
        <v>0.1</v>
      </c>
    </row>
    <row r="13" customFormat="false" ht="15" hidden="false" customHeight="false" outlineLevel="0" collapsed="false">
      <c r="B13" s="22" t="s">
        <v>359</v>
      </c>
      <c r="C13" s="42" t="n">
        <v>4.9</v>
      </c>
      <c r="D13" s="16" t="n">
        <v>3.75</v>
      </c>
      <c r="E13" s="43" t="n">
        <v>0</v>
      </c>
      <c r="F13" s="14" t="n">
        <f aca="false">(C13*D13)-((C13*D13)*E13)</f>
        <v>18.375</v>
      </c>
      <c r="H13" s="23" t="s">
        <v>118</v>
      </c>
      <c r="I13" s="14" t="n">
        <v>77.44</v>
      </c>
      <c r="J13" s="24" t="n">
        <v>0.1</v>
      </c>
    </row>
    <row r="14" customFormat="false" ht="15" hidden="false" customHeight="false" outlineLevel="0" collapsed="false">
      <c r="B14" s="26" t="s">
        <v>360</v>
      </c>
      <c r="C14" s="40" t="n">
        <v>3</v>
      </c>
      <c r="D14" s="28" t="n">
        <v>12.5</v>
      </c>
      <c r="E14" s="41" t="n">
        <v>0</v>
      </c>
      <c r="F14" s="30" t="n">
        <f aca="false">(C14*D14)-((C14*D14)*E14)</f>
        <v>37.5</v>
      </c>
      <c r="H14" s="23" t="s">
        <v>119</v>
      </c>
      <c r="I14" s="14" t="n">
        <v>71.4</v>
      </c>
      <c r="J14" s="24" t="n">
        <v>0.1</v>
      </c>
    </row>
    <row r="15" customFormat="false" ht="15" hidden="false" customHeight="false" outlineLevel="0" collapsed="false">
      <c r="B15" s="22" t="s">
        <v>361</v>
      </c>
      <c r="C15" s="42" t="n">
        <v>2</v>
      </c>
      <c r="D15" s="16" t="n">
        <v>8.5</v>
      </c>
      <c r="E15" s="43" t="n">
        <v>0</v>
      </c>
      <c r="F15" s="14" t="n">
        <f aca="false">(C15*D15)-((C15*D15)*E15)</f>
        <v>17</v>
      </c>
      <c r="H15" s="23" t="s">
        <v>120</v>
      </c>
      <c r="I15" s="14" t="n">
        <v>64.04</v>
      </c>
      <c r="J15" s="24" t="n">
        <v>0.1</v>
      </c>
    </row>
    <row r="16" customFormat="false" ht="15" hidden="false" customHeight="false" outlineLevel="0" collapsed="false">
      <c r="B16" s="26" t="s">
        <v>362</v>
      </c>
      <c r="C16" s="40" t="n">
        <v>2.1</v>
      </c>
      <c r="D16" s="28" t="n">
        <v>4.5</v>
      </c>
      <c r="E16" s="41" t="n">
        <v>0</v>
      </c>
      <c r="F16" s="30" t="n">
        <f aca="false">(C16*D16)-((C16*D16)*E16)</f>
        <v>9.45</v>
      </c>
      <c r="H16" s="23" t="s">
        <v>121</v>
      </c>
      <c r="I16" s="14" t="n">
        <v>161.49</v>
      </c>
      <c r="J16" s="24" t="n">
        <v>0.1</v>
      </c>
    </row>
    <row r="17" customFormat="false" ht="15" hidden="false" customHeight="false" outlineLevel="0" collapsed="false">
      <c r="B17" s="22" t="s">
        <v>363</v>
      </c>
      <c r="C17" s="42" t="n">
        <v>1</v>
      </c>
      <c r="D17" s="16" t="n">
        <v>8.5</v>
      </c>
      <c r="E17" s="43" t="n">
        <v>0</v>
      </c>
      <c r="F17" s="14" t="n">
        <f aca="false">(C17*D17)-((C17*D17)*E17)</f>
        <v>8.5</v>
      </c>
      <c r="H17" s="23" t="s">
        <v>122</v>
      </c>
      <c r="I17" s="14" t="n">
        <v>189.12</v>
      </c>
      <c r="J17" s="24" t="n">
        <v>0.1</v>
      </c>
    </row>
    <row r="18" customFormat="false" ht="15" hidden="false" customHeight="false" outlineLevel="0" collapsed="false">
      <c r="B18" s="26" t="s">
        <v>364</v>
      </c>
      <c r="C18" s="40" t="n">
        <v>1</v>
      </c>
      <c r="D18" s="28" t="n">
        <v>9</v>
      </c>
      <c r="E18" s="41" t="n">
        <v>0</v>
      </c>
      <c r="F18" s="30" t="n">
        <f aca="false">(C18*D18)-((C18*D18)*E18)</f>
        <v>9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1970.464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1970.46</v>
      </c>
    </row>
    <row r="6" customFormat="false" ht="15" hidden="false" customHeight="false" outlineLevel="0" collapsed="false">
      <c r="B6" s="26" t="s">
        <v>365</v>
      </c>
      <c r="C6" s="40" t="n">
        <f aca="false">18+3+3+3+6+3+6+3+4+3</f>
        <v>52</v>
      </c>
      <c r="D6" s="28" t="n">
        <v>26</v>
      </c>
      <c r="E6" s="41" t="n">
        <v>0</v>
      </c>
      <c r="F6" s="30" t="n">
        <f aca="false">(C6*D6)-((C6*D6)*E6)</f>
        <v>1352</v>
      </c>
      <c r="H6" s="38" t="s">
        <v>323</v>
      </c>
      <c r="I6" s="39" t="n">
        <f aca="false">I5-I4</f>
        <v>-0.00399999999990541</v>
      </c>
    </row>
    <row r="7" customFormat="false" ht="15" hidden="false" customHeight="false" outlineLevel="0" collapsed="false">
      <c r="B7" s="22" t="s">
        <v>366</v>
      </c>
      <c r="C7" s="42" t="n">
        <v>4.84</v>
      </c>
      <c r="D7" s="16" t="n">
        <v>59.6</v>
      </c>
      <c r="E7" s="43" t="n">
        <v>0</v>
      </c>
      <c r="F7" s="14" t="n">
        <f aca="false">(C7*D7)-((C7*D7)*E7)</f>
        <v>288.464</v>
      </c>
    </row>
    <row r="8" customFormat="false" ht="15" hidden="false" customHeight="false" outlineLevel="0" collapsed="false">
      <c r="B8" s="26" t="s">
        <v>367</v>
      </c>
      <c r="C8" s="40" t="n">
        <f aca="false">4.5+6+6</f>
        <v>16.5</v>
      </c>
      <c r="D8" s="28" t="n">
        <v>20</v>
      </c>
      <c r="E8" s="41" t="n">
        <v>0</v>
      </c>
      <c r="F8" s="30" t="n">
        <f aca="false">(C8*D8)-((C8*D8)*E8)</f>
        <v>330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123</v>
      </c>
      <c r="I9" s="14" t="n">
        <v>78</v>
      </c>
      <c r="J9" s="24" t="n">
        <v>0.1</v>
      </c>
    </row>
    <row r="10" customFormat="false" ht="15" hidden="false" customHeight="false" outlineLevel="0" collapsed="false">
      <c r="H10" s="23" t="s">
        <v>124</v>
      </c>
      <c r="I10" s="14" t="n">
        <v>156</v>
      </c>
      <c r="J10" s="24" t="n">
        <v>0.1</v>
      </c>
    </row>
    <row r="11" customFormat="false" ht="15" hidden="false" customHeight="false" outlineLevel="0" collapsed="false">
      <c r="H11" s="23" t="s">
        <v>125</v>
      </c>
      <c r="I11" s="14" t="n">
        <v>288.46</v>
      </c>
      <c r="J11" s="24" t="n">
        <v>0.1</v>
      </c>
    </row>
    <row r="12" customFormat="false" ht="15" hidden="false" customHeight="false" outlineLevel="0" collapsed="false">
      <c r="H12" s="23" t="s">
        <v>126</v>
      </c>
      <c r="I12" s="14" t="n">
        <v>156</v>
      </c>
      <c r="J12" s="24" t="n">
        <v>0.1</v>
      </c>
    </row>
    <row r="13" customFormat="false" ht="15" hidden="false" customHeight="false" outlineLevel="0" collapsed="false">
      <c r="H13" s="23" t="s">
        <v>127</v>
      </c>
      <c r="I13" s="14" t="n">
        <v>78</v>
      </c>
      <c r="J13" s="24" t="n">
        <v>0.1</v>
      </c>
    </row>
    <row r="14" customFormat="false" ht="15" hidden="false" customHeight="false" outlineLevel="0" collapsed="false">
      <c r="H14" s="23" t="s">
        <v>128</v>
      </c>
      <c r="I14" s="14" t="n">
        <v>90</v>
      </c>
      <c r="J14" s="24" t="n">
        <v>0.1</v>
      </c>
    </row>
    <row r="15" customFormat="false" ht="15" hidden="false" customHeight="false" outlineLevel="0" collapsed="false">
      <c r="H15" s="23" t="s">
        <v>129</v>
      </c>
      <c r="I15" s="14" t="n">
        <v>78</v>
      </c>
      <c r="J15" s="24" t="n">
        <v>0.1</v>
      </c>
    </row>
    <row r="16" customFormat="false" ht="15" hidden="false" customHeight="false" outlineLevel="0" collapsed="false">
      <c r="H16" s="23" t="s">
        <v>130</v>
      </c>
      <c r="I16" s="14" t="n">
        <v>78</v>
      </c>
      <c r="J16" s="24" t="n">
        <v>0.1</v>
      </c>
    </row>
    <row r="17" customFormat="false" ht="15" hidden="false" customHeight="false" outlineLevel="0" collapsed="false">
      <c r="H17" s="23" t="s">
        <v>131</v>
      </c>
      <c r="I17" s="14" t="n">
        <v>198</v>
      </c>
      <c r="J17" s="24" t="n">
        <v>0.1</v>
      </c>
    </row>
    <row r="18" customFormat="false" ht="15" hidden="false" customHeight="false" outlineLevel="0" collapsed="false">
      <c r="H18" s="23" t="s">
        <v>132</v>
      </c>
      <c r="I18" s="14" t="n">
        <v>156</v>
      </c>
      <c r="J18" s="24" t="n">
        <v>0.1</v>
      </c>
    </row>
    <row r="19" customFormat="false" ht="15" hidden="false" customHeight="false" outlineLevel="0" collapsed="false">
      <c r="H19" s="23" t="s">
        <v>133</v>
      </c>
      <c r="I19" s="14" t="n">
        <v>78</v>
      </c>
      <c r="J19" s="24" t="n">
        <v>0.1</v>
      </c>
    </row>
    <row r="20" customFormat="false" ht="15" hidden="false" customHeight="false" outlineLevel="0" collapsed="false">
      <c r="H20" s="23" t="s">
        <v>134</v>
      </c>
      <c r="I20" s="14" t="n">
        <v>120</v>
      </c>
      <c r="J20" s="24" t="n">
        <v>0.1</v>
      </c>
    </row>
    <row r="21" customFormat="false" ht="15" hidden="false" customHeight="false" outlineLevel="0" collapsed="false">
      <c r="H21" s="23" t="s">
        <v>135</v>
      </c>
      <c r="I21" s="14" t="n">
        <v>156</v>
      </c>
      <c r="J21" s="24" t="n">
        <v>0.1</v>
      </c>
    </row>
    <row r="22" customFormat="false" ht="15" hidden="false" customHeight="false" outlineLevel="0" collapsed="false">
      <c r="H22" s="23" t="s">
        <v>136</v>
      </c>
      <c r="I22" s="14" t="n">
        <v>78</v>
      </c>
      <c r="J22" s="24" t="n">
        <v>0.1</v>
      </c>
    </row>
    <row r="23" customFormat="false" ht="15" hidden="false" customHeight="false" outlineLevel="0" collapsed="false">
      <c r="H23" s="23" t="s">
        <v>137</v>
      </c>
      <c r="I23" s="14" t="n">
        <v>104</v>
      </c>
      <c r="J23" s="24" t="n">
        <v>0.1</v>
      </c>
    </row>
    <row r="24" customFormat="false" ht="15" hidden="false" customHeight="false" outlineLevel="0" collapsed="false">
      <c r="H24" s="23" t="s">
        <v>138</v>
      </c>
      <c r="I24" s="14" t="n">
        <v>78</v>
      </c>
      <c r="J24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1032.66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1032.66</v>
      </c>
    </row>
    <row r="6" customFormat="false" ht="15" hidden="false" customHeight="false" outlineLevel="0" collapsed="false">
      <c r="B6" s="26" t="s">
        <v>38</v>
      </c>
      <c r="C6" s="40" t="n">
        <v>4</v>
      </c>
      <c r="D6" s="28" t="n">
        <v>17.73</v>
      </c>
      <c r="E6" s="41" t="n">
        <v>0</v>
      </c>
      <c r="F6" s="30" t="n">
        <f aca="false">(C6*D6)-((C6*D6)*E6)</f>
        <v>70.92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368</v>
      </c>
      <c r="C7" s="42" t="n">
        <f aca="false">5+2+1+2+2+2</f>
        <v>14</v>
      </c>
      <c r="D7" s="16" t="n">
        <v>11.48</v>
      </c>
      <c r="E7" s="43" t="n">
        <v>0</v>
      </c>
      <c r="F7" s="14" t="n">
        <f aca="false">(C7*D7)-((C7*D7)*E7)</f>
        <v>160.72</v>
      </c>
    </row>
    <row r="8" customFormat="false" ht="15" hidden="false" customHeight="false" outlineLevel="0" collapsed="false">
      <c r="B8" s="26" t="s">
        <v>369</v>
      </c>
      <c r="C8" s="40" t="n">
        <f aca="false">3+4+3+2+4+4+5+4</f>
        <v>29</v>
      </c>
      <c r="D8" s="28" t="n">
        <v>17.73</v>
      </c>
      <c r="E8" s="41" t="n">
        <v>0</v>
      </c>
      <c r="F8" s="30" t="n">
        <f aca="false">(C8*D8)-((C8*D8)*E8)</f>
        <v>514.17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370</v>
      </c>
      <c r="C9" s="42" t="n">
        <f aca="false">1+1+1</f>
        <v>3</v>
      </c>
      <c r="D9" s="16" t="n">
        <v>88.09</v>
      </c>
      <c r="E9" s="43" t="n">
        <v>0</v>
      </c>
      <c r="F9" s="14" t="n">
        <f aca="false">(C9*D9)-((C9*D9)*E9)</f>
        <v>264.27</v>
      </c>
      <c r="H9" s="23" t="s">
        <v>139</v>
      </c>
      <c r="I9" s="14" t="n">
        <v>105.36</v>
      </c>
      <c r="J9" s="24" t="n">
        <v>0.04</v>
      </c>
    </row>
    <row r="10" customFormat="false" ht="15" hidden="false" customHeight="false" outlineLevel="0" collapsed="false">
      <c r="B10" s="26" t="s">
        <v>371</v>
      </c>
      <c r="C10" s="40" t="n">
        <f aca="false">1+1</f>
        <v>2</v>
      </c>
      <c r="D10" s="28" t="n">
        <v>11.29</v>
      </c>
      <c r="E10" s="41" t="n">
        <v>0</v>
      </c>
      <c r="F10" s="30" t="n">
        <f aca="false">(C10*D10)-((C10*D10)*E10)</f>
        <v>22.58</v>
      </c>
      <c r="H10" s="23" t="s">
        <v>140</v>
      </c>
      <c r="I10" s="14" t="n">
        <v>88.09</v>
      </c>
      <c r="J10" s="24" t="n">
        <v>0.1</v>
      </c>
    </row>
    <row r="11" customFormat="false" ht="15" hidden="false" customHeight="false" outlineLevel="0" collapsed="false">
      <c r="H11" s="23" t="s">
        <v>140</v>
      </c>
      <c r="I11" s="14" t="n">
        <v>76.15</v>
      </c>
      <c r="J11" s="24" t="n">
        <v>0.04</v>
      </c>
    </row>
    <row r="12" customFormat="false" ht="15" hidden="false" customHeight="false" outlineLevel="0" collapsed="false">
      <c r="H12" s="23" t="s">
        <v>141</v>
      </c>
      <c r="I12" s="14" t="n">
        <v>105.17</v>
      </c>
      <c r="J12" s="24" t="n">
        <v>0.04</v>
      </c>
    </row>
    <row r="13" customFormat="false" ht="15" hidden="false" customHeight="false" outlineLevel="0" collapsed="false">
      <c r="H13" s="23" t="s">
        <v>142</v>
      </c>
      <c r="I13" s="14" t="n">
        <v>88.09</v>
      </c>
      <c r="J13" s="24" t="n">
        <v>0.1</v>
      </c>
    </row>
    <row r="14" customFormat="false" ht="15" hidden="false" customHeight="false" outlineLevel="0" collapsed="false">
      <c r="H14" s="23" t="s">
        <v>142</v>
      </c>
      <c r="I14" s="14" t="n">
        <v>75.96</v>
      </c>
      <c r="J14" s="24" t="n">
        <v>0.04</v>
      </c>
    </row>
    <row r="15" customFormat="false" ht="15" hidden="false" customHeight="false" outlineLevel="0" collapsed="false">
      <c r="H15" s="23" t="s">
        <v>143</v>
      </c>
      <c r="I15" s="14" t="n">
        <v>35.46</v>
      </c>
      <c r="J15" s="24" t="n">
        <v>0.04</v>
      </c>
    </row>
    <row r="16" customFormat="false" ht="15" hidden="false" customHeight="false" outlineLevel="0" collapsed="false">
      <c r="H16" s="23" t="s">
        <v>144</v>
      </c>
      <c r="I16" s="14" t="n">
        <v>93.88</v>
      </c>
      <c r="J16" s="24" t="n">
        <v>0.04</v>
      </c>
    </row>
    <row r="17" customFormat="false" ht="15" hidden="false" customHeight="false" outlineLevel="0" collapsed="false">
      <c r="H17" s="23" t="s">
        <v>145</v>
      </c>
      <c r="I17" s="14" t="n">
        <v>88.09</v>
      </c>
      <c r="J17" s="24" t="n">
        <v>0.1</v>
      </c>
    </row>
    <row r="18" customFormat="false" ht="15" hidden="false" customHeight="false" outlineLevel="0" collapsed="false">
      <c r="H18" s="23" t="s">
        <v>145</v>
      </c>
      <c r="I18" s="14" t="n">
        <v>93.88</v>
      </c>
      <c r="J18" s="24" t="n">
        <v>0.04</v>
      </c>
    </row>
    <row r="19" customFormat="false" ht="15" hidden="false" customHeight="false" outlineLevel="0" collapsed="false">
      <c r="H19" s="23" t="s">
        <v>146</v>
      </c>
      <c r="I19" s="14" t="n">
        <v>88.65</v>
      </c>
      <c r="J19" s="24" t="n">
        <v>0.04</v>
      </c>
    </row>
    <row r="20" customFormat="false" ht="15" hidden="false" customHeight="false" outlineLevel="0" collapsed="false">
      <c r="H20" s="23" t="s">
        <v>147</v>
      </c>
      <c r="I20" s="14" t="n">
        <v>93.88</v>
      </c>
      <c r="J20" s="24" t="n">
        <v>0.04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1295.5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1295.5</v>
      </c>
    </row>
    <row r="6" customFormat="false" ht="15" hidden="false" customHeight="false" outlineLevel="0" collapsed="false">
      <c r="B6" s="26" t="s">
        <v>372</v>
      </c>
      <c r="C6" s="40" t="n">
        <f aca="false">8+8+8+8</f>
        <v>32</v>
      </c>
      <c r="D6" s="28" t="n">
        <v>19</v>
      </c>
      <c r="E6" s="41" t="n">
        <v>0</v>
      </c>
      <c r="F6" s="30" t="n">
        <f aca="false">(C6*D6)-((C6*D6)*E6)</f>
        <v>608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373</v>
      </c>
      <c r="C7" s="42" t="n">
        <f aca="false">2+4+1+3+3</f>
        <v>13</v>
      </c>
      <c r="D7" s="16" t="n">
        <v>41.5</v>
      </c>
      <c r="E7" s="43" t="n">
        <v>0</v>
      </c>
      <c r="F7" s="14" t="n">
        <f aca="false">(C7*D7)-((C7*D7)*E7)</f>
        <v>539.5</v>
      </c>
    </row>
    <row r="8" customFormat="false" ht="15" hidden="false" customHeight="false" outlineLevel="0" collapsed="false">
      <c r="B8" s="26" t="s">
        <v>374</v>
      </c>
      <c r="C8" s="40" t="n">
        <v>8</v>
      </c>
      <c r="D8" s="28" t="n">
        <v>18.5</v>
      </c>
      <c r="E8" s="41" t="n">
        <v>0</v>
      </c>
      <c r="F8" s="30" t="n">
        <f aca="false">(C8*D8)-((C8*D8)*E8)</f>
        <v>148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148</v>
      </c>
      <c r="I9" s="14" t="n">
        <v>152</v>
      </c>
      <c r="J9" s="24" t="n">
        <v>0.1</v>
      </c>
    </row>
    <row r="10" customFormat="false" ht="15" hidden="false" customHeight="false" outlineLevel="0" collapsed="false">
      <c r="H10" s="23" t="s">
        <v>149</v>
      </c>
      <c r="I10" s="14" t="n">
        <v>83</v>
      </c>
      <c r="J10" s="24" t="n">
        <v>0.1</v>
      </c>
    </row>
    <row r="11" customFormat="false" ht="15" hidden="false" customHeight="false" outlineLevel="0" collapsed="false">
      <c r="H11" s="23" t="s">
        <v>150</v>
      </c>
      <c r="I11" s="14" t="n">
        <v>314</v>
      </c>
      <c r="J11" s="24" t="n">
        <v>0.1</v>
      </c>
    </row>
    <row r="12" customFormat="false" ht="15" hidden="false" customHeight="false" outlineLevel="0" collapsed="false">
      <c r="H12" s="23" t="s">
        <v>151</v>
      </c>
      <c r="I12" s="14" t="n">
        <v>193.5</v>
      </c>
      <c r="J12" s="24" t="n">
        <v>0.1</v>
      </c>
    </row>
    <row r="13" customFormat="false" ht="15" hidden="false" customHeight="false" outlineLevel="0" collapsed="false">
      <c r="H13" s="23" t="s">
        <v>152</v>
      </c>
      <c r="I13" s="14" t="n">
        <v>276.5</v>
      </c>
      <c r="J13" s="24" t="n">
        <v>0.1</v>
      </c>
    </row>
    <row r="14" customFormat="false" ht="15" hidden="false" customHeight="false" outlineLevel="0" collapsed="false">
      <c r="H14" s="23" t="s">
        <v>153</v>
      </c>
      <c r="I14" s="14" t="n">
        <v>276.5</v>
      </c>
      <c r="J14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3131.64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3131.64</v>
      </c>
    </row>
    <row r="6" customFormat="false" ht="15" hidden="false" customHeight="false" outlineLevel="0" collapsed="false">
      <c r="B6" s="26" t="s">
        <v>375</v>
      </c>
      <c r="C6" s="40" t="n">
        <f aca="false">(23)*6</f>
        <v>138</v>
      </c>
      <c r="D6" s="28" t="n">
        <v>11.42</v>
      </c>
      <c r="E6" s="41" t="n">
        <v>0</v>
      </c>
      <c r="F6" s="30" t="n">
        <f aca="false">(C6*D6)-((C6*D6)*E6)</f>
        <v>1575.96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376</v>
      </c>
      <c r="C7" s="42" t="n">
        <f aca="false">(2)*6</f>
        <v>12</v>
      </c>
      <c r="D7" s="16" t="n">
        <v>15.12</v>
      </c>
      <c r="E7" s="43" t="n">
        <v>0</v>
      </c>
      <c r="F7" s="14" t="n">
        <f aca="false">(C7*D7)-((C7*D7)*E7)</f>
        <v>181.44</v>
      </c>
    </row>
    <row r="8" customFormat="false" ht="15" hidden="false" customHeight="false" outlineLevel="0" collapsed="false">
      <c r="B8" s="26" t="s">
        <v>377</v>
      </c>
      <c r="C8" s="40" t="n">
        <f aca="false">(6)*6</f>
        <v>36</v>
      </c>
      <c r="D8" s="28" t="n">
        <v>9.02</v>
      </c>
      <c r="E8" s="41" t="n">
        <v>0</v>
      </c>
      <c r="F8" s="30" t="n">
        <f aca="false">(C8*D8)-((C8*D8)*E8)</f>
        <v>324.72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378</v>
      </c>
      <c r="C9" s="42" t="n">
        <f aca="false">(3)*6</f>
        <v>18</v>
      </c>
      <c r="D9" s="16" t="n">
        <v>16.1</v>
      </c>
      <c r="E9" s="43" t="n">
        <v>0</v>
      </c>
      <c r="F9" s="14" t="n">
        <f aca="false">(C9*D9)-((C9*D9)*E9)</f>
        <v>289.8</v>
      </c>
      <c r="H9" s="23" t="s">
        <v>154</v>
      </c>
      <c r="I9" s="14" t="n">
        <v>137.04</v>
      </c>
      <c r="J9" s="24" t="n">
        <v>0.21</v>
      </c>
    </row>
    <row r="10" customFormat="false" ht="15" hidden="false" customHeight="false" outlineLevel="0" collapsed="false">
      <c r="B10" s="26" t="s">
        <v>379</v>
      </c>
      <c r="C10" s="40" t="n">
        <f aca="false">(7)*12</f>
        <v>84</v>
      </c>
      <c r="D10" s="28" t="n">
        <v>7.03</v>
      </c>
      <c r="E10" s="41" t="n">
        <v>0</v>
      </c>
      <c r="F10" s="30" t="n">
        <f aca="false">(C10*D10)-((C10*D10)*E10)</f>
        <v>590.52</v>
      </c>
      <c r="H10" s="23" t="s">
        <v>155</v>
      </c>
      <c r="I10" s="14" t="n">
        <v>488.88</v>
      </c>
      <c r="J10" s="24" t="n">
        <v>0.21</v>
      </c>
    </row>
    <row r="11" customFormat="false" ht="15" hidden="false" customHeight="false" outlineLevel="0" collapsed="false">
      <c r="B11" s="22" t="s">
        <v>380</v>
      </c>
      <c r="C11" s="42" t="n">
        <f aca="false">(10)*6</f>
        <v>60</v>
      </c>
      <c r="D11" s="16" t="n">
        <v>2.82</v>
      </c>
      <c r="E11" s="43" t="n">
        <v>0</v>
      </c>
      <c r="F11" s="14" t="n">
        <f aca="false">(C11*D11)-((C11*D11)*E11)</f>
        <v>169.2</v>
      </c>
      <c r="H11" s="23" t="s">
        <v>156</v>
      </c>
      <c r="I11" s="14" t="n">
        <v>799.08</v>
      </c>
      <c r="J11" s="24" t="n">
        <v>0.21</v>
      </c>
    </row>
    <row r="12" customFormat="false" ht="15" hidden="false" customHeight="false" outlineLevel="0" collapsed="false">
      <c r="H12" s="23" t="s">
        <v>157</v>
      </c>
      <c r="I12" s="14" t="n">
        <v>411.12</v>
      </c>
      <c r="J12" s="24" t="n">
        <v>0.21</v>
      </c>
    </row>
    <row r="13" customFormat="false" ht="15" hidden="false" customHeight="false" outlineLevel="0" collapsed="false">
      <c r="H13" s="23" t="s">
        <v>158</v>
      </c>
      <c r="I13" s="14" t="n">
        <v>765.48</v>
      </c>
      <c r="J13" s="24" t="n">
        <v>0.21</v>
      </c>
    </row>
    <row r="14" customFormat="false" ht="15" hidden="false" customHeight="false" outlineLevel="0" collapsed="false">
      <c r="H14" s="23" t="s">
        <v>159</v>
      </c>
      <c r="I14" s="14" t="n">
        <v>530.04</v>
      </c>
      <c r="J14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646.5718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646.58</v>
      </c>
    </row>
    <row r="6" customFormat="false" ht="15" hidden="false" customHeight="false" outlineLevel="0" collapsed="false">
      <c r="B6" s="26" t="s">
        <v>381</v>
      </c>
      <c r="C6" s="40" t="n">
        <v>2</v>
      </c>
      <c r="D6" s="28" t="n">
        <v>120.15</v>
      </c>
      <c r="E6" s="41" t="n">
        <v>0.03</v>
      </c>
      <c r="F6" s="30" t="n">
        <f aca="false">(C6*D6)-((C6*D6)*E6)</f>
        <v>233.091</v>
      </c>
      <c r="H6" s="38" t="s">
        <v>323</v>
      </c>
      <c r="I6" s="39" t="n">
        <f aca="false">I5-I4</f>
        <v>0.008199999999988</v>
      </c>
    </row>
    <row r="7" customFormat="false" ht="15" hidden="false" customHeight="false" outlineLevel="0" collapsed="false">
      <c r="B7" s="22" t="s">
        <v>382</v>
      </c>
      <c r="C7" s="42" t="n">
        <v>3</v>
      </c>
      <c r="D7" s="16" t="n">
        <v>20.88</v>
      </c>
      <c r="E7" s="43" t="n">
        <v>0</v>
      </c>
      <c r="F7" s="14" t="n">
        <f aca="false">(C7*D7)-((C7*D7)*E7)</f>
        <v>62.64</v>
      </c>
    </row>
    <row r="8" customFormat="false" ht="15" hidden="false" customHeight="false" outlineLevel="0" collapsed="false">
      <c r="B8" s="26" t="s">
        <v>62</v>
      </c>
      <c r="C8" s="40" t="n">
        <v>4</v>
      </c>
      <c r="D8" s="28" t="n">
        <v>1</v>
      </c>
      <c r="E8" s="41" t="n">
        <v>0</v>
      </c>
      <c r="F8" s="30" t="n">
        <f aca="false">(C8*D8)-((C8*D8)*E8)</f>
        <v>4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383</v>
      </c>
      <c r="C9" s="42" t="n">
        <v>5</v>
      </c>
      <c r="D9" s="16" t="n">
        <v>26.8</v>
      </c>
      <c r="E9" s="43" t="n">
        <v>0</v>
      </c>
      <c r="F9" s="14" t="n">
        <f aca="false">(C9*D9)-((C9*D9)*E9)</f>
        <v>134</v>
      </c>
      <c r="H9" s="23" t="s">
        <v>160</v>
      </c>
      <c r="I9" s="14" t="n">
        <v>138.43</v>
      </c>
      <c r="J9" s="24" t="n">
        <v>0.21</v>
      </c>
    </row>
    <row r="10" customFormat="false" ht="15" hidden="false" customHeight="false" outlineLevel="0" collapsed="false">
      <c r="B10" s="26" t="s">
        <v>384</v>
      </c>
      <c r="C10" s="40" t="n">
        <v>12</v>
      </c>
      <c r="D10" s="28" t="n">
        <v>12.72</v>
      </c>
      <c r="E10" s="41" t="n">
        <v>0.03</v>
      </c>
      <c r="F10" s="30" t="n">
        <f aca="false">(C10*D10)-((C10*D10)*E10)</f>
        <v>148.0608</v>
      </c>
      <c r="H10" s="23" t="s">
        <v>161</v>
      </c>
      <c r="I10" s="14" t="n">
        <v>134</v>
      </c>
      <c r="J10" s="24" t="n">
        <v>0.1</v>
      </c>
    </row>
    <row r="11" customFormat="false" ht="15" hidden="false" customHeight="false" outlineLevel="0" collapsed="false">
      <c r="B11" s="22" t="s">
        <v>385</v>
      </c>
      <c r="C11" s="42" t="n">
        <v>1</v>
      </c>
      <c r="D11" s="16" t="n">
        <v>20.88</v>
      </c>
      <c r="E11" s="43" t="n">
        <v>0</v>
      </c>
      <c r="F11" s="14" t="n">
        <f aca="false">(C11*D11)-((C11*D11)*E11)</f>
        <v>20.88</v>
      </c>
      <c r="H11" s="23" t="s">
        <v>162</v>
      </c>
      <c r="I11" s="14" t="n">
        <v>149.06</v>
      </c>
      <c r="J11" s="24" t="n">
        <v>0.21</v>
      </c>
    </row>
    <row r="12" customFormat="false" ht="15" hidden="false" customHeight="false" outlineLevel="0" collapsed="false">
      <c r="B12" s="26" t="s">
        <v>386</v>
      </c>
      <c r="C12" s="40" t="n">
        <v>2</v>
      </c>
      <c r="D12" s="28" t="n">
        <v>21.95</v>
      </c>
      <c r="E12" s="41" t="n">
        <v>0</v>
      </c>
      <c r="F12" s="30" t="n">
        <f aca="false">(C12*D12)-((C12*D12)*E12)</f>
        <v>43.9</v>
      </c>
      <c r="H12" s="23" t="s">
        <v>163</v>
      </c>
      <c r="I12" s="14" t="n">
        <v>180.19</v>
      </c>
      <c r="J12" s="24" t="n">
        <v>0.21</v>
      </c>
    </row>
    <row r="13" customFormat="false" ht="15" hidden="false" customHeight="false" outlineLevel="0" collapsed="false">
      <c r="H13" s="23" t="s">
        <v>164</v>
      </c>
      <c r="I13" s="14" t="n">
        <v>44.9</v>
      </c>
      <c r="J13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1189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1189</v>
      </c>
    </row>
    <row r="6" customFormat="false" ht="15" hidden="false" customHeight="false" outlineLevel="0" collapsed="false">
      <c r="B6" s="26" t="s">
        <v>387</v>
      </c>
      <c r="C6" s="40" t="n">
        <f aca="false">2+4+2+1+3+3+2</f>
        <v>17</v>
      </c>
      <c r="D6" s="28" t="n">
        <v>37</v>
      </c>
      <c r="E6" s="41" t="n">
        <v>0</v>
      </c>
      <c r="F6" s="30" t="n">
        <f aca="false">(C6*D6)-((C6*D6)*E6)</f>
        <v>629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388</v>
      </c>
      <c r="C7" s="42" t="n">
        <f aca="false">1+4+2+1+3+3+2</f>
        <v>16</v>
      </c>
      <c r="D7" s="16" t="n">
        <v>35</v>
      </c>
      <c r="E7" s="43" t="n">
        <v>0</v>
      </c>
      <c r="F7" s="14" t="n">
        <f aca="false">(C7*D7)-((C7*D7)*E7)</f>
        <v>560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165</v>
      </c>
      <c r="I9" s="14" t="n">
        <v>109</v>
      </c>
      <c r="J9" s="24" t="n">
        <v>0.1</v>
      </c>
    </row>
    <row r="10" customFormat="false" ht="15" hidden="false" customHeight="false" outlineLevel="0" collapsed="false">
      <c r="H10" s="23" t="s">
        <v>166</v>
      </c>
      <c r="I10" s="14" t="n">
        <v>288</v>
      </c>
      <c r="J10" s="24" t="n">
        <v>0.1</v>
      </c>
    </row>
    <row r="11" customFormat="false" ht="15" hidden="false" customHeight="false" outlineLevel="0" collapsed="false">
      <c r="H11" s="23" t="s">
        <v>167</v>
      </c>
      <c r="I11" s="14" t="n">
        <v>144</v>
      </c>
      <c r="J11" s="24" t="n">
        <v>0.1</v>
      </c>
    </row>
    <row r="12" customFormat="false" ht="15" hidden="false" customHeight="false" outlineLevel="0" collapsed="false">
      <c r="H12" s="23" t="s">
        <v>168</v>
      </c>
      <c r="I12" s="14" t="n">
        <v>72</v>
      </c>
      <c r="J12" s="24" t="n">
        <v>0.1</v>
      </c>
    </row>
    <row r="13" customFormat="false" ht="15" hidden="false" customHeight="false" outlineLevel="0" collapsed="false">
      <c r="H13" s="23" t="s">
        <v>169</v>
      </c>
      <c r="I13" s="14" t="n">
        <v>216</v>
      </c>
      <c r="J13" s="24" t="n">
        <v>0.1</v>
      </c>
    </row>
    <row r="14" customFormat="false" ht="15" hidden="false" customHeight="false" outlineLevel="0" collapsed="false">
      <c r="H14" s="23" t="s">
        <v>170</v>
      </c>
      <c r="I14" s="14" t="n">
        <v>216</v>
      </c>
      <c r="J14" s="24" t="n">
        <v>0.1</v>
      </c>
    </row>
    <row r="15" customFormat="false" ht="15" hidden="false" customHeight="false" outlineLevel="0" collapsed="false">
      <c r="H15" s="23" t="s">
        <v>171</v>
      </c>
      <c r="I15" s="14" t="n">
        <v>144</v>
      </c>
      <c r="J15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193.69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193.7</v>
      </c>
    </row>
    <row r="6" customFormat="false" ht="15" hidden="false" customHeight="false" outlineLevel="0" collapsed="false">
      <c r="B6" s="26" t="s">
        <v>389</v>
      </c>
      <c r="C6" s="40" t="n">
        <f aca="false">1.15</f>
        <v>1.15</v>
      </c>
      <c r="D6" s="28" t="n">
        <v>48.6</v>
      </c>
      <c r="E6" s="41" t="n">
        <v>0</v>
      </c>
      <c r="F6" s="30" t="n">
        <f aca="false">(C6*D6)-((C6*D6)*E6)</f>
        <v>55.89</v>
      </c>
      <c r="H6" s="38" t="s">
        <v>323</v>
      </c>
      <c r="I6" s="39" t="n">
        <f aca="false">I5-I4</f>
        <v>0.00999999999999091</v>
      </c>
    </row>
    <row r="7" customFormat="false" ht="15" hidden="false" customHeight="false" outlineLevel="0" collapsed="false">
      <c r="B7" s="22" t="s">
        <v>390</v>
      </c>
      <c r="C7" s="42" t="n">
        <f aca="false">10+15</f>
        <v>25</v>
      </c>
      <c r="D7" s="16" t="n">
        <v>2.3</v>
      </c>
      <c r="E7" s="43" t="n">
        <v>0</v>
      </c>
      <c r="F7" s="14" t="n">
        <f aca="false">(C7*D7)-((C7*D7)*E7)</f>
        <v>57.5</v>
      </c>
    </row>
    <row r="8" customFormat="false" ht="15" hidden="false" customHeight="false" outlineLevel="0" collapsed="false">
      <c r="B8" s="26" t="s">
        <v>391</v>
      </c>
      <c r="C8" s="40" t="n">
        <v>1.1</v>
      </c>
      <c r="D8" s="28" t="n">
        <v>22</v>
      </c>
      <c r="E8" s="41" t="n">
        <v>0</v>
      </c>
      <c r="F8" s="30" t="n">
        <f aca="false">(C8*D8)-((C8*D8)*E8)</f>
        <v>24.2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389</v>
      </c>
      <c r="C9" s="42" t="n">
        <v>1.1</v>
      </c>
      <c r="D9" s="16" t="n">
        <v>51</v>
      </c>
      <c r="E9" s="43" t="n">
        <v>0</v>
      </c>
      <c r="F9" s="14" t="n">
        <f aca="false">(C9*D9)-((C9*D9)*E9)</f>
        <v>56.1</v>
      </c>
      <c r="H9" s="23" t="s">
        <v>172</v>
      </c>
      <c r="I9" s="14" t="n">
        <v>78.9</v>
      </c>
      <c r="J9" s="24" t="n">
        <v>0.1</v>
      </c>
    </row>
    <row r="10" customFormat="false" ht="15" hidden="false" customHeight="false" outlineLevel="0" collapsed="false">
      <c r="H10" s="23" t="s">
        <v>173</v>
      </c>
      <c r="I10" s="14" t="n">
        <v>80.3</v>
      </c>
      <c r="J10" s="24" t="n">
        <v>0.1</v>
      </c>
    </row>
    <row r="11" customFormat="false" ht="15" hidden="false" customHeight="false" outlineLevel="0" collapsed="false">
      <c r="H11" s="23" t="s">
        <v>174</v>
      </c>
      <c r="I11" s="14" t="n">
        <v>34.5</v>
      </c>
      <c r="J11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183.2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183.2</v>
      </c>
    </row>
    <row r="6" customFormat="false" ht="15" hidden="false" customHeight="false" outlineLevel="0" collapsed="false">
      <c r="B6" s="26" t="s">
        <v>392</v>
      </c>
      <c r="C6" s="40" t="n">
        <f aca="false">4+4</f>
        <v>8</v>
      </c>
      <c r="D6" s="28" t="n">
        <v>22.9</v>
      </c>
      <c r="E6" s="41" t="n">
        <v>0</v>
      </c>
      <c r="F6" s="30" t="n">
        <f aca="false">(C6*D6)-((C6*D6)*E6)</f>
        <v>183.2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175</v>
      </c>
      <c r="I9" s="14" t="n">
        <v>91.6</v>
      </c>
      <c r="J9" s="24" t="n">
        <v>0.1</v>
      </c>
    </row>
    <row r="10" customFormat="false" ht="15" hidden="false" customHeight="false" outlineLevel="0" collapsed="false">
      <c r="H10" s="23" t="s">
        <v>176</v>
      </c>
      <c r="I10" s="14" t="n">
        <v>91.6</v>
      </c>
      <c r="J10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158.9995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158.99</v>
      </c>
    </row>
    <row r="6" customFormat="false" ht="15" hidden="false" customHeight="false" outlineLevel="0" collapsed="false">
      <c r="B6" s="26" t="s">
        <v>393</v>
      </c>
      <c r="C6" s="40" t="n">
        <f aca="false">9.18</f>
        <v>9.18</v>
      </c>
      <c r="D6" s="28" t="n">
        <v>3.6</v>
      </c>
      <c r="E6" s="41" t="n">
        <v>0</v>
      </c>
      <c r="F6" s="30" t="n">
        <f aca="false">(C6*D6)-((C6*D6)*E6)</f>
        <v>33.048</v>
      </c>
      <c r="H6" s="38" t="s">
        <v>323</v>
      </c>
      <c r="I6" s="39" t="n">
        <f aca="false">I5-I4</f>
        <v>-0.00949999999997431</v>
      </c>
    </row>
    <row r="7" customFormat="false" ht="15" hidden="false" customHeight="false" outlineLevel="0" collapsed="false">
      <c r="B7" s="22" t="s">
        <v>394</v>
      </c>
      <c r="C7" s="42" t="n">
        <f aca="false">3.115</f>
        <v>3.115</v>
      </c>
      <c r="D7" s="16" t="n">
        <v>4.3</v>
      </c>
      <c r="E7" s="43" t="n">
        <v>0</v>
      </c>
      <c r="F7" s="14" t="n">
        <f aca="false">(C7*D7)-((C7*D7)*E7)</f>
        <v>13.3945</v>
      </c>
    </row>
    <row r="8" customFormat="false" ht="15" hidden="false" customHeight="false" outlineLevel="0" collapsed="false">
      <c r="B8" s="26" t="s">
        <v>395</v>
      </c>
      <c r="C8" s="40" t="n">
        <v>2</v>
      </c>
      <c r="D8" s="28" t="n">
        <v>2.2</v>
      </c>
      <c r="E8" s="41" t="n">
        <v>0</v>
      </c>
      <c r="F8" s="30" t="n">
        <f aca="false">(C8*D8)-((C8*D8)*E8)</f>
        <v>4.4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396</v>
      </c>
      <c r="C9" s="42" t="n">
        <v>1</v>
      </c>
      <c r="D9" s="16" t="n">
        <v>1.6</v>
      </c>
      <c r="E9" s="43" t="n">
        <v>0</v>
      </c>
      <c r="F9" s="14" t="n">
        <f aca="false">(C9*D9)-((C9*D9)*E9)</f>
        <v>1.6</v>
      </c>
      <c r="H9" s="23" t="s">
        <v>177</v>
      </c>
      <c r="I9" s="14" t="n">
        <v>91.2</v>
      </c>
      <c r="J9" s="24" t="n">
        <v>0.04</v>
      </c>
    </row>
    <row r="10" customFormat="false" ht="15" hidden="false" customHeight="false" outlineLevel="0" collapsed="false">
      <c r="B10" s="26" t="s">
        <v>397</v>
      </c>
      <c r="C10" s="40" t="n">
        <f aca="false">5.96+5.205</f>
        <v>11.165</v>
      </c>
      <c r="D10" s="28" t="n">
        <v>5.8</v>
      </c>
      <c r="E10" s="41" t="n">
        <v>0</v>
      </c>
      <c r="F10" s="30" t="n">
        <f aca="false">(C10*D10)-((C10*D10)*E10)</f>
        <v>64.757</v>
      </c>
      <c r="H10" s="23" t="s">
        <v>178</v>
      </c>
      <c r="I10" s="14" t="n">
        <v>67.79</v>
      </c>
      <c r="J10" s="24" t="n">
        <v>0.04</v>
      </c>
    </row>
    <row r="11" customFormat="false" ht="15" hidden="false" customHeight="false" outlineLevel="0" collapsed="false">
      <c r="B11" s="22" t="s">
        <v>398</v>
      </c>
      <c r="C11" s="42" t="n">
        <v>2</v>
      </c>
      <c r="D11" s="16" t="n">
        <v>2.1</v>
      </c>
      <c r="E11" s="43" t="n">
        <v>0</v>
      </c>
      <c r="F11" s="14" t="n">
        <f aca="false">(C11*D11)-((C11*D11)*E11)</f>
        <v>4.2</v>
      </c>
    </row>
    <row r="12" customFormat="false" ht="15" hidden="false" customHeight="false" outlineLevel="0" collapsed="false">
      <c r="B12" s="26" t="s">
        <v>399</v>
      </c>
      <c r="C12" s="40" t="n">
        <v>6</v>
      </c>
      <c r="D12" s="28" t="n">
        <v>2.1</v>
      </c>
      <c r="E12" s="41" t="n">
        <v>0</v>
      </c>
      <c r="F12" s="30" t="n">
        <f aca="false">(C12*D12)-((C12*D12)*E12)</f>
        <v>12.6</v>
      </c>
    </row>
    <row r="13" customFormat="false" ht="15" hidden="false" customHeight="false" outlineLevel="0" collapsed="false">
      <c r="B13" s="22" t="s">
        <v>400</v>
      </c>
      <c r="C13" s="42" t="n">
        <v>1</v>
      </c>
      <c r="D13" s="16" t="n">
        <v>25</v>
      </c>
      <c r="E13" s="43" t="n">
        <v>0</v>
      </c>
      <c r="F13" s="14" t="n">
        <f aca="false">(C13*D13)-((C13*D13)*E13)</f>
        <v>25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748.5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748.5</v>
      </c>
    </row>
    <row r="6" customFormat="false" ht="15" hidden="false" customHeight="false" outlineLevel="0" collapsed="false">
      <c r="B6" s="26" t="s">
        <v>401</v>
      </c>
      <c r="C6" s="40" t="n">
        <v>30</v>
      </c>
      <c r="D6" s="28" t="n">
        <v>24.95</v>
      </c>
      <c r="E6" s="41" t="n">
        <v>0</v>
      </c>
      <c r="F6" s="30" t="n">
        <f aca="false">(C6*D6)-((C6*D6)*E6)</f>
        <v>748.5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179</v>
      </c>
      <c r="I9" s="14" t="n">
        <v>748.5</v>
      </c>
      <c r="J9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444.1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444.1</v>
      </c>
    </row>
    <row r="6" customFormat="false" ht="15" hidden="false" customHeight="false" outlineLevel="0" collapsed="false">
      <c r="B6" s="26" t="s">
        <v>325</v>
      </c>
      <c r="C6" s="40" t="n">
        <v>5</v>
      </c>
      <c r="D6" s="28" t="n">
        <v>12</v>
      </c>
      <c r="E6" s="41" t="n">
        <v>0</v>
      </c>
      <c r="F6" s="30" t="n">
        <f aca="false">(C6*D6)-((C6*D6)*E6)</f>
        <v>60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325</v>
      </c>
      <c r="C7" s="42" t="n">
        <f aca="false">3+2+3+3+3+3</f>
        <v>17</v>
      </c>
      <c r="D7" s="16" t="n">
        <v>11</v>
      </c>
      <c r="E7" s="43" t="n">
        <v>0</v>
      </c>
      <c r="F7" s="14" t="n">
        <f aca="false">(C7*D7)-((C7*D7)*E7)</f>
        <v>187</v>
      </c>
    </row>
    <row r="8" customFormat="false" ht="15" hidden="false" customHeight="false" outlineLevel="0" collapsed="false">
      <c r="B8" s="26" t="s">
        <v>402</v>
      </c>
      <c r="C8" s="40" t="n">
        <f aca="false">2+1+1+1+1+1</f>
        <v>7</v>
      </c>
      <c r="D8" s="28" t="n">
        <v>7</v>
      </c>
      <c r="E8" s="41" t="n">
        <v>0</v>
      </c>
      <c r="F8" s="30" t="n">
        <f aca="false">(C8*D8)-((C8*D8)*E8)</f>
        <v>49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325</v>
      </c>
      <c r="C9" s="42" t="n">
        <f aca="false">2+3</f>
        <v>5</v>
      </c>
      <c r="D9" s="16" t="n">
        <v>10</v>
      </c>
      <c r="E9" s="43" t="n">
        <v>0</v>
      </c>
      <c r="F9" s="14" t="n">
        <f aca="false">(C9*D9)-((C9*D9)*E9)</f>
        <v>50</v>
      </c>
      <c r="H9" s="23" t="s">
        <v>180</v>
      </c>
      <c r="I9" s="14" t="n">
        <v>24</v>
      </c>
      <c r="J9" s="24" t="n">
        <v>0.1</v>
      </c>
    </row>
    <row r="10" customFormat="false" ht="15" hidden="false" customHeight="false" outlineLevel="0" collapsed="false">
      <c r="B10" s="26" t="s">
        <v>402</v>
      </c>
      <c r="C10" s="40" t="n">
        <f aca="false">1+1+1</f>
        <v>3</v>
      </c>
      <c r="D10" s="28" t="n">
        <v>7.8</v>
      </c>
      <c r="E10" s="41" t="n">
        <v>0</v>
      </c>
      <c r="F10" s="30" t="n">
        <f aca="false">(C10*D10)-((C10*D10)*E10)</f>
        <v>23.4</v>
      </c>
      <c r="H10" s="23" t="s">
        <v>181</v>
      </c>
      <c r="I10" s="14" t="n">
        <v>33</v>
      </c>
      <c r="J10" s="24" t="n">
        <v>0.1</v>
      </c>
    </row>
    <row r="11" customFormat="false" ht="15" hidden="false" customHeight="false" outlineLevel="0" collapsed="false">
      <c r="B11" s="22" t="s">
        <v>325</v>
      </c>
      <c r="C11" s="42" t="n">
        <v>3</v>
      </c>
      <c r="D11" s="16" t="n">
        <v>9.5</v>
      </c>
      <c r="E11" s="43" t="n">
        <v>0</v>
      </c>
      <c r="F11" s="14" t="n">
        <f aca="false">(C11*D11)-((C11*D11)*E11)</f>
        <v>28.5</v>
      </c>
      <c r="H11" s="23" t="s">
        <v>182</v>
      </c>
      <c r="I11" s="14" t="n">
        <v>43</v>
      </c>
      <c r="J11" s="24" t="n">
        <v>0.1</v>
      </c>
    </row>
    <row r="12" customFormat="false" ht="15" hidden="false" customHeight="false" outlineLevel="0" collapsed="false">
      <c r="B12" s="26" t="s">
        <v>403</v>
      </c>
      <c r="C12" s="40" t="n">
        <v>1</v>
      </c>
      <c r="D12" s="28" t="n">
        <v>46.2</v>
      </c>
      <c r="E12" s="41" t="n">
        <v>0</v>
      </c>
      <c r="F12" s="30" t="n">
        <f aca="false">(C12*D12)-((C12*D12)*E12)</f>
        <v>46.2</v>
      </c>
      <c r="H12" s="23" t="s">
        <v>183</v>
      </c>
      <c r="I12" s="14" t="n">
        <v>7</v>
      </c>
      <c r="J12" s="24" t="n">
        <v>0.1</v>
      </c>
    </row>
    <row r="13" customFormat="false" ht="15" hidden="false" customHeight="false" outlineLevel="0" collapsed="false">
      <c r="H13" s="23" t="s">
        <v>184</v>
      </c>
      <c r="I13" s="14" t="n">
        <v>7</v>
      </c>
      <c r="J13" s="24" t="n">
        <v>0.1</v>
      </c>
    </row>
    <row r="14" customFormat="false" ht="15" hidden="false" customHeight="false" outlineLevel="0" collapsed="false">
      <c r="H14" s="23" t="s">
        <v>185</v>
      </c>
      <c r="I14" s="14" t="n">
        <v>20</v>
      </c>
      <c r="J14" s="24" t="n">
        <v>0.1</v>
      </c>
    </row>
    <row r="15" customFormat="false" ht="15" hidden="false" customHeight="false" outlineLevel="0" collapsed="false">
      <c r="H15" s="23" t="s">
        <v>186</v>
      </c>
      <c r="I15" s="14" t="n">
        <v>29</v>
      </c>
      <c r="J15" s="24" t="n">
        <v>0.1</v>
      </c>
    </row>
    <row r="16" customFormat="false" ht="15" hidden="false" customHeight="false" outlineLevel="0" collapsed="false">
      <c r="H16" s="23" t="s">
        <v>187</v>
      </c>
      <c r="I16" s="14" t="n">
        <v>40.8</v>
      </c>
      <c r="J16" s="24" t="n">
        <v>0.1</v>
      </c>
    </row>
    <row r="17" customFormat="false" ht="15" hidden="false" customHeight="false" outlineLevel="0" collapsed="false">
      <c r="H17" s="23" t="s">
        <v>188</v>
      </c>
      <c r="I17" s="14" t="n">
        <v>40</v>
      </c>
      <c r="J17" s="24" t="n">
        <v>0.1</v>
      </c>
    </row>
    <row r="18" customFormat="false" ht="15" hidden="false" customHeight="false" outlineLevel="0" collapsed="false">
      <c r="H18" s="23" t="s">
        <v>189</v>
      </c>
      <c r="I18" s="14" t="n">
        <v>37</v>
      </c>
      <c r="J18" s="24" t="n">
        <v>0.1</v>
      </c>
    </row>
    <row r="19" customFormat="false" ht="15" hidden="false" customHeight="false" outlineLevel="0" collapsed="false">
      <c r="H19" s="23" t="s">
        <v>190</v>
      </c>
      <c r="I19" s="14" t="n">
        <v>35.5</v>
      </c>
      <c r="J19" s="24" t="n">
        <v>0.1</v>
      </c>
    </row>
    <row r="20" customFormat="false" ht="15" hidden="false" customHeight="false" outlineLevel="0" collapsed="false">
      <c r="H20" s="23" t="s">
        <v>191</v>
      </c>
      <c r="I20" s="14" t="n">
        <v>40.8</v>
      </c>
      <c r="J20" s="24" t="n">
        <v>0.1</v>
      </c>
    </row>
    <row r="21" customFormat="false" ht="15" hidden="false" customHeight="false" outlineLevel="0" collapsed="false">
      <c r="H21" s="23" t="s">
        <v>192</v>
      </c>
      <c r="I21" s="14" t="n">
        <v>79.2</v>
      </c>
      <c r="J21" s="24" t="n">
        <v>0.1</v>
      </c>
    </row>
    <row r="22" customFormat="false" ht="15" hidden="false" customHeight="false" outlineLevel="0" collapsed="false">
      <c r="H22" s="23" t="s">
        <v>193</v>
      </c>
      <c r="I22" s="14" t="n">
        <v>7.8</v>
      </c>
      <c r="J22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1815.6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1815.6</v>
      </c>
    </row>
    <row r="6" customFormat="false" ht="15" hidden="false" customHeight="false" outlineLevel="0" collapsed="false">
      <c r="B6" s="26" t="s">
        <v>404</v>
      </c>
      <c r="C6" s="40" t="n">
        <f aca="false">(13)*3</f>
        <v>39</v>
      </c>
      <c r="D6" s="28" t="n">
        <v>23.95</v>
      </c>
      <c r="E6" s="41" t="n">
        <v>0</v>
      </c>
      <c r="F6" s="30" t="n">
        <f aca="false">(C6*D6)-((C6*D6)*E6)</f>
        <v>934.05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405</v>
      </c>
      <c r="C7" s="42" t="n">
        <f aca="false">(4)*15</f>
        <v>60</v>
      </c>
      <c r="D7" s="16" t="n">
        <v>7.95</v>
      </c>
      <c r="E7" s="43" t="n">
        <v>0</v>
      </c>
      <c r="F7" s="14" t="n">
        <f aca="false">(C7*D7)-((C7*D7)*E7)</f>
        <v>477</v>
      </c>
    </row>
    <row r="8" customFormat="false" ht="15" hidden="false" customHeight="false" outlineLevel="0" collapsed="false">
      <c r="B8" s="26" t="s">
        <v>406</v>
      </c>
      <c r="C8" s="40" t="n">
        <f aca="false">(9)*1</f>
        <v>9</v>
      </c>
      <c r="D8" s="28" t="n">
        <v>44.95</v>
      </c>
      <c r="E8" s="41" t="n">
        <v>0</v>
      </c>
      <c r="F8" s="30" t="n">
        <f aca="false">(C8*D8)-((C8*D8)*E8)</f>
        <v>404.55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194</v>
      </c>
      <c r="I9" s="14" t="n">
        <v>262.95</v>
      </c>
      <c r="J9" s="24" t="n">
        <v>0.1</v>
      </c>
    </row>
    <row r="10" customFormat="false" ht="15" hidden="false" customHeight="false" outlineLevel="0" collapsed="false">
      <c r="H10" s="23" t="s">
        <v>195</v>
      </c>
      <c r="I10" s="14" t="n">
        <v>89.9</v>
      </c>
      <c r="J10" s="24" t="n">
        <v>0.1</v>
      </c>
    </row>
    <row r="11" customFormat="false" ht="15" hidden="false" customHeight="false" outlineLevel="0" collapsed="false">
      <c r="H11" s="23" t="s">
        <v>195</v>
      </c>
      <c r="I11" s="14" t="n">
        <v>262.95</v>
      </c>
      <c r="J11" s="24" t="n">
        <v>0.04</v>
      </c>
    </row>
    <row r="12" customFormat="false" ht="15" hidden="false" customHeight="false" outlineLevel="0" collapsed="false">
      <c r="H12" s="23" t="s">
        <v>196</v>
      </c>
      <c r="I12" s="14" t="n">
        <v>44.95</v>
      </c>
      <c r="J12" s="24" t="n">
        <v>0.1</v>
      </c>
    </row>
    <row r="13" customFormat="false" ht="15" hidden="false" customHeight="false" outlineLevel="0" collapsed="false">
      <c r="H13" s="23" t="s">
        <v>196</v>
      </c>
      <c r="I13" s="14" t="n">
        <v>71.85</v>
      </c>
      <c r="J13" s="24" t="n">
        <v>0.04</v>
      </c>
    </row>
    <row r="14" customFormat="false" ht="15" hidden="false" customHeight="false" outlineLevel="0" collapsed="false">
      <c r="H14" s="23" t="s">
        <v>197</v>
      </c>
      <c r="I14" s="14" t="n">
        <v>143.7</v>
      </c>
      <c r="J14" s="24" t="n">
        <v>0.04</v>
      </c>
    </row>
    <row r="15" customFormat="false" ht="15" hidden="false" customHeight="false" outlineLevel="0" collapsed="false">
      <c r="H15" s="23" t="s">
        <v>198</v>
      </c>
      <c r="I15" s="14" t="n">
        <v>89.9</v>
      </c>
      <c r="J15" s="24" t="n">
        <v>0.1</v>
      </c>
    </row>
    <row r="16" customFormat="false" ht="15" hidden="false" customHeight="false" outlineLevel="0" collapsed="false">
      <c r="H16" s="23" t="s">
        <v>198</v>
      </c>
      <c r="I16" s="14" t="n">
        <v>143.7</v>
      </c>
      <c r="J16" s="24" t="n">
        <v>0.04</v>
      </c>
    </row>
    <row r="17" customFormat="false" ht="15" hidden="false" customHeight="false" outlineLevel="0" collapsed="false">
      <c r="H17" s="23" t="s">
        <v>199</v>
      </c>
      <c r="I17" s="14" t="n">
        <v>262.95</v>
      </c>
      <c r="J17" s="24" t="n">
        <v>0.04</v>
      </c>
    </row>
    <row r="18" customFormat="false" ht="15" hidden="false" customHeight="false" outlineLevel="0" collapsed="false">
      <c r="H18" s="23" t="s">
        <v>200</v>
      </c>
      <c r="I18" s="14" t="n">
        <v>89.9</v>
      </c>
      <c r="J18" s="24" t="n">
        <v>0.1</v>
      </c>
    </row>
    <row r="19" customFormat="false" ht="15" hidden="false" customHeight="false" outlineLevel="0" collapsed="false">
      <c r="H19" s="23" t="s">
        <v>200</v>
      </c>
      <c r="I19" s="14" t="n">
        <v>143.7</v>
      </c>
      <c r="J19" s="24" t="n">
        <v>0.04</v>
      </c>
    </row>
    <row r="20" customFormat="false" ht="15" hidden="false" customHeight="false" outlineLevel="0" collapsed="false">
      <c r="H20" s="23" t="s">
        <v>201</v>
      </c>
      <c r="I20" s="14" t="n">
        <v>89.9</v>
      </c>
      <c r="J20" s="24" t="n">
        <v>0.1</v>
      </c>
    </row>
    <row r="21" customFormat="false" ht="15" hidden="false" customHeight="false" outlineLevel="0" collapsed="false">
      <c r="H21" s="23" t="s">
        <v>201</v>
      </c>
      <c r="I21" s="14" t="n">
        <v>119.25</v>
      </c>
      <c r="J21" s="24" t="n">
        <v>0.04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227.89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227.89</v>
      </c>
    </row>
    <row r="6" customFormat="false" ht="15" hidden="false" customHeight="false" outlineLevel="0" collapsed="false">
      <c r="B6" s="26" t="s">
        <v>407</v>
      </c>
      <c r="C6" s="40" t="n">
        <v>2</v>
      </c>
      <c r="D6" s="28" t="n">
        <v>16.19</v>
      </c>
      <c r="E6" s="41" t="n">
        <v>0</v>
      </c>
      <c r="F6" s="30" t="n">
        <f aca="false">(C6*D6)-((C6*D6)*E6)</f>
        <v>32.38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408</v>
      </c>
      <c r="C7" s="42" t="n">
        <v>1</v>
      </c>
      <c r="D7" s="16" t="n">
        <v>17.92</v>
      </c>
      <c r="E7" s="43" t="n">
        <v>0</v>
      </c>
      <c r="F7" s="14" t="n">
        <f aca="false">(C7*D7)-((C7*D7)*E7)</f>
        <v>17.92</v>
      </c>
    </row>
    <row r="8" customFormat="false" ht="15" hidden="false" customHeight="false" outlineLevel="0" collapsed="false">
      <c r="B8" s="26" t="s">
        <v>409</v>
      </c>
      <c r="C8" s="40" t="n">
        <v>2</v>
      </c>
      <c r="D8" s="28" t="n">
        <v>7.65</v>
      </c>
      <c r="E8" s="41" t="n">
        <v>0</v>
      </c>
      <c r="F8" s="30" t="n">
        <f aca="false">(C8*D8)-((C8*D8)*E8)</f>
        <v>15.3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410</v>
      </c>
      <c r="C9" s="42" t="n">
        <v>1</v>
      </c>
      <c r="D9" s="16" t="n">
        <v>6.11</v>
      </c>
      <c r="E9" s="43" t="n">
        <v>0</v>
      </c>
      <c r="F9" s="14" t="n">
        <f aca="false">(C9*D9)-((C9*D9)*E9)</f>
        <v>6.11</v>
      </c>
      <c r="H9" s="23" t="s">
        <v>202</v>
      </c>
      <c r="I9" s="14" t="n">
        <v>85.32</v>
      </c>
      <c r="J9" s="24" t="n">
        <v>0.1</v>
      </c>
    </row>
    <row r="10" customFormat="false" ht="15" hidden="false" customHeight="false" outlineLevel="0" collapsed="false">
      <c r="B10" s="26" t="s">
        <v>411</v>
      </c>
      <c r="C10" s="40" t="n">
        <v>4</v>
      </c>
      <c r="D10" s="28" t="n">
        <v>2.81</v>
      </c>
      <c r="E10" s="41" t="n">
        <v>0</v>
      </c>
      <c r="F10" s="30" t="n">
        <f aca="false">(C10*D10)-((C10*D10)*E10)</f>
        <v>11.24</v>
      </c>
      <c r="H10" s="23" t="s">
        <v>202</v>
      </c>
      <c r="I10" s="14" t="n">
        <v>142.57</v>
      </c>
      <c r="J10" s="24" t="n">
        <v>0.04</v>
      </c>
    </row>
    <row r="11" customFormat="false" ht="15" hidden="false" customHeight="false" outlineLevel="0" collapsed="false">
      <c r="B11" s="22" t="s">
        <v>412</v>
      </c>
      <c r="C11" s="42" t="n">
        <v>1</v>
      </c>
      <c r="D11" s="16" t="n">
        <v>4.68</v>
      </c>
      <c r="E11" s="43" t="n">
        <v>0</v>
      </c>
      <c r="F11" s="14" t="n">
        <f aca="false">(C11*D11)-((C11*D11)*E11)</f>
        <v>4.68</v>
      </c>
    </row>
    <row r="12" customFormat="false" ht="15" hidden="false" customHeight="false" outlineLevel="0" collapsed="false">
      <c r="B12" s="26" t="s">
        <v>413</v>
      </c>
      <c r="C12" s="40" t="n">
        <v>5</v>
      </c>
      <c r="D12" s="28" t="n">
        <v>11.5</v>
      </c>
      <c r="E12" s="41" t="n">
        <v>0</v>
      </c>
      <c r="F12" s="30" t="n">
        <f aca="false">(C12*D12)-((C12*D12)*E12)</f>
        <v>57.5</v>
      </c>
    </row>
    <row r="13" customFormat="false" ht="15" hidden="false" customHeight="false" outlineLevel="0" collapsed="false">
      <c r="B13" s="22" t="s">
        <v>414</v>
      </c>
      <c r="C13" s="42" t="n">
        <v>4</v>
      </c>
      <c r="D13" s="16" t="n">
        <v>1.49</v>
      </c>
      <c r="E13" s="43" t="n">
        <v>0</v>
      </c>
      <c r="F13" s="14" t="n">
        <f aca="false">(C13*D13)-((C13*D13)*E13)</f>
        <v>5.96</v>
      </c>
    </row>
    <row r="14" customFormat="false" ht="15" hidden="false" customHeight="false" outlineLevel="0" collapsed="false">
      <c r="B14" s="26" t="s">
        <v>415</v>
      </c>
      <c r="C14" s="40" t="n">
        <v>1</v>
      </c>
      <c r="D14" s="28" t="n">
        <v>10.62</v>
      </c>
      <c r="E14" s="41" t="n">
        <v>0</v>
      </c>
      <c r="F14" s="30" t="n">
        <f aca="false">(C14*D14)-((C14*D14)*E14)</f>
        <v>10.62</v>
      </c>
    </row>
    <row r="15" customFormat="false" ht="15" hidden="false" customHeight="false" outlineLevel="0" collapsed="false">
      <c r="B15" s="22" t="s">
        <v>416</v>
      </c>
      <c r="C15" s="42" t="n">
        <v>12</v>
      </c>
      <c r="D15" s="16" t="n">
        <v>2.04</v>
      </c>
      <c r="E15" s="43" t="n">
        <v>0</v>
      </c>
      <c r="F15" s="14" t="n">
        <f aca="false">(C15*D15)-((C15*D15)*E15)</f>
        <v>24.48</v>
      </c>
    </row>
    <row r="16" customFormat="false" ht="15" hidden="false" customHeight="false" outlineLevel="0" collapsed="false">
      <c r="B16" s="26" t="s">
        <v>417</v>
      </c>
      <c r="C16" s="40" t="n">
        <v>1</v>
      </c>
      <c r="D16" s="28" t="n">
        <v>23.64</v>
      </c>
      <c r="E16" s="41" t="n">
        <v>0</v>
      </c>
      <c r="F16" s="30" t="n">
        <f aca="false">(C16*D16)-((C16*D16)*E16)</f>
        <v>23.64</v>
      </c>
    </row>
    <row r="17" customFormat="false" ht="15" hidden="false" customHeight="false" outlineLevel="0" collapsed="false">
      <c r="B17" s="22" t="s">
        <v>418</v>
      </c>
      <c r="C17" s="42" t="n">
        <v>2</v>
      </c>
      <c r="D17" s="16" t="n">
        <v>9.03</v>
      </c>
      <c r="E17" s="43" t="n">
        <v>0</v>
      </c>
      <c r="F17" s="14" t="n">
        <f aca="false">(C17*D17)-((C17*D17)*E17)</f>
        <v>18.06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904.824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904.82</v>
      </c>
    </row>
    <row r="6" customFormat="false" ht="15" hidden="false" customHeight="false" outlineLevel="0" collapsed="false">
      <c r="B6" s="26" t="s">
        <v>419</v>
      </c>
      <c r="C6" s="40" t="n">
        <f aca="false">20+15</f>
        <v>35</v>
      </c>
      <c r="D6" s="28" t="n">
        <v>7.35</v>
      </c>
      <c r="E6" s="41" t="n">
        <v>0</v>
      </c>
      <c r="F6" s="30" t="n">
        <f aca="false">(C6*D6)-((C6*D6)*E6)</f>
        <v>257.25</v>
      </c>
      <c r="H6" s="38" t="s">
        <v>323</v>
      </c>
      <c r="I6" s="39" t="n">
        <f aca="false">I5-I4</f>
        <v>-0.0040000000000191</v>
      </c>
    </row>
    <row r="7" customFormat="false" ht="15" hidden="false" customHeight="false" outlineLevel="0" collapsed="false">
      <c r="B7" s="22" t="s">
        <v>420</v>
      </c>
      <c r="C7" s="42" t="n">
        <f aca="false">-1.34</f>
        <v>-1.34</v>
      </c>
      <c r="D7" s="16" t="n">
        <v>58.9</v>
      </c>
      <c r="E7" s="43" t="n">
        <v>0</v>
      </c>
      <c r="F7" s="14" t="n">
        <f aca="false">(C7*D7)-((C7*D7)*E7)</f>
        <v>-78.926</v>
      </c>
    </row>
    <row r="8" customFormat="false" ht="15" hidden="false" customHeight="false" outlineLevel="0" collapsed="false">
      <c r="B8" s="26" t="s">
        <v>421</v>
      </c>
      <c r="C8" s="40" t="n">
        <f aca="false">15+20</f>
        <v>35</v>
      </c>
      <c r="D8" s="28" t="n">
        <v>13.9</v>
      </c>
      <c r="E8" s="41" t="n">
        <v>0</v>
      </c>
      <c r="F8" s="30" t="n">
        <f aca="false">(C8*D8)-((C8*D8)*E8)</f>
        <v>486.5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422</v>
      </c>
      <c r="C9" s="42" t="n">
        <v>15</v>
      </c>
      <c r="D9" s="16" t="n">
        <v>16</v>
      </c>
      <c r="E9" s="43" t="n">
        <v>0</v>
      </c>
      <c r="F9" s="14" t="n">
        <f aca="false">(C9*D9)-((C9*D9)*E9)</f>
        <v>240</v>
      </c>
      <c r="H9" s="23" t="s">
        <v>203</v>
      </c>
      <c r="I9" s="14" t="n">
        <v>68.07</v>
      </c>
      <c r="J9" s="24" t="n">
        <v>0.1</v>
      </c>
    </row>
    <row r="10" customFormat="false" ht="15" hidden="false" customHeight="false" outlineLevel="0" collapsed="false">
      <c r="H10" s="23" t="s">
        <v>204</v>
      </c>
      <c r="I10" s="14" t="n">
        <v>558.75</v>
      </c>
      <c r="J10" s="24" t="n">
        <v>0.1</v>
      </c>
    </row>
    <row r="11" customFormat="false" ht="15" hidden="false" customHeight="false" outlineLevel="0" collapsed="false">
      <c r="H11" s="23" t="s">
        <v>205</v>
      </c>
      <c r="I11" s="14" t="n">
        <v>278</v>
      </c>
      <c r="J11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3561.4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3561.4</v>
      </c>
    </row>
    <row r="6" customFormat="false" ht="15" hidden="false" customHeight="false" outlineLevel="0" collapsed="false">
      <c r="B6" s="26" t="s">
        <v>423</v>
      </c>
      <c r="C6" s="40" t="n">
        <f aca="false">6+2+2+2+2+2+2+2</f>
        <v>20</v>
      </c>
      <c r="D6" s="28" t="n">
        <v>25</v>
      </c>
      <c r="E6" s="41" t="n">
        <v>0</v>
      </c>
      <c r="F6" s="30" t="n">
        <f aca="false">(C6*D6)-((C6*D6)*E6)</f>
        <v>500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424</v>
      </c>
      <c r="C7" s="42" t="n">
        <f aca="false">15+5+5+5+5+5+5</f>
        <v>45</v>
      </c>
      <c r="D7" s="16" t="n">
        <v>2.7</v>
      </c>
      <c r="E7" s="43" t="n">
        <v>0</v>
      </c>
      <c r="F7" s="14" t="n">
        <f aca="false">(C7*D7)-((C7*D7)*E7)</f>
        <v>121.5</v>
      </c>
    </row>
    <row r="8" customFormat="false" ht="15" hidden="false" customHeight="false" outlineLevel="0" collapsed="false">
      <c r="B8" s="26" t="s">
        <v>425</v>
      </c>
      <c r="C8" s="40" t="n">
        <f aca="false">1+0.3+0.5+0.5+0.5</f>
        <v>2.8</v>
      </c>
      <c r="D8" s="28" t="n">
        <v>98</v>
      </c>
      <c r="E8" s="41" t="n">
        <v>0</v>
      </c>
      <c r="F8" s="30" t="n">
        <f aca="false">(C8*D8)-((C8*D8)*E8)</f>
        <v>274.4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426</v>
      </c>
      <c r="C9" s="42" t="n">
        <f aca="false">10+4+2+2+4+2+2+4+4+4+2</f>
        <v>40</v>
      </c>
      <c r="D9" s="16" t="n">
        <v>50</v>
      </c>
      <c r="E9" s="43" t="n">
        <v>0</v>
      </c>
      <c r="F9" s="14" t="n">
        <f aca="false">(C9*D9)-((C9*D9)*E9)</f>
        <v>2000</v>
      </c>
      <c r="H9" s="23" t="s">
        <v>206</v>
      </c>
      <c r="I9" s="14" t="n">
        <v>63.5</v>
      </c>
      <c r="J9" s="24" t="n">
        <v>0.1</v>
      </c>
    </row>
    <row r="10" customFormat="false" ht="15" hidden="false" customHeight="false" outlineLevel="0" collapsed="false">
      <c r="B10" s="26" t="s">
        <v>427</v>
      </c>
      <c r="C10" s="40" t="n">
        <f aca="false">1+0.5+0.65+0.5+0.75+0.5</f>
        <v>3.9</v>
      </c>
      <c r="D10" s="28" t="n">
        <v>95</v>
      </c>
      <c r="E10" s="41" t="n">
        <v>0</v>
      </c>
      <c r="F10" s="30" t="n">
        <f aca="false">(C10*D10)-((C10*D10)*E10)</f>
        <v>370.5</v>
      </c>
      <c r="H10" s="23" t="s">
        <v>207</v>
      </c>
      <c r="I10" s="14" t="n">
        <v>309</v>
      </c>
      <c r="J10" s="24" t="n">
        <v>0.1</v>
      </c>
    </row>
    <row r="11" customFormat="false" ht="15" hidden="false" customHeight="false" outlineLevel="0" collapsed="false">
      <c r="B11" s="22" t="s">
        <v>428</v>
      </c>
      <c r="C11" s="42" t="n">
        <v>2</v>
      </c>
      <c r="D11" s="16" t="n">
        <v>0</v>
      </c>
      <c r="E11" s="43" t="n">
        <v>0</v>
      </c>
      <c r="F11" s="14" t="n">
        <f aca="false">(C11*D11)-((C11*D11)*E11)</f>
        <v>0</v>
      </c>
      <c r="H11" s="23" t="s">
        <v>208</v>
      </c>
      <c r="I11" s="14" t="n">
        <v>250</v>
      </c>
      <c r="J11" s="24" t="n">
        <v>0.1</v>
      </c>
    </row>
    <row r="12" customFormat="false" ht="15" hidden="false" customHeight="false" outlineLevel="0" collapsed="false">
      <c r="B12" s="26" t="s">
        <v>423</v>
      </c>
      <c r="C12" s="40" t="n">
        <f aca="false">2+1+2</f>
        <v>5</v>
      </c>
      <c r="D12" s="28" t="n">
        <v>24</v>
      </c>
      <c r="E12" s="41" t="n">
        <v>0</v>
      </c>
      <c r="F12" s="30" t="n">
        <f aca="false">(C12*D12)-((C12*D12)*E12)</f>
        <v>120</v>
      </c>
      <c r="H12" s="23" t="s">
        <v>209</v>
      </c>
      <c r="I12" s="14" t="n">
        <v>261</v>
      </c>
      <c r="J12" s="24" t="n">
        <v>0.1</v>
      </c>
    </row>
    <row r="13" customFormat="false" ht="15" hidden="false" customHeight="false" outlineLevel="0" collapsed="false">
      <c r="B13" s="22" t="s">
        <v>429</v>
      </c>
      <c r="C13" s="42" t="n">
        <f aca="false">1.5+2</f>
        <v>3.5</v>
      </c>
      <c r="D13" s="16" t="n">
        <v>50</v>
      </c>
      <c r="E13" s="43" t="n">
        <v>0</v>
      </c>
      <c r="F13" s="14" t="n">
        <f aca="false">(C13*D13)-((C13*D13)*E13)</f>
        <v>175</v>
      </c>
      <c r="H13" s="23" t="s">
        <v>210</v>
      </c>
      <c r="I13" s="14" t="n">
        <v>263.5</v>
      </c>
      <c r="J13" s="24" t="n">
        <v>0.1</v>
      </c>
    </row>
    <row r="14" customFormat="false" ht="15" hidden="false" customHeight="false" outlineLevel="0" collapsed="false">
      <c r="H14" s="23" t="s">
        <v>211</v>
      </c>
      <c r="I14" s="14" t="n">
        <v>42.9</v>
      </c>
      <c r="J14" s="24" t="n">
        <v>0.1</v>
      </c>
    </row>
    <row r="15" customFormat="false" ht="15" hidden="false" customHeight="false" outlineLevel="0" collapsed="false">
      <c r="H15" s="23" t="s">
        <v>212</v>
      </c>
      <c r="I15" s="14" t="n">
        <v>197.5</v>
      </c>
      <c r="J15" s="24" t="n">
        <v>0.1</v>
      </c>
    </row>
    <row r="16" customFormat="false" ht="15" hidden="false" customHeight="false" outlineLevel="0" collapsed="false">
      <c r="H16" s="23" t="s">
        <v>213</v>
      </c>
      <c r="I16" s="14" t="n">
        <v>100</v>
      </c>
      <c r="J16" s="24" t="n">
        <v>0.1</v>
      </c>
    </row>
    <row r="17" customFormat="false" ht="15" hidden="false" customHeight="false" outlineLevel="0" collapsed="false">
      <c r="H17" s="23" t="s">
        <v>214</v>
      </c>
      <c r="I17" s="14" t="n">
        <v>249</v>
      </c>
      <c r="J17" s="24" t="n">
        <v>0.1</v>
      </c>
    </row>
    <row r="18" customFormat="false" ht="15" hidden="false" customHeight="false" outlineLevel="0" collapsed="false">
      <c r="H18" s="23" t="s">
        <v>215</v>
      </c>
      <c r="I18" s="14" t="n">
        <v>50</v>
      </c>
      <c r="J18" s="24" t="n">
        <v>0.1</v>
      </c>
    </row>
    <row r="19" customFormat="false" ht="15" hidden="false" customHeight="false" outlineLevel="0" collapsed="false">
      <c r="H19" s="23" t="s">
        <v>216</v>
      </c>
      <c r="I19" s="14" t="n">
        <v>100</v>
      </c>
      <c r="J19" s="24" t="n">
        <v>0.1</v>
      </c>
    </row>
    <row r="20" customFormat="false" ht="15" hidden="false" customHeight="false" outlineLevel="0" collapsed="false">
      <c r="H20" s="23" t="s">
        <v>217</v>
      </c>
      <c r="I20" s="14" t="n">
        <v>149</v>
      </c>
      <c r="J20" s="24" t="n">
        <v>0.1</v>
      </c>
    </row>
    <row r="21" customFormat="false" ht="15" hidden="false" customHeight="false" outlineLevel="0" collapsed="false">
      <c r="H21" s="23" t="s">
        <v>218</v>
      </c>
      <c r="I21" s="14" t="n">
        <v>250</v>
      </c>
      <c r="J21" s="24" t="n">
        <v>0.1</v>
      </c>
    </row>
    <row r="22" customFormat="false" ht="15" hidden="false" customHeight="false" outlineLevel="0" collapsed="false">
      <c r="H22" s="23" t="s">
        <v>219</v>
      </c>
      <c r="I22" s="14" t="n">
        <v>125.25</v>
      </c>
      <c r="J22" s="24" t="n">
        <v>0.1</v>
      </c>
    </row>
    <row r="23" customFormat="false" ht="15" hidden="false" customHeight="false" outlineLevel="0" collapsed="false">
      <c r="H23" s="23" t="s">
        <v>220</v>
      </c>
      <c r="I23" s="14" t="n">
        <v>297.5</v>
      </c>
      <c r="J23" s="24" t="n">
        <v>0.1</v>
      </c>
    </row>
    <row r="24" customFormat="false" ht="15" hidden="false" customHeight="false" outlineLevel="0" collapsed="false">
      <c r="H24" s="23" t="s">
        <v>221</v>
      </c>
      <c r="I24" s="14" t="n">
        <v>84.75</v>
      </c>
      <c r="J24" s="24" t="n">
        <v>0.1</v>
      </c>
    </row>
    <row r="25" customFormat="false" ht="15" hidden="false" customHeight="false" outlineLevel="0" collapsed="false">
      <c r="H25" s="23" t="s">
        <v>222</v>
      </c>
      <c r="I25" s="14" t="n">
        <v>63.5</v>
      </c>
      <c r="J25" s="24" t="n">
        <v>0.1</v>
      </c>
    </row>
    <row r="26" customFormat="false" ht="15" hidden="false" customHeight="false" outlineLevel="0" collapsed="false">
      <c r="H26" s="23" t="s">
        <v>223</v>
      </c>
      <c r="I26" s="14" t="n">
        <v>295.5</v>
      </c>
      <c r="J26" s="24" t="n">
        <v>0.1</v>
      </c>
    </row>
    <row r="27" customFormat="false" ht="15" hidden="false" customHeight="false" outlineLevel="0" collapsed="false">
      <c r="H27" s="23" t="s">
        <v>224</v>
      </c>
      <c r="I27" s="14" t="n">
        <v>75</v>
      </c>
      <c r="J27" s="24" t="n">
        <v>0.1</v>
      </c>
    </row>
    <row r="28" customFormat="false" ht="15" hidden="false" customHeight="false" outlineLevel="0" collapsed="false">
      <c r="H28" s="23" t="s">
        <v>225</v>
      </c>
      <c r="I28" s="14" t="n">
        <v>186.5</v>
      </c>
      <c r="J28" s="24" t="n">
        <v>0.1</v>
      </c>
    </row>
    <row r="29" customFormat="false" ht="15" hidden="false" customHeight="false" outlineLevel="0" collapsed="false">
      <c r="H29" s="23" t="s">
        <v>226</v>
      </c>
      <c r="I29" s="14" t="n">
        <v>148</v>
      </c>
      <c r="J29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171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171</v>
      </c>
    </row>
    <row r="6" customFormat="false" ht="15" hidden="false" customHeight="false" outlineLevel="0" collapsed="false">
      <c r="B6" s="26" t="s">
        <v>430</v>
      </c>
      <c r="C6" s="40" t="n">
        <f aca="false">1+1+1</f>
        <v>3</v>
      </c>
      <c r="D6" s="28" t="n">
        <v>57</v>
      </c>
      <c r="E6" s="41" t="n">
        <v>0</v>
      </c>
      <c r="F6" s="30" t="n">
        <f aca="false">(C6*D6)-((C6*D6)*E6)</f>
        <v>171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227</v>
      </c>
      <c r="I9" s="14" t="n">
        <v>57</v>
      </c>
      <c r="J9" s="24" t="n">
        <v>0.04</v>
      </c>
    </row>
    <row r="10" customFormat="false" ht="15" hidden="false" customHeight="false" outlineLevel="0" collapsed="false">
      <c r="H10" s="23" t="s">
        <v>228</v>
      </c>
      <c r="I10" s="14" t="n">
        <v>57</v>
      </c>
      <c r="J10" s="24" t="n">
        <v>0.04</v>
      </c>
    </row>
    <row r="11" customFormat="false" ht="15" hidden="false" customHeight="false" outlineLevel="0" collapsed="false">
      <c r="H11" s="23" t="s">
        <v>229</v>
      </c>
      <c r="I11" s="14" t="n">
        <v>57</v>
      </c>
      <c r="J11" s="24" t="n">
        <v>0.04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5092.38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5092.38</v>
      </c>
    </row>
    <row r="6" customFormat="false" ht="15" hidden="false" customHeight="false" outlineLevel="0" collapsed="false">
      <c r="B6" s="26" t="s">
        <v>431</v>
      </c>
      <c r="C6" s="40" t="n">
        <f aca="false">(3)*6</f>
        <v>18</v>
      </c>
      <c r="D6" s="28" t="n">
        <v>5.63</v>
      </c>
      <c r="E6" s="41" t="n">
        <v>0</v>
      </c>
      <c r="F6" s="30" t="n">
        <f aca="false">(C6*D6)-((C6*D6)*E6)</f>
        <v>101.34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432</v>
      </c>
      <c r="C7" s="42" t="n">
        <f aca="false">(36)*6</f>
        <v>216</v>
      </c>
      <c r="D7" s="16" t="n">
        <v>11.77</v>
      </c>
      <c r="E7" s="43" t="n">
        <v>0</v>
      </c>
      <c r="F7" s="14" t="n">
        <f aca="false">(C7*D7)-((C7*D7)*E7)</f>
        <v>2542.32</v>
      </c>
    </row>
    <row r="8" customFormat="false" ht="15" hidden="false" customHeight="false" outlineLevel="0" collapsed="false">
      <c r="B8" s="26" t="s">
        <v>433</v>
      </c>
      <c r="C8" s="40" t="n">
        <f aca="false">(27)*6</f>
        <v>162</v>
      </c>
      <c r="D8" s="28" t="n">
        <v>4.67</v>
      </c>
      <c r="E8" s="41" t="n">
        <v>0</v>
      </c>
      <c r="F8" s="30" t="n">
        <f aca="false">(C8*D8)-((C8*D8)*E8)</f>
        <v>756.54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434</v>
      </c>
      <c r="C9" s="42" t="n">
        <f aca="false">(8)*6</f>
        <v>48</v>
      </c>
      <c r="D9" s="16" t="n">
        <v>8.78</v>
      </c>
      <c r="E9" s="43" t="n">
        <v>0</v>
      </c>
      <c r="F9" s="14" t="n">
        <f aca="false">(C9*D9)-((C9*D9)*E9)</f>
        <v>421.44</v>
      </c>
      <c r="H9" s="23" t="s">
        <v>230</v>
      </c>
      <c r="I9" s="14" t="n">
        <v>528.12</v>
      </c>
      <c r="J9" s="24" t="n">
        <v>0.21</v>
      </c>
    </row>
    <row r="10" customFormat="false" ht="15" hidden="false" customHeight="false" outlineLevel="0" collapsed="false">
      <c r="B10" s="26" t="s">
        <v>435</v>
      </c>
      <c r="C10" s="40" t="n">
        <f aca="false">(5)*6</f>
        <v>30</v>
      </c>
      <c r="D10" s="28" t="n">
        <v>7.88</v>
      </c>
      <c r="E10" s="41" t="n">
        <v>0</v>
      </c>
      <c r="F10" s="30" t="n">
        <f aca="false">(C10*D10)-((C10*D10)*E10)</f>
        <v>236.4</v>
      </c>
      <c r="H10" s="23" t="s">
        <v>231</v>
      </c>
      <c r="I10" s="14" t="n">
        <v>746.52</v>
      </c>
      <c r="J10" s="24" t="n">
        <v>0.21</v>
      </c>
    </row>
    <row r="11" customFormat="false" ht="15" hidden="false" customHeight="false" outlineLevel="0" collapsed="false">
      <c r="B11" s="22" t="s">
        <v>436</v>
      </c>
      <c r="C11" s="42" t="n">
        <f aca="false">(7)*6</f>
        <v>42</v>
      </c>
      <c r="D11" s="16" t="n">
        <v>13.91</v>
      </c>
      <c r="E11" s="43" t="n">
        <v>0</v>
      </c>
      <c r="F11" s="14" t="n">
        <f aca="false">(C11*D11)-((C11*D11)*E11)</f>
        <v>584.22</v>
      </c>
      <c r="H11" s="23" t="s">
        <v>232</v>
      </c>
      <c r="I11" s="14" t="n">
        <v>848.58</v>
      </c>
      <c r="J11" s="24" t="n">
        <v>0.21</v>
      </c>
    </row>
    <row r="12" customFormat="false" ht="15" hidden="false" customHeight="false" outlineLevel="0" collapsed="false">
      <c r="B12" s="26" t="s">
        <v>437</v>
      </c>
      <c r="C12" s="40" t="n">
        <f aca="false">(3)*6</f>
        <v>18</v>
      </c>
      <c r="D12" s="28" t="n">
        <v>21.38</v>
      </c>
      <c r="E12" s="41" t="n">
        <v>0</v>
      </c>
      <c r="F12" s="30" t="n">
        <f aca="false">(C12*D12)-((C12*D12)*E12)</f>
        <v>384.84</v>
      </c>
      <c r="H12" s="23" t="s">
        <v>233</v>
      </c>
      <c r="I12" s="14" t="n">
        <v>1280.7</v>
      </c>
      <c r="J12" s="24" t="n">
        <v>0.21</v>
      </c>
    </row>
    <row r="13" customFormat="false" ht="15" hidden="false" customHeight="false" outlineLevel="0" collapsed="false">
      <c r="B13" s="22" t="s">
        <v>438</v>
      </c>
      <c r="C13" s="42" t="n">
        <f aca="false">(2)*6</f>
        <v>12</v>
      </c>
      <c r="D13" s="16" t="n">
        <v>5.44</v>
      </c>
      <c r="E13" s="43" t="n">
        <v>0</v>
      </c>
      <c r="F13" s="14" t="n">
        <f aca="false">(C13*D13)-((C13*D13)*E13)</f>
        <v>65.28</v>
      </c>
      <c r="H13" s="23" t="s">
        <v>234</v>
      </c>
      <c r="I13" s="14" t="n">
        <v>1038.9</v>
      </c>
      <c r="J13" s="24" t="n">
        <v>0.21</v>
      </c>
    </row>
    <row r="14" customFormat="false" ht="15" hidden="false" customHeight="false" outlineLevel="0" collapsed="false">
      <c r="H14" s="23" t="s">
        <v>235</v>
      </c>
      <c r="I14" s="14" t="n">
        <v>649.56</v>
      </c>
      <c r="J14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611.4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611.4</v>
      </c>
    </row>
    <row r="6" customFormat="false" ht="15" hidden="false" customHeight="false" outlineLevel="0" collapsed="false">
      <c r="B6" s="26" t="s">
        <v>439</v>
      </c>
      <c r="C6" s="40" t="n">
        <f aca="false">(4+2+1+1)*25</f>
        <v>200</v>
      </c>
      <c r="D6" s="28" t="n">
        <v>0.89</v>
      </c>
      <c r="E6" s="41" t="n">
        <v>0</v>
      </c>
      <c r="F6" s="30" t="n">
        <f aca="false">(C6*D6)-((C6*D6)*E6)</f>
        <v>178</v>
      </c>
      <c r="H6" s="38" t="s">
        <v>323</v>
      </c>
      <c r="I6" s="39" t="n">
        <f aca="false">I5-I4</f>
        <v>0</v>
      </c>
    </row>
    <row r="7" customFormat="false" ht="15" hidden="false" customHeight="false" outlineLevel="0" collapsed="false">
      <c r="B7" s="22" t="s">
        <v>440</v>
      </c>
      <c r="C7" s="42" t="n">
        <f aca="false">(1+1+1+1)*25</f>
        <v>100</v>
      </c>
      <c r="D7" s="16" t="n">
        <v>0.93</v>
      </c>
      <c r="E7" s="43" t="n">
        <v>0</v>
      </c>
      <c r="F7" s="14" t="n">
        <f aca="false">(C7*D7)-((C7*D7)*E7)</f>
        <v>93</v>
      </c>
    </row>
    <row r="8" customFormat="false" ht="15" hidden="false" customHeight="false" outlineLevel="0" collapsed="false">
      <c r="B8" s="26" t="s">
        <v>439</v>
      </c>
      <c r="C8" s="40" t="n">
        <f aca="false">(4)*25</f>
        <v>100</v>
      </c>
      <c r="D8" s="28" t="n">
        <v>0.95</v>
      </c>
      <c r="E8" s="41" t="n">
        <v>0</v>
      </c>
      <c r="F8" s="30" t="n">
        <f aca="false">(C8*D8)-((C8*D8)*E8)</f>
        <v>95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440</v>
      </c>
      <c r="C9" s="42" t="n">
        <f aca="false">(1)*25</f>
        <v>25</v>
      </c>
      <c r="D9" s="16" t="n">
        <v>0.9</v>
      </c>
      <c r="E9" s="43" t="n">
        <v>0</v>
      </c>
      <c r="F9" s="14" t="n">
        <f aca="false">(C9*D9)-((C9*D9)*E9)</f>
        <v>22.5</v>
      </c>
      <c r="H9" s="23" t="s">
        <v>236</v>
      </c>
      <c r="I9" s="14" t="n">
        <v>44.5</v>
      </c>
      <c r="J9" s="24" t="n">
        <v>0.04</v>
      </c>
    </row>
    <row r="10" customFormat="false" ht="15" hidden="false" customHeight="false" outlineLevel="0" collapsed="false">
      <c r="B10" s="26" t="s">
        <v>439</v>
      </c>
      <c r="C10" s="40" t="n">
        <f aca="false">(1+1+2+1+1+1+1+1)*25</f>
        <v>225</v>
      </c>
      <c r="D10" s="28" t="n">
        <v>0.88</v>
      </c>
      <c r="E10" s="41" t="n">
        <v>0</v>
      </c>
      <c r="F10" s="30" t="n">
        <f aca="false">(C10*D10)-((C10*D10)*E10)</f>
        <v>198</v>
      </c>
      <c r="H10" s="23" t="s">
        <v>237</v>
      </c>
      <c r="I10" s="14" t="n">
        <v>23.25</v>
      </c>
      <c r="J10" s="24" t="n">
        <v>0.04</v>
      </c>
    </row>
    <row r="11" customFormat="false" ht="15" hidden="false" customHeight="false" outlineLevel="0" collapsed="false">
      <c r="B11" s="22" t="s">
        <v>441</v>
      </c>
      <c r="C11" s="42" t="n">
        <f aca="false">(1.2)*25</f>
        <v>30</v>
      </c>
      <c r="D11" s="16" t="n">
        <v>0.83</v>
      </c>
      <c r="E11" s="43" t="n">
        <v>0</v>
      </c>
      <c r="F11" s="14" t="n">
        <f aca="false">(C11*D11)-((C11*D11)*E11)</f>
        <v>24.9</v>
      </c>
      <c r="H11" s="23" t="s">
        <v>238</v>
      </c>
      <c r="I11" s="14" t="n">
        <v>44.5</v>
      </c>
      <c r="J11" s="24" t="n">
        <v>0.04</v>
      </c>
    </row>
    <row r="12" customFormat="false" ht="15" hidden="false" customHeight="false" outlineLevel="0" collapsed="false">
      <c r="H12" s="23" t="s">
        <v>239</v>
      </c>
      <c r="I12" s="14" t="n">
        <v>46.25</v>
      </c>
      <c r="J12" s="24" t="n">
        <v>0.04</v>
      </c>
    </row>
    <row r="13" customFormat="false" ht="15" hidden="false" customHeight="false" outlineLevel="0" collapsed="false">
      <c r="H13" s="23" t="s">
        <v>240</v>
      </c>
      <c r="I13" s="14" t="n">
        <v>47.5</v>
      </c>
      <c r="J13" s="24" t="n">
        <v>0.04</v>
      </c>
    </row>
    <row r="14" customFormat="false" ht="15" hidden="false" customHeight="false" outlineLevel="0" collapsed="false">
      <c r="H14" s="23" t="s">
        <v>241</v>
      </c>
      <c r="I14" s="14" t="n">
        <v>23.75</v>
      </c>
      <c r="J14" s="24" t="n">
        <v>0.04</v>
      </c>
    </row>
    <row r="15" customFormat="false" ht="15" hidden="false" customHeight="false" outlineLevel="0" collapsed="false">
      <c r="H15" s="23" t="s">
        <v>242</v>
      </c>
      <c r="I15" s="14" t="n">
        <v>22</v>
      </c>
      <c r="J15" s="24" t="n">
        <v>0.04</v>
      </c>
    </row>
    <row r="16" customFormat="false" ht="15" hidden="false" customHeight="false" outlineLevel="0" collapsed="false">
      <c r="H16" s="23" t="s">
        <v>243</v>
      </c>
      <c r="I16" s="14" t="n">
        <v>22</v>
      </c>
      <c r="J16" s="24" t="n">
        <v>0.04</v>
      </c>
    </row>
    <row r="17" customFormat="false" ht="15" hidden="false" customHeight="false" outlineLevel="0" collapsed="false">
      <c r="H17" s="23" t="s">
        <v>244</v>
      </c>
      <c r="I17" s="14" t="n">
        <v>67.25</v>
      </c>
      <c r="J17" s="24" t="n">
        <v>0.04</v>
      </c>
    </row>
    <row r="18" customFormat="false" ht="15" hidden="false" customHeight="false" outlineLevel="0" collapsed="false">
      <c r="H18" s="23" t="s">
        <v>245</v>
      </c>
      <c r="I18" s="14" t="n">
        <v>23.25</v>
      </c>
      <c r="J18" s="24" t="n">
        <v>0.04</v>
      </c>
    </row>
    <row r="19" customFormat="false" ht="15" hidden="false" customHeight="false" outlineLevel="0" collapsed="false">
      <c r="H19" s="23" t="s">
        <v>246</v>
      </c>
      <c r="I19" s="14" t="n">
        <v>22</v>
      </c>
      <c r="J19" s="24" t="n">
        <v>0.04</v>
      </c>
    </row>
    <row r="20" customFormat="false" ht="15" hidden="false" customHeight="false" outlineLevel="0" collapsed="false">
      <c r="H20" s="23" t="s">
        <v>247</v>
      </c>
      <c r="I20" s="14" t="n">
        <v>22</v>
      </c>
      <c r="J20" s="24" t="n">
        <v>0.04</v>
      </c>
    </row>
    <row r="21" customFormat="false" ht="15" hidden="false" customHeight="false" outlineLevel="0" collapsed="false">
      <c r="H21" s="23" t="s">
        <v>248</v>
      </c>
      <c r="I21" s="14" t="n">
        <v>44.5</v>
      </c>
      <c r="J21" s="24" t="n">
        <v>0.04</v>
      </c>
    </row>
    <row r="22" customFormat="false" ht="15" hidden="false" customHeight="false" outlineLevel="0" collapsed="false">
      <c r="H22" s="23" t="s">
        <v>249</v>
      </c>
      <c r="I22" s="14" t="n">
        <v>22.25</v>
      </c>
      <c r="J22" s="24" t="n">
        <v>0.04</v>
      </c>
    </row>
    <row r="23" customFormat="false" ht="15" hidden="false" customHeight="false" outlineLevel="0" collapsed="false">
      <c r="H23" s="23" t="s">
        <v>250</v>
      </c>
      <c r="I23" s="14" t="n">
        <v>47.15</v>
      </c>
      <c r="J23" s="24" t="n">
        <v>0.04</v>
      </c>
    </row>
    <row r="24" customFormat="false" ht="15" hidden="false" customHeight="false" outlineLevel="0" collapsed="false">
      <c r="H24" s="23" t="s">
        <v>251</v>
      </c>
      <c r="I24" s="14" t="n">
        <v>22</v>
      </c>
      <c r="J24" s="24" t="n">
        <v>0.04</v>
      </c>
    </row>
    <row r="25" customFormat="false" ht="15" hidden="false" customHeight="false" outlineLevel="0" collapsed="false">
      <c r="H25" s="23" t="s">
        <v>252</v>
      </c>
      <c r="I25" s="14" t="n">
        <v>45.25</v>
      </c>
      <c r="J25" s="24" t="n">
        <v>0.04</v>
      </c>
    </row>
    <row r="26" customFormat="false" ht="15" hidden="false" customHeight="false" outlineLevel="0" collapsed="false">
      <c r="H26" s="23" t="s">
        <v>253</v>
      </c>
      <c r="I26" s="14" t="n">
        <v>22</v>
      </c>
      <c r="J26" s="24" t="n">
        <v>0.04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1400.16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1400.16</v>
      </c>
    </row>
    <row r="6" customFormat="false" ht="15" hidden="false" customHeight="false" outlineLevel="0" collapsed="false">
      <c r="B6" s="26" t="s">
        <v>442</v>
      </c>
      <c r="C6" s="40" t="n">
        <f aca="false">4.15+1.2+4.2+6.4+3.8+5.1+4.32</f>
        <v>29.17</v>
      </c>
      <c r="D6" s="28" t="n">
        <v>48</v>
      </c>
      <c r="E6" s="41" t="n">
        <v>0</v>
      </c>
      <c r="F6" s="30" t="n">
        <f aca="false">(C6*D6)-((C6*D6)*E6)</f>
        <v>1400.16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254</v>
      </c>
      <c r="I9" s="14" t="n">
        <v>199.2</v>
      </c>
      <c r="J9" s="24" t="n">
        <v>0.1</v>
      </c>
    </row>
    <row r="10" customFormat="false" ht="15" hidden="false" customHeight="false" outlineLevel="0" collapsed="false">
      <c r="H10" s="23" t="s">
        <v>255</v>
      </c>
      <c r="I10" s="14" t="n">
        <v>259.2</v>
      </c>
      <c r="J10" s="24" t="n">
        <v>0.1</v>
      </c>
    </row>
    <row r="11" customFormat="false" ht="15" hidden="false" customHeight="false" outlineLevel="0" collapsed="false">
      <c r="H11" s="23" t="s">
        <v>256</v>
      </c>
      <c r="I11" s="14" t="n">
        <v>307.2</v>
      </c>
      <c r="J11" s="24" t="n">
        <v>0.1</v>
      </c>
    </row>
    <row r="12" customFormat="false" ht="15" hidden="false" customHeight="false" outlineLevel="0" collapsed="false">
      <c r="H12" s="23" t="s">
        <v>257</v>
      </c>
      <c r="I12" s="14" t="n">
        <v>182.4</v>
      </c>
      <c r="J12" s="24" t="n">
        <v>0.1</v>
      </c>
    </row>
    <row r="13" customFormat="false" ht="15" hidden="false" customHeight="false" outlineLevel="0" collapsed="false">
      <c r="H13" s="23" t="s">
        <v>258</v>
      </c>
      <c r="I13" s="14" t="n">
        <v>244.8</v>
      </c>
      <c r="J13" s="24" t="n">
        <v>0.1</v>
      </c>
    </row>
    <row r="14" customFormat="false" ht="15" hidden="false" customHeight="false" outlineLevel="0" collapsed="false">
      <c r="H14" s="23" t="s">
        <v>259</v>
      </c>
      <c r="I14" s="14" t="n">
        <v>207.36</v>
      </c>
      <c r="J14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10740.80499985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10740.83</v>
      </c>
    </row>
    <row r="6" customFormat="false" ht="15" hidden="false" customHeight="false" outlineLevel="0" collapsed="false">
      <c r="B6" s="26" t="s">
        <v>443</v>
      </c>
      <c r="C6" s="40" t="n">
        <v>1</v>
      </c>
      <c r="D6" s="28" t="n">
        <v>78</v>
      </c>
      <c r="E6" s="41" t="n">
        <v>0</v>
      </c>
      <c r="F6" s="30" t="n">
        <f aca="false">(C6*D6)-((C6*D6)*E6)</f>
        <v>78</v>
      </c>
      <c r="H6" s="38" t="s">
        <v>323</v>
      </c>
      <c r="I6" s="39" t="n">
        <f aca="false">I5-I4</f>
        <v>0.0250001499989594</v>
      </c>
    </row>
    <row r="7" customFormat="false" ht="15" hidden="false" customHeight="false" outlineLevel="0" collapsed="false">
      <c r="B7" s="22" t="s">
        <v>444</v>
      </c>
      <c r="C7" s="42" t="n">
        <f aca="false">5.8+5.8+6.8+7.5+4.2+10+8.6+9.2+6+8.3+6+6.5+9.5+5.9+3.9+7.2</f>
        <v>111.2</v>
      </c>
      <c r="D7" s="16" t="n">
        <v>21.5</v>
      </c>
      <c r="E7" s="43" t="n">
        <v>0</v>
      </c>
      <c r="F7" s="14" t="n">
        <f aca="false">(C7*D7)-((C7*D7)*E7)</f>
        <v>2390.8</v>
      </c>
    </row>
    <row r="8" customFormat="false" ht="15" hidden="false" customHeight="false" outlineLevel="0" collapsed="false">
      <c r="B8" s="26" t="s">
        <v>445</v>
      </c>
      <c r="C8" s="40" t="n">
        <f aca="false">2.1+1+1+1.1+1+1.1+1.1+1</f>
        <v>9.4</v>
      </c>
      <c r="D8" s="28" t="n">
        <v>98</v>
      </c>
      <c r="E8" s="41" t="n">
        <v>0</v>
      </c>
      <c r="F8" s="30" t="n">
        <f aca="false">(C8*D8)-((C8*D8)*E8)</f>
        <v>921.2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445</v>
      </c>
      <c r="C9" s="42" t="n">
        <v>1</v>
      </c>
      <c r="D9" s="16" t="n">
        <v>98</v>
      </c>
      <c r="E9" s="43" t="n">
        <v>0</v>
      </c>
      <c r="F9" s="14" t="n">
        <f aca="false">(C9*D9)-((C9*D9)*E9)</f>
        <v>98</v>
      </c>
      <c r="H9" s="23" t="s">
        <v>260</v>
      </c>
      <c r="I9" s="14" t="n">
        <v>568.31</v>
      </c>
      <c r="J9" s="24" t="n">
        <v>0.1</v>
      </c>
    </row>
    <row r="10" customFormat="false" ht="15" hidden="false" customHeight="false" outlineLevel="0" collapsed="false">
      <c r="B10" s="26" t="s">
        <v>446</v>
      </c>
      <c r="C10" s="40" t="n">
        <f aca="false">21+4+1+2+4+2+4+4</f>
        <v>42</v>
      </c>
      <c r="D10" s="28" t="n">
        <v>30</v>
      </c>
      <c r="E10" s="41" t="n">
        <v>0</v>
      </c>
      <c r="F10" s="30" t="n">
        <f aca="false">(C10*D10)-((C10*D10)*E10)</f>
        <v>1260</v>
      </c>
      <c r="H10" s="23" t="s">
        <v>261</v>
      </c>
      <c r="I10" s="14" t="n">
        <v>630.5</v>
      </c>
      <c r="J10" s="24" t="n">
        <v>0.1</v>
      </c>
    </row>
    <row r="11" customFormat="false" ht="15" hidden="false" customHeight="false" outlineLevel="0" collapsed="false">
      <c r="B11" s="22" t="s">
        <v>447</v>
      </c>
      <c r="C11" s="42" t="n">
        <f aca="false">1.2+1+1.2</f>
        <v>3.4</v>
      </c>
      <c r="D11" s="16" t="n">
        <v>35</v>
      </c>
      <c r="E11" s="43" t="n">
        <v>0</v>
      </c>
      <c r="F11" s="14" t="n">
        <f aca="false">(C11*D11)-((C11*D11)*E11)</f>
        <v>119</v>
      </c>
      <c r="H11" s="23" t="s">
        <v>262</v>
      </c>
      <c r="I11" s="14" t="n">
        <v>626.95</v>
      </c>
      <c r="J11" s="24" t="n">
        <v>0.1</v>
      </c>
    </row>
    <row r="12" customFormat="false" ht="15" hidden="false" customHeight="false" outlineLevel="0" collapsed="false">
      <c r="B12" s="26" t="s">
        <v>448</v>
      </c>
      <c r="C12" s="40" t="n">
        <f aca="false">5+1+1+1+1+1+1+2+2+1</f>
        <v>16</v>
      </c>
      <c r="D12" s="28" t="n">
        <v>25</v>
      </c>
      <c r="E12" s="41" t="n">
        <v>0</v>
      </c>
      <c r="F12" s="30" t="n">
        <f aca="false">(C12*D12)-((C12*D12)*E12)</f>
        <v>400</v>
      </c>
      <c r="H12" s="23" t="s">
        <v>177</v>
      </c>
      <c r="I12" s="14" t="n">
        <v>229.2</v>
      </c>
      <c r="J12" s="24" t="n">
        <v>0.1</v>
      </c>
    </row>
    <row r="13" customFormat="false" ht="15" hidden="false" customHeight="false" outlineLevel="0" collapsed="false">
      <c r="B13" s="22" t="s">
        <v>448</v>
      </c>
      <c r="C13" s="42" t="n">
        <v>2</v>
      </c>
      <c r="D13" s="16" t="n">
        <v>23</v>
      </c>
      <c r="E13" s="43" t="n">
        <v>0</v>
      </c>
      <c r="F13" s="14" t="n">
        <f aca="false">(C13*D13)-((C13*D13)*E13)</f>
        <v>46</v>
      </c>
      <c r="H13" s="23" t="s">
        <v>263</v>
      </c>
      <c r="I13" s="14" t="n">
        <v>1212.78</v>
      </c>
      <c r="J13" s="24" t="n">
        <v>0.1</v>
      </c>
    </row>
    <row r="14" customFormat="false" ht="15" hidden="false" customHeight="false" outlineLevel="0" collapsed="false">
      <c r="B14" s="26" t="s">
        <v>448</v>
      </c>
      <c r="C14" s="40" t="n">
        <v>1</v>
      </c>
      <c r="D14" s="28" t="n">
        <v>25.5</v>
      </c>
      <c r="E14" s="41" t="n">
        <v>0</v>
      </c>
      <c r="F14" s="30" t="n">
        <f aca="false">(C14*D14)-((C14*D14)*E14)</f>
        <v>25.5</v>
      </c>
      <c r="H14" s="23" t="s">
        <v>178</v>
      </c>
      <c r="I14" s="14" t="n">
        <v>558.22</v>
      </c>
      <c r="J14" s="24" t="n">
        <v>0.1</v>
      </c>
    </row>
    <row r="15" customFormat="false" ht="15" hidden="false" customHeight="false" outlineLevel="0" collapsed="false">
      <c r="B15" s="22" t="s">
        <v>449</v>
      </c>
      <c r="C15" s="42" t="n">
        <f aca="false">16.0757377+8.5+17.46+8.63+8.9+6.5+7.44+6.4+13.03+14.73+7.39+9.41</f>
        <v>124.4657377</v>
      </c>
      <c r="D15" s="16" t="n">
        <v>30.5</v>
      </c>
      <c r="E15" s="43" t="n">
        <v>0</v>
      </c>
      <c r="F15" s="14" t="n">
        <f aca="false">(C15*D15)-((C15*D15)*E15)</f>
        <v>3796.20499985</v>
      </c>
      <c r="H15" s="23" t="s">
        <v>264</v>
      </c>
      <c r="I15" s="14" t="n">
        <v>175.8</v>
      </c>
      <c r="J15" s="24" t="n">
        <v>0.1</v>
      </c>
    </row>
    <row r="16" customFormat="false" ht="15" hidden="false" customHeight="false" outlineLevel="0" collapsed="false">
      <c r="B16" s="26" t="s">
        <v>450</v>
      </c>
      <c r="C16" s="40" t="n">
        <v>3</v>
      </c>
      <c r="D16" s="28" t="n">
        <v>58</v>
      </c>
      <c r="E16" s="41" t="n">
        <v>0</v>
      </c>
      <c r="F16" s="30" t="n">
        <f aca="false">(C16*D16)-((C16*D16)*E16)</f>
        <v>174</v>
      </c>
      <c r="H16" s="23" t="s">
        <v>265</v>
      </c>
      <c r="I16" s="14" t="n">
        <v>497.5</v>
      </c>
      <c r="J16" s="24" t="n">
        <v>0.1</v>
      </c>
    </row>
    <row r="17" customFormat="false" ht="15" hidden="false" customHeight="false" outlineLevel="0" collapsed="false">
      <c r="B17" s="22" t="s">
        <v>451</v>
      </c>
      <c r="C17" s="42" t="n">
        <f aca="false">30+10+10+10+10+10</f>
        <v>80</v>
      </c>
      <c r="D17" s="16" t="n">
        <v>15.5</v>
      </c>
      <c r="E17" s="43" t="n">
        <v>0</v>
      </c>
      <c r="F17" s="14" t="n">
        <f aca="false">(C17*D17)-((C17*D17)*E17)</f>
        <v>1240</v>
      </c>
      <c r="H17" s="23" t="s">
        <v>266</v>
      </c>
      <c r="I17" s="14" t="n">
        <v>180</v>
      </c>
      <c r="J17" s="24" t="n">
        <v>0.1</v>
      </c>
    </row>
    <row r="18" customFormat="false" ht="15" hidden="false" customHeight="false" outlineLevel="0" collapsed="false">
      <c r="B18" s="26" t="s">
        <v>448</v>
      </c>
      <c r="C18" s="40" t="n">
        <v>1</v>
      </c>
      <c r="D18" s="28" t="n">
        <v>29.5</v>
      </c>
      <c r="E18" s="41" t="n">
        <v>0</v>
      </c>
      <c r="F18" s="30" t="n">
        <f aca="false">(C18*D18)-((C18*D18)*E18)</f>
        <v>29.5</v>
      </c>
      <c r="H18" s="23" t="s">
        <v>267</v>
      </c>
      <c r="I18" s="14" t="n">
        <v>456.35</v>
      </c>
      <c r="J18" s="24" t="n">
        <v>0.1</v>
      </c>
    </row>
    <row r="19" customFormat="false" ht="15" hidden="false" customHeight="false" outlineLevel="0" collapsed="false">
      <c r="B19" s="22" t="s">
        <v>452</v>
      </c>
      <c r="C19" s="42" t="n">
        <v>1</v>
      </c>
      <c r="D19" s="16" t="n">
        <v>75</v>
      </c>
      <c r="E19" s="43" t="n">
        <v>0</v>
      </c>
      <c r="F19" s="14" t="n">
        <f aca="false">(C19*D19)-((C19*D19)*E19)</f>
        <v>75</v>
      </c>
      <c r="H19" s="23" t="s">
        <v>268</v>
      </c>
      <c r="I19" s="14" t="n">
        <v>614.05</v>
      </c>
      <c r="J19" s="24" t="n">
        <v>0.1</v>
      </c>
    </row>
    <row r="20" customFormat="false" ht="15" hidden="false" customHeight="false" outlineLevel="0" collapsed="false">
      <c r="B20" s="26" t="s">
        <v>453</v>
      </c>
      <c r="C20" s="40" t="n">
        <v>2.2</v>
      </c>
      <c r="D20" s="28" t="n">
        <v>13</v>
      </c>
      <c r="E20" s="41" t="n">
        <v>0</v>
      </c>
      <c r="F20" s="30" t="n">
        <f aca="false">(C20*D20)-((C20*D20)*E20)</f>
        <v>28.6</v>
      </c>
      <c r="H20" s="23" t="s">
        <v>269</v>
      </c>
      <c r="I20" s="14" t="n">
        <v>346.4</v>
      </c>
      <c r="J20" s="24" t="n">
        <v>0.1</v>
      </c>
    </row>
    <row r="21" customFormat="false" ht="15" hidden="false" customHeight="false" outlineLevel="0" collapsed="false">
      <c r="B21" s="22" t="s">
        <v>450</v>
      </c>
      <c r="C21" s="42" t="n">
        <v>1</v>
      </c>
      <c r="D21" s="16" t="n">
        <v>59</v>
      </c>
      <c r="E21" s="43" t="n">
        <v>0</v>
      </c>
      <c r="F21" s="14" t="n">
        <f aca="false">(C21*D21)-((C21*D21)*E21)</f>
        <v>59</v>
      </c>
      <c r="H21" s="23" t="s">
        <v>270</v>
      </c>
      <c r="I21" s="14" t="n">
        <v>440.92</v>
      </c>
      <c r="J21" s="24" t="n">
        <v>0.1</v>
      </c>
    </row>
    <row r="22" customFormat="false" ht="15" hidden="false" customHeight="false" outlineLevel="0" collapsed="false">
      <c r="H22" s="23" t="s">
        <v>271</v>
      </c>
      <c r="I22" s="14" t="n">
        <v>301.45</v>
      </c>
      <c r="J22" s="24" t="n">
        <v>0.1</v>
      </c>
    </row>
    <row r="23" customFormat="false" ht="15" hidden="false" customHeight="false" outlineLevel="0" collapsed="false">
      <c r="H23" s="23" t="s">
        <v>272</v>
      </c>
      <c r="I23" s="14" t="n">
        <v>284</v>
      </c>
      <c r="J23" s="24" t="n">
        <v>0.1</v>
      </c>
    </row>
    <row r="24" customFormat="false" ht="15" hidden="false" customHeight="false" outlineLevel="0" collapsed="false">
      <c r="H24" s="23" t="s">
        <v>273</v>
      </c>
      <c r="I24" s="14" t="n">
        <v>448</v>
      </c>
      <c r="J24" s="24" t="n">
        <v>0.1</v>
      </c>
    </row>
    <row r="25" customFormat="false" ht="15" hidden="false" customHeight="false" outlineLevel="0" collapsed="false">
      <c r="H25" s="23" t="s">
        <v>274</v>
      </c>
      <c r="I25" s="14" t="n">
        <v>562.17</v>
      </c>
      <c r="J25" s="24" t="n">
        <v>0.1</v>
      </c>
    </row>
    <row r="26" customFormat="false" ht="15" hidden="false" customHeight="false" outlineLevel="0" collapsed="false">
      <c r="H26" s="23" t="s">
        <v>275</v>
      </c>
      <c r="I26" s="14" t="n">
        <v>916.32</v>
      </c>
      <c r="J26" s="24" t="n">
        <v>0.1</v>
      </c>
    </row>
    <row r="27" customFormat="false" ht="15" hidden="false" customHeight="false" outlineLevel="0" collapsed="false">
      <c r="H27" s="23" t="s">
        <v>276</v>
      </c>
      <c r="I27" s="14" t="n">
        <v>110</v>
      </c>
      <c r="J27" s="24" t="n">
        <v>0.1</v>
      </c>
    </row>
    <row r="28" customFormat="false" ht="15" hidden="false" customHeight="false" outlineLevel="0" collapsed="false">
      <c r="H28" s="23" t="s">
        <v>277</v>
      </c>
      <c r="I28" s="14" t="n">
        <v>401.85</v>
      </c>
      <c r="J28" s="24" t="n">
        <v>0.1</v>
      </c>
    </row>
    <row r="29" customFormat="false" ht="15" hidden="false" customHeight="false" outlineLevel="0" collapsed="false">
      <c r="H29" s="23" t="s">
        <v>278</v>
      </c>
      <c r="I29" s="14" t="n">
        <v>671.25</v>
      </c>
      <c r="J29" s="24" t="n">
        <v>0.1</v>
      </c>
    </row>
    <row r="30" customFormat="false" ht="15" hidden="false" customHeight="false" outlineLevel="0" collapsed="false">
      <c r="H30" s="23" t="s">
        <v>279</v>
      </c>
      <c r="I30" s="14" t="n">
        <v>508.81</v>
      </c>
      <c r="J30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1635.591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1635.61</v>
      </c>
    </row>
    <row r="6" customFormat="false" ht="15" hidden="false" customHeight="false" outlineLevel="0" collapsed="false">
      <c r="B6" s="26" t="s">
        <v>454</v>
      </c>
      <c r="C6" s="40" t="n">
        <f aca="false">2.08+4.02+3.74+4.02+5.6+3.92+3.68</f>
        <v>27.06</v>
      </c>
      <c r="D6" s="28" t="n">
        <v>8.9</v>
      </c>
      <c r="E6" s="41" t="n">
        <v>0</v>
      </c>
      <c r="F6" s="30" t="n">
        <f aca="false">(C6*D6)-((C6*D6)*E6)</f>
        <v>240.834</v>
      </c>
      <c r="H6" s="38" t="s">
        <v>323</v>
      </c>
      <c r="I6" s="39" t="n">
        <f aca="false">I5-I4</f>
        <v>0.0190000000000055</v>
      </c>
    </row>
    <row r="7" customFormat="false" ht="15" hidden="false" customHeight="false" outlineLevel="0" collapsed="false">
      <c r="B7" s="22" t="s">
        <v>455</v>
      </c>
      <c r="C7" s="42" t="n">
        <f aca="false">1.98+3.82+1.99+2.05+2.04+3.46+3.86</f>
        <v>19.2</v>
      </c>
      <c r="D7" s="16" t="n">
        <v>8.9</v>
      </c>
      <c r="E7" s="43" t="n">
        <v>0</v>
      </c>
      <c r="F7" s="14" t="n">
        <f aca="false">(C7*D7)-((C7*D7)*E7)</f>
        <v>170.88</v>
      </c>
    </row>
    <row r="8" customFormat="false" ht="15" hidden="false" customHeight="false" outlineLevel="0" collapsed="false">
      <c r="B8" s="26" t="s">
        <v>456</v>
      </c>
      <c r="C8" s="40" t="n">
        <f aca="false">6.3+8.14+6+8.44+8.2+6.3</f>
        <v>43.38</v>
      </c>
      <c r="D8" s="28" t="n">
        <v>27.9</v>
      </c>
      <c r="E8" s="41" t="n">
        <v>0</v>
      </c>
      <c r="F8" s="30" t="n">
        <f aca="false">(C8*D8)-((C8*D8)*E8)</f>
        <v>1210.302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457</v>
      </c>
      <c r="C9" s="42" t="n">
        <v>3.62</v>
      </c>
      <c r="D9" s="16" t="n">
        <v>3.75</v>
      </c>
      <c r="E9" s="43" t="n">
        <v>0</v>
      </c>
      <c r="F9" s="14" t="n">
        <f aca="false">(C9*D9)-((C9*D9)*E9)</f>
        <v>13.575</v>
      </c>
      <c r="H9" s="23" t="s">
        <v>280</v>
      </c>
      <c r="I9" s="14" t="n">
        <v>211.9</v>
      </c>
      <c r="J9" s="24" t="n">
        <v>0.1</v>
      </c>
    </row>
    <row r="10" customFormat="false" ht="15" hidden="false" customHeight="false" outlineLevel="0" collapsed="false">
      <c r="H10" s="23" t="s">
        <v>281</v>
      </c>
      <c r="I10" s="14" t="n">
        <v>262.89</v>
      </c>
      <c r="J10" s="24" t="n">
        <v>0.1</v>
      </c>
    </row>
    <row r="11" customFormat="false" ht="15" hidden="false" customHeight="false" outlineLevel="0" collapsed="false">
      <c r="H11" s="23"/>
      <c r="I11" s="14" t="n">
        <v>67.29</v>
      </c>
      <c r="J11" s="24" t="n">
        <v>0.1</v>
      </c>
    </row>
    <row r="12" customFormat="false" ht="15" hidden="false" customHeight="false" outlineLevel="0" collapsed="false">
      <c r="H12" s="23" t="s">
        <v>282</v>
      </c>
      <c r="I12" s="14" t="n">
        <v>220.89</v>
      </c>
      <c r="J12" s="24" t="n">
        <v>0.1</v>
      </c>
    </row>
    <row r="13" customFormat="false" ht="15" hidden="false" customHeight="false" outlineLevel="0" collapsed="false">
      <c r="H13" s="23" t="s">
        <v>283</v>
      </c>
      <c r="I13" s="14" t="n">
        <v>303.57</v>
      </c>
      <c r="J13" s="24" t="n">
        <v>0.1</v>
      </c>
    </row>
    <row r="14" customFormat="false" ht="15" hidden="false" customHeight="false" outlineLevel="0" collapsed="false">
      <c r="H14" s="23" t="s">
        <v>284</v>
      </c>
      <c r="I14" s="14" t="n">
        <v>53.05</v>
      </c>
      <c r="J14" s="24" t="n">
        <v>0.1</v>
      </c>
    </row>
    <row r="15" customFormat="false" ht="15" hidden="false" customHeight="false" outlineLevel="0" collapsed="false">
      <c r="H15" s="23" t="s">
        <v>285</v>
      </c>
      <c r="I15" s="14" t="n">
        <v>292.32</v>
      </c>
      <c r="J15" s="24" t="n">
        <v>0.1</v>
      </c>
    </row>
    <row r="16" customFormat="false" ht="15" hidden="false" customHeight="false" outlineLevel="0" collapsed="false">
      <c r="H16" s="23" t="s">
        <v>286</v>
      </c>
      <c r="I16" s="14" t="n">
        <v>223.7</v>
      </c>
      <c r="J16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533.736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533.74</v>
      </c>
    </row>
    <row r="6" customFormat="false" ht="15" hidden="false" customHeight="false" outlineLevel="0" collapsed="false">
      <c r="B6" s="26" t="s">
        <v>458</v>
      </c>
      <c r="C6" s="40" t="n">
        <f aca="false">10.34+10.84</f>
        <v>21.18</v>
      </c>
      <c r="D6" s="28" t="n">
        <v>25.2</v>
      </c>
      <c r="E6" s="41" t="n">
        <v>0</v>
      </c>
      <c r="F6" s="30" t="n">
        <f aca="false">(C6*D6)-((C6*D6)*E6)</f>
        <v>533.736</v>
      </c>
      <c r="H6" s="38" t="s">
        <v>323</v>
      </c>
      <c r="I6" s="39" t="n">
        <f aca="false">I5-I4</f>
        <v>0.0040000000000191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287</v>
      </c>
      <c r="I9" s="14" t="n">
        <v>260.57</v>
      </c>
      <c r="J9" s="24" t="n">
        <v>0.1</v>
      </c>
    </row>
    <row r="10" customFormat="false" ht="15" hidden="false" customHeight="false" outlineLevel="0" collapsed="false">
      <c r="H10" s="23" t="s">
        <v>288</v>
      </c>
      <c r="I10" s="14" t="n">
        <v>273.17</v>
      </c>
      <c r="J10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3291.3008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3291.32</v>
      </c>
    </row>
    <row r="6" customFormat="false" ht="15" hidden="false" customHeight="false" outlineLevel="0" collapsed="false">
      <c r="B6" s="26" t="s">
        <v>459</v>
      </c>
      <c r="C6" s="40" t="n">
        <v>18</v>
      </c>
      <c r="D6" s="28" t="n">
        <v>11.85</v>
      </c>
      <c r="E6" s="41" t="n">
        <v>0.04</v>
      </c>
      <c r="F6" s="30" t="n">
        <f aca="false">(C6*D6)-((C6*D6)*E6)</f>
        <v>204.768</v>
      </c>
      <c r="H6" s="38" t="s">
        <v>323</v>
      </c>
      <c r="I6" s="39" t="n">
        <f aca="false">I5-I4</f>
        <v>0.0192000000001826</v>
      </c>
    </row>
    <row r="7" customFormat="false" ht="15" hidden="false" customHeight="false" outlineLevel="0" collapsed="false">
      <c r="B7" s="22" t="s">
        <v>460</v>
      </c>
      <c r="C7" s="42" t="n">
        <v>1</v>
      </c>
      <c r="D7" s="16" t="n">
        <v>19.98</v>
      </c>
      <c r="E7" s="43" t="n">
        <v>0.04</v>
      </c>
      <c r="F7" s="14" t="n">
        <f aca="false">(C7*D7)-((C7*D7)*E7)</f>
        <v>19.1808</v>
      </c>
    </row>
    <row r="8" customFormat="false" ht="15" hidden="false" customHeight="false" outlineLevel="0" collapsed="false">
      <c r="B8" s="26" t="s">
        <v>461</v>
      </c>
      <c r="C8" s="40" t="n">
        <v>8</v>
      </c>
      <c r="D8" s="28" t="n">
        <v>11.17</v>
      </c>
      <c r="E8" s="41" t="n">
        <v>0.04</v>
      </c>
      <c r="F8" s="30" t="n">
        <f aca="false">(C8*D8)-((C8*D8)*E8)</f>
        <v>85.7856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462</v>
      </c>
      <c r="C9" s="42" t="n">
        <v>4</v>
      </c>
      <c r="D9" s="16" t="n">
        <v>11.55</v>
      </c>
      <c r="E9" s="43" t="n">
        <v>0.04</v>
      </c>
      <c r="F9" s="14" t="n">
        <f aca="false">(C9*D9)-((C9*D9)*E9)</f>
        <v>44.352</v>
      </c>
      <c r="H9" s="23" t="s">
        <v>289</v>
      </c>
      <c r="I9" s="14" t="n">
        <v>1389.49</v>
      </c>
      <c r="J9" s="24" t="n">
        <v>0.21</v>
      </c>
    </row>
    <row r="10" customFormat="false" ht="15" hidden="false" customHeight="false" outlineLevel="0" collapsed="false">
      <c r="B10" s="26" t="s">
        <v>463</v>
      </c>
      <c r="C10" s="40" t="n">
        <v>18</v>
      </c>
      <c r="D10" s="28" t="n">
        <v>12.3</v>
      </c>
      <c r="E10" s="41" t="n">
        <v>0.04</v>
      </c>
      <c r="F10" s="30" t="n">
        <f aca="false">(C10*D10)-((C10*D10)*E10)</f>
        <v>212.544</v>
      </c>
      <c r="H10" s="23" t="s">
        <v>290</v>
      </c>
      <c r="I10" s="14" t="n">
        <v>963.55</v>
      </c>
      <c r="J10" s="24" t="n">
        <v>0.21</v>
      </c>
    </row>
    <row r="11" customFormat="false" ht="15" hidden="false" customHeight="false" outlineLevel="0" collapsed="false">
      <c r="B11" s="22" t="s">
        <v>464</v>
      </c>
      <c r="C11" s="42" t="n">
        <v>4</v>
      </c>
      <c r="D11" s="16" t="n">
        <v>14.2</v>
      </c>
      <c r="E11" s="43" t="n">
        <v>0.04</v>
      </c>
      <c r="F11" s="14" t="n">
        <f aca="false">(C11*D11)-((C11*D11)*E11)</f>
        <v>54.528</v>
      </c>
      <c r="H11" s="23" t="s">
        <v>291</v>
      </c>
      <c r="I11" s="14" t="n">
        <v>152.52</v>
      </c>
      <c r="J11" s="24" t="n">
        <v>0.21</v>
      </c>
    </row>
    <row r="12" customFormat="false" ht="15" hidden="false" customHeight="false" outlineLevel="0" collapsed="false">
      <c r="B12" s="26" t="s">
        <v>465</v>
      </c>
      <c r="C12" s="40" t="n">
        <v>10</v>
      </c>
      <c r="D12" s="28" t="n">
        <v>11.66</v>
      </c>
      <c r="E12" s="41" t="n">
        <v>0.04</v>
      </c>
      <c r="F12" s="30" t="n">
        <f aca="false">(C12*D12)-((C12*D12)*E12)</f>
        <v>111.936</v>
      </c>
      <c r="H12" s="23" t="s">
        <v>292</v>
      </c>
      <c r="I12" s="14" t="n">
        <v>456.92</v>
      </c>
      <c r="J12" s="24" t="n">
        <v>0.21</v>
      </c>
    </row>
    <row r="13" customFormat="false" ht="15" hidden="false" customHeight="false" outlineLevel="0" collapsed="false">
      <c r="B13" s="22" t="s">
        <v>466</v>
      </c>
      <c r="C13" s="42" t="n">
        <v>1</v>
      </c>
      <c r="D13" s="16" t="n">
        <v>19.93</v>
      </c>
      <c r="E13" s="43" t="n">
        <v>0.04</v>
      </c>
      <c r="F13" s="14" t="n">
        <f aca="false">(C13*D13)-((C13*D13)*E13)</f>
        <v>19.1328</v>
      </c>
      <c r="H13" s="23" t="s">
        <v>293</v>
      </c>
      <c r="I13" s="14" t="n">
        <v>328.84</v>
      </c>
      <c r="J13" s="24" t="n">
        <v>0.21</v>
      </c>
    </row>
    <row r="14" customFormat="false" ht="15" hidden="false" customHeight="false" outlineLevel="0" collapsed="false">
      <c r="B14" s="26" t="s">
        <v>467</v>
      </c>
      <c r="C14" s="40" t="n">
        <v>2</v>
      </c>
      <c r="D14" s="28" t="n">
        <v>23.03</v>
      </c>
      <c r="E14" s="41" t="n">
        <v>0.04</v>
      </c>
      <c r="F14" s="30" t="n">
        <f aca="false">(C14*D14)-((C14*D14)*E14)</f>
        <v>44.2176</v>
      </c>
    </row>
    <row r="15" customFormat="false" ht="15" hidden="false" customHeight="false" outlineLevel="0" collapsed="false">
      <c r="B15" s="22" t="s">
        <v>468</v>
      </c>
      <c r="C15" s="42" t="n">
        <v>12</v>
      </c>
      <c r="D15" s="16" t="n">
        <v>5.03</v>
      </c>
      <c r="E15" s="43" t="n">
        <v>0.04</v>
      </c>
      <c r="F15" s="14" t="n">
        <f aca="false">(C15*D15)-((C15*D15)*E15)</f>
        <v>57.9456</v>
      </c>
    </row>
    <row r="16" customFormat="false" ht="15" hidden="false" customHeight="false" outlineLevel="0" collapsed="false">
      <c r="B16" s="26" t="s">
        <v>469</v>
      </c>
      <c r="C16" s="40" t="n">
        <v>3</v>
      </c>
      <c r="D16" s="28" t="n">
        <v>15.6</v>
      </c>
      <c r="E16" s="41" t="n">
        <v>0.04</v>
      </c>
      <c r="F16" s="30" t="n">
        <f aca="false">(C16*D16)-((C16*D16)*E16)</f>
        <v>44.928</v>
      </c>
    </row>
    <row r="17" customFormat="false" ht="15" hidden="false" customHeight="false" outlineLevel="0" collapsed="false">
      <c r="B17" s="22" t="s">
        <v>470</v>
      </c>
      <c r="C17" s="42" t="n">
        <v>2</v>
      </c>
      <c r="D17" s="16" t="n">
        <v>11.13</v>
      </c>
      <c r="E17" s="43" t="n">
        <v>0.04</v>
      </c>
      <c r="F17" s="14" t="n">
        <f aca="false">(C17*D17)-((C17*D17)*E17)</f>
        <v>21.3696</v>
      </c>
    </row>
    <row r="18" customFormat="false" ht="15" hidden="false" customHeight="false" outlineLevel="0" collapsed="false">
      <c r="B18" s="26" t="s">
        <v>471</v>
      </c>
      <c r="C18" s="40" t="n">
        <v>3</v>
      </c>
      <c r="D18" s="28" t="n">
        <v>19.9</v>
      </c>
      <c r="E18" s="41" t="n">
        <v>0.04</v>
      </c>
      <c r="F18" s="30" t="n">
        <f aca="false">(C18*D18)-((C18*D18)*E18)</f>
        <v>57.312</v>
      </c>
    </row>
    <row r="19" customFormat="false" ht="15" hidden="false" customHeight="false" outlineLevel="0" collapsed="false">
      <c r="B19" s="22" t="s">
        <v>472</v>
      </c>
      <c r="C19" s="42" t="n">
        <v>3</v>
      </c>
      <c r="D19" s="16" t="n">
        <v>13.73</v>
      </c>
      <c r="E19" s="43" t="n">
        <v>0.04</v>
      </c>
      <c r="F19" s="14" t="n">
        <f aca="false">(C19*D19)-((C19*D19)*E19)</f>
        <v>39.5424</v>
      </c>
    </row>
    <row r="20" customFormat="false" ht="15" hidden="false" customHeight="false" outlineLevel="0" collapsed="false">
      <c r="B20" s="26" t="s">
        <v>473</v>
      </c>
      <c r="C20" s="40" t="n">
        <v>6</v>
      </c>
      <c r="D20" s="28" t="n">
        <v>18.81</v>
      </c>
      <c r="E20" s="41" t="n">
        <v>0.04</v>
      </c>
      <c r="F20" s="30" t="n">
        <f aca="false">(C20*D20)-((C20*D20)*E20)</f>
        <v>108.3456</v>
      </c>
    </row>
    <row r="21" customFormat="false" ht="15" hidden="false" customHeight="false" outlineLevel="0" collapsed="false">
      <c r="B21" s="22" t="s">
        <v>474</v>
      </c>
      <c r="C21" s="42" t="n">
        <v>1</v>
      </c>
      <c r="D21" s="16" t="n">
        <v>15.1</v>
      </c>
      <c r="E21" s="43" t="n">
        <v>0.04</v>
      </c>
      <c r="F21" s="14" t="n">
        <f aca="false">(C21*D21)-((C21*D21)*E21)</f>
        <v>14.496</v>
      </c>
    </row>
    <row r="22" customFormat="false" ht="15" hidden="false" customHeight="false" outlineLevel="0" collapsed="false">
      <c r="B22" s="26" t="s">
        <v>475</v>
      </c>
      <c r="C22" s="40" t="n">
        <v>12</v>
      </c>
      <c r="D22" s="28" t="n">
        <v>22.31</v>
      </c>
      <c r="E22" s="41" t="n">
        <v>0.04</v>
      </c>
      <c r="F22" s="30" t="n">
        <f aca="false">(C22*D22)-((C22*D22)*E22)</f>
        <v>257.0112</v>
      </c>
    </row>
    <row r="23" customFormat="false" ht="15" hidden="false" customHeight="false" outlineLevel="0" collapsed="false">
      <c r="B23" s="22" t="s">
        <v>476</v>
      </c>
      <c r="C23" s="42" t="n">
        <v>21</v>
      </c>
      <c r="D23" s="16" t="n">
        <v>11.96</v>
      </c>
      <c r="E23" s="43" t="n">
        <v>0.04</v>
      </c>
      <c r="F23" s="14" t="n">
        <f aca="false">(C23*D23)-((C23*D23)*E23)</f>
        <v>241.1136</v>
      </c>
    </row>
    <row r="24" customFormat="false" ht="15" hidden="false" customHeight="false" outlineLevel="0" collapsed="false">
      <c r="B24" s="26" t="s">
        <v>477</v>
      </c>
      <c r="C24" s="40" t="n">
        <v>5</v>
      </c>
      <c r="D24" s="28" t="n">
        <v>13.66</v>
      </c>
      <c r="E24" s="41" t="n">
        <v>0.04</v>
      </c>
      <c r="F24" s="30" t="n">
        <f aca="false">(C24*D24)-((C24*D24)*E24)</f>
        <v>65.568</v>
      </c>
    </row>
    <row r="25" customFormat="false" ht="15" hidden="false" customHeight="false" outlineLevel="0" collapsed="false">
      <c r="B25" s="22" t="s">
        <v>478</v>
      </c>
      <c r="C25" s="42" t="n">
        <v>5</v>
      </c>
      <c r="D25" s="16" t="n">
        <v>12.68</v>
      </c>
      <c r="E25" s="43" t="n">
        <v>0.04</v>
      </c>
      <c r="F25" s="14" t="n">
        <f aca="false">(C25*D25)-((C25*D25)*E25)</f>
        <v>60.864</v>
      </c>
    </row>
    <row r="26" customFormat="false" ht="15" hidden="false" customHeight="false" outlineLevel="0" collapsed="false">
      <c r="B26" s="26" t="s">
        <v>479</v>
      </c>
      <c r="C26" s="40" t="n">
        <v>2</v>
      </c>
      <c r="D26" s="28" t="n">
        <v>10.32</v>
      </c>
      <c r="E26" s="41" t="n">
        <v>0.04</v>
      </c>
      <c r="F26" s="30" t="n">
        <f aca="false">(C26*D26)-((C26*D26)*E26)</f>
        <v>19.8144</v>
      </c>
    </row>
    <row r="27" customFormat="false" ht="15" hidden="false" customHeight="false" outlineLevel="0" collapsed="false">
      <c r="B27" s="22" t="s">
        <v>480</v>
      </c>
      <c r="C27" s="42" t="n">
        <v>6</v>
      </c>
      <c r="D27" s="16" t="n">
        <v>12.12</v>
      </c>
      <c r="E27" s="43" t="n">
        <v>0.04</v>
      </c>
      <c r="F27" s="14" t="n">
        <f aca="false">(C27*D27)-((C27*D27)*E27)</f>
        <v>69.8112</v>
      </c>
    </row>
    <row r="28" customFormat="false" ht="15" hidden="false" customHeight="false" outlineLevel="0" collapsed="false">
      <c r="B28" s="26" t="s">
        <v>481</v>
      </c>
      <c r="C28" s="40" t="n">
        <v>1</v>
      </c>
      <c r="D28" s="28" t="n">
        <v>14.57</v>
      </c>
      <c r="E28" s="41" t="n">
        <v>0.04</v>
      </c>
      <c r="F28" s="30" t="n">
        <f aca="false">(C28*D28)-((C28*D28)*E28)</f>
        <v>13.9872</v>
      </c>
    </row>
    <row r="29" customFormat="false" ht="15" hidden="false" customHeight="false" outlineLevel="0" collapsed="false">
      <c r="B29" s="22" t="s">
        <v>482</v>
      </c>
      <c r="C29" s="42" t="n">
        <v>3</v>
      </c>
      <c r="D29" s="16" t="n">
        <v>56.01</v>
      </c>
      <c r="E29" s="43" t="n">
        <v>0.04</v>
      </c>
      <c r="F29" s="14" t="n">
        <f aca="false">(C29*D29)-((C29*D29)*E29)</f>
        <v>161.3088</v>
      </c>
    </row>
    <row r="30" customFormat="false" ht="15" hidden="false" customHeight="false" outlineLevel="0" collapsed="false">
      <c r="B30" s="26" t="s">
        <v>483</v>
      </c>
      <c r="C30" s="40" t="n">
        <v>2</v>
      </c>
      <c r="D30" s="28" t="n">
        <v>55.17</v>
      </c>
      <c r="E30" s="41" t="n">
        <v>0.04</v>
      </c>
      <c r="F30" s="30" t="n">
        <f aca="false">(C30*D30)-((C30*D30)*E30)</f>
        <v>105.9264</v>
      </c>
    </row>
    <row r="31" customFormat="false" ht="15" hidden="false" customHeight="false" outlineLevel="0" collapsed="false">
      <c r="B31" s="22" t="s">
        <v>484</v>
      </c>
      <c r="C31" s="42" t="n">
        <v>12</v>
      </c>
      <c r="D31" s="16" t="n">
        <v>12.1</v>
      </c>
      <c r="E31" s="43" t="n">
        <v>0.04</v>
      </c>
      <c r="F31" s="14" t="n">
        <f aca="false">(C31*D31)-((C31*D31)*E31)</f>
        <v>139.392</v>
      </c>
    </row>
    <row r="32" customFormat="false" ht="15" hidden="false" customHeight="false" outlineLevel="0" collapsed="false">
      <c r="B32" s="26" t="s">
        <v>485</v>
      </c>
      <c r="C32" s="40" t="n">
        <v>6</v>
      </c>
      <c r="D32" s="28" t="n">
        <v>72.48</v>
      </c>
      <c r="E32" s="41" t="n">
        <v>0.04</v>
      </c>
      <c r="F32" s="30" t="n">
        <f aca="false">(C32*D32)-((C32*D32)*E32)</f>
        <v>417.4848</v>
      </c>
    </row>
    <row r="33" customFormat="false" ht="15" hidden="false" customHeight="false" outlineLevel="0" collapsed="false">
      <c r="B33" s="22" t="s">
        <v>486</v>
      </c>
      <c r="C33" s="42" t="n">
        <v>3</v>
      </c>
      <c r="D33" s="16" t="n">
        <v>11.35</v>
      </c>
      <c r="E33" s="43" t="n">
        <v>0.04</v>
      </c>
      <c r="F33" s="14" t="n">
        <f aca="false">(C33*D33)-((C33*D33)*E33)</f>
        <v>32.688</v>
      </c>
    </row>
    <row r="34" customFormat="false" ht="15" hidden="false" customHeight="false" outlineLevel="0" collapsed="false">
      <c r="B34" s="26" t="s">
        <v>487</v>
      </c>
      <c r="C34" s="40" t="n">
        <f aca="false">24+12</f>
        <v>36</v>
      </c>
      <c r="D34" s="28" t="n">
        <v>13.38</v>
      </c>
      <c r="E34" s="41" t="n">
        <v>0.04</v>
      </c>
      <c r="F34" s="30" t="n">
        <f aca="false">(C34*D34)-((C34*D34)*E34)</f>
        <v>462.4128</v>
      </c>
    </row>
    <row r="35" customFormat="false" ht="15" hidden="false" customHeight="false" outlineLevel="0" collapsed="false">
      <c r="B35" s="22" t="s">
        <v>488</v>
      </c>
      <c r="C35" s="42" t="n">
        <v>5</v>
      </c>
      <c r="D35" s="16" t="n">
        <v>1</v>
      </c>
      <c r="E35" s="43" t="n">
        <v>0</v>
      </c>
      <c r="F35" s="14" t="n">
        <f aca="false">(C35*D35)-((C35*D35)*E35)</f>
        <v>5</v>
      </c>
    </row>
    <row r="36" customFormat="false" ht="15" hidden="false" customHeight="false" outlineLevel="0" collapsed="false">
      <c r="B36" s="26" t="s">
        <v>489</v>
      </c>
      <c r="C36" s="40" t="n">
        <v>2</v>
      </c>
      <c r="D36" s="28" t="n">
        <v>15.96</v>
      </c>
      <c r="E36" s="41" t="n">
        <v>0.04</v>
      </c>
      <c r="F36" s="30" t="n">
        <f aca="false">(C36*D36)-((C36*D36)*E36)</f>
        <v>30.6432</v>
      </c>
    </row>
    <row r="37" customFormat="false" ht="15" hidden="false" customHeight="false" outlineLevel="0" collapsed="false">
      <c r="B37" s="22" t="s">
        <v>490</v>
      </c>
      <c r="C37" s="42" t="n">
        <v>2</v>
      </c>
      <c r="D37" s="16" t="n">
        <v>8.36</v>
      </c>
      <c r="E37" s="43" t="n">
        <v>0.04</v>
      </c>
      <c r="F37" s="14" t="n">
        <f aca="false">(C37*D37)-((C37*D37)*E37)</f>
        <v>16.0512</v>
      </c>
    </row>
    <row r="38" customFormat="false" ht="15" hidden="false" customHeight="false" outlineLevel="0" collapsed="false">
      <c r="B38" s="26" t="s">
        <v>491</v>
      </c>
      <c r="C38" s="40" t="n">
        <v>1</v>
      </c>
      <c r="D38" s="28" t="n">
        <v>24</v>
      </c>
      <c r="E38" s="41" t="n">
        <v>0.04</v>
      </c>
      <c r="F38" s="30" t="n">
        <f aca="false">(C38*D38)-((C38*D38)*E38)</f>
        <v>23.04</v>
      </c>
    </row>
    <row r="39" customFormat="false" ht="15" hidden="false" customHeight="false" outlineLevel="0" collapsed="false">
      <c r="B39" s="22" t="s">
        <v>492</v>
      </c>
      <c r="C39" s="42" t="n">
        <v>1</v>
      </c>
      <c r="D39" s="16" t="n">
        <v>38.4</v>
      </c>
      <c r="E39" s="43" t="n">
        <v>0.25</v>
      </c>
      <c r="F39" s="14" t="n">
        <f aca="false">(C39*D39)-((C39*D39)*E39)</f>
        <v>28.8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584.97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584.97</v>
      </c>
    </row>
    <row r="6" customFormat="false" ht="15" hidden="false" customHeight="false" outlineLevel="0" collapsed="false">
      <c r="B6" s="26" t="s">
        <v>493</v>
      </c>
      <c r="C6" s="40" t="n">
        <f aca="false">6+10.5+6.085+10+10.075+6+6.53+6.035+6+6+6.2+6+6+6.07</f>
        <v>97.495</v>
      </c>
      <c r="D6" s="28" t="n">
        <v>6</v>
      </c>
      <c r="E6" s="41" t="n">
        <v>0</v>
      </c>
      <c r="F6" s="30" t="n">
        <f aca="false">(C6*D6)-((C6*D6)*E6)</f>
        <v>584.97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260</v>
      </c>
      <c r="I9" s="14" t="n">
        <v>36</v>
      </c>
      <c r="J9" s="24" t="n">
        <v>0.04</v>
      </c>
    </row>
    <row r="10" customFormat="false" ht="15" hidden="false" customHeight="false" outlineLevel="0" collapsed="false">
      <c r="H10" s="23" t="s">
        <v>262</v>
      </c>
      <c r="I10" s="14" t="n">
        <v>63</v>
      </c>
      <c r="J10" s="24" t="n">
        <v>0.04</v>
      </c>
    </row>
    <row r="11" customFormat="false" ht="15" hidden="false" customHeight="false" outlineLevel="0" collapsed="false">
      <c r="H11" s="23" t="s">
        <v>177</v>
      </c>
      <c r="I11" s="14" t="n">
        <v>36.51</v>
      </c>
      <c r="J11" s="24" t="n">
        <v>0.04</v>
      </c>
    </row>
    <row r="12" customFormat="false" ht="15" hidden="false" customHeight="false" outlineLevel="0" collapsed="false">
      <c r="H12" s="23" t="s">
        <v>263</v>
      </c>
      <c r="I12" s="14" t="n">
        <v>60</v>
      </c>
      <c r="J12" s="24" t="n">
        <v>0.04</v>
      </c>
    </row>
    <row r="13" customFormat="false" ht="15" hidden="false" customHeight="false" outlineLevel="0" collapsed="false">
      <c r="H13" s="23" t="s">
        <v>178</v>
      </c>
      <c r="I13" s="14" t="n">
        <v>60.45</v>
      </c>
      <c r="J13" s="24" t="n">
        <v>0.04</v>
      </c>
    </row>
    <row r="14" customFormat="false" ht="15" hidden="false" customHeight="false" outlineLevel="0" collapsed="false">
      <c r="H14" s="23" t="s">
        <v>494</v>
      </c>
      <c r="I14" s="14" t="n">
        <v>36</v>
      </c>
      <c r="J14" s="24" t="n">
        <v>0.04</v>
      </c>
    </row>
    <row r="15" customFormat="false" ht="15" hidden="false" customHeight="false" outlineLevel="0" collapsed="false">
      <c r="H15" s="23" t="s">
        <v>267</v>
      </c>
      <c r="I15" s="14" t="n">
        <v>39.18</v>
      </c>
      <c r="J15" s="24" t="n">
        <v>0.04</v>
      </c>
    </row>
    <row r="16" customFormat="false" ht="15" hidden="false" customHeight="false" outlineLevel="0" collapsed="false">
      <c r="H16" s="23" t="s">
        <v>268</v>
      </c>
      <c r="I16" s="14" t="n">
        <v>36.21</v>
      </c>
      <c r="J16" s="24" t="n">
        <v>0.04</v>
      </c>
    </row>
    <row r="17" customFormat="false" ht="15" hidden="false" customHeight="false" outlineLevel="0" collapsed="false">
      <c r="H17" s="23" t="s">
        <v>270</v>
      </c>
      <c r="I17" s="14" t="n">
        <v>36</v>
      </c>
      <c r="J17" s="24" t="n">
        <v>0.04</v>
      </c>
    </row>
    <row r="18" customFormat="false" ht="15" hidden="false" customHeight="false" outlineLevel="0" collapsed="false">
      <c r="H18" s="23" t="s">
        <v>275</v>
      </c>
      <c r="I18" s="14" t="n">
        <v>36</v>
      </c>
      <c r="J18" s="24" t="n">
        <v>0.04</v>
      </c>
    </row>
    <row r="19" customFormat="false" ht="15" hidden="false" customHeight="false" outlineLevel="0" collapsed="false">
      <c r="H19" s="23" t="s">
        <v>277</v>
      </c>
      <c r="I19" s="14" t="n">
        <v>37.2</v>
      </c>
      <c r="J19" s="24" t="n">
        <v>0.04</v>
      </c>
    </row>
    <row r="20" customFormat="false" ht="15" hidden="false" customHeight="false" outlineLevel="0" collapsed="false">
      <c r="H20" s="23" t="s">
        <v>278</v>
      </c>
      <c r="I20" s="14" t="n">
        <v>36</v>
      </c>
      <c r="J20" s="24" t="n">
        <v>0.04</v>
      </c>
    </row>
    <row r="21" customFormat="false" ht="15" hidden="false" customHeight="false" outlineLevel="0" collapsed="false">
      <c r="H21" s="23" t="s">
        <v>279</v>
      </c>
      <c r="I21" s="14" t="n">
        <v>36</v>
      </c>
      <c r="J21" s="24" t="n">
        <v>0.04</v>
      </c>
    </row>
    <row r="22" customFormat="false" ht="15" hidden="false" customHeight="false" outlineLevel="0" collapsed="false">
      <c r="H22" s="23" t="s">
        <v>272</v>
      </c>
      <c r="I22" s="14" t="n">
        <v>36.42</v>
      </c>
      <c r="J22" s="24" t="n">
        <v>0.04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270.4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270.4</v>
      </c>
    </row>
    <row r="6" customFormat="false" ht="15" hidden="false" customHeight="false" outlineLevel="0" collapsed="false">
      <c r="B6" s="26" t="s">
        <v>495</v>
      </c>
      <c r="C6" s="40" t="n">
        <v>10.4</v>
      </c>
      <c r="D6" s="28" t="n">
        <v>26</v>
      </c>
      <c r="E6" s="41" t="n">
        <v>0</v>
      </c>
      <c r="F6" s="30" t="n">
        <f aca="false">(C6*D6)-((C6*D6)*E6)</f>
        <v>270.4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294</v>
      </c>
      <c r="I9" s="14" t="n">
        <v>270.4</v>
      </c>
      <c r="J9" s="24" t="n">
        <v>0.1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202.8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202.8</v>
      </c>
    </row>
    <row r="6" customFormat="false" ht="15" hidden="false" customHeight="false" outlineLevel="0" collapsed="false">
      <c r="B6" s="26" t="s">
        <v>496</v>
      </c>
      <c r="C6" s="40" t="n">
        <v>12</v>
      </c>
      <c r="D6" s="28" t="n">
        <v>16.9</v>
      </c>
      <c r="E6" s="41" t="n">
        <v>0</v>
      </c>
      <c r="F6" s="30" t="n">
        <f aca="false">(C6*D6)-((C6*D6)*E6)</f>
        <v>202.8</v>
      </c>
      <c r="H6" s="38" t="s">
        <v>323</v>
      </c>
      <c r="I6" s="39" t="n">
        <f aca="false">I5-I4</f>
        <v>0</v>
      </c>
    </row>
    <row r="8" customFormat="false" ht="15" hidden="false" customHeight="false" outlineLevel="0" collapsed="false"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H9" s="23" t="s">
        <v>295</v>
      </c>
      <c r="I9" s="14" t="n">
        <v>202.8</v>
      </c>
      <c r="J9" s="24" t="n">
        <v>0.21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B2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38.51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4.5"/>
  </cols>
  <sheetData>
    <row r="2" customFormat="false" ht="15" hidden="false" customHeight="false" outlineLevel="0" collapsed="false">
      <c r="B2" s="37" t="n">
        <v>46204</v>
      </c>
      <c r="C2" s="37"/>
      <c r="D2" s="37"/>
      <c r="E2" s="37"/>
      <c r="F2" s="37"/>
    </row>
    <row r="3" customFormat="false" ht="15" hidden="false" customHeight="false" outlineLevel="0" collapsed="false">
      <c r="B3" s="37"/>
      <c r="C3" s="37"/>
      <c r="D3" s="37"/>
      <c r="E3" s="37"/>
      <c r="F3" s="37"/>
    </row>
    <row r="4" customFormat="false" ht="15" hidden="false" customHeight="false" outlineLevel="0" collapsed="false">
      <c r="H4" s="38" t="s">
        <v>59</v>
      </c>
      <c r="I4" s="39" t="n">
        <f aca="false">SUM(F6:F300)</f>
        <v>6546.456</v>
      </c>
    </row>
    <row r="5" customFormat="false" ht="15" hidden="false" customHeight="false" outlineLevel="0" collapsed="false">
      <c r="B5" s="10" t="s">
        <v>317</v>
      </c>
      <c r="C5" s="10" t="s">
        <v>318</v>
      </c>
      <c r="D5" s="10" t="s">
        <v>319</v>
      </c>
      <c r="E5" s="10" t="s">
        <v>320</v>
      </c>
      <c r="F5" s="10" t="s">
        <v>59</v>
      </c>
      <c r="H5" s="38" t="s">
        <v>321</v>
      </c>
      <c r="I5" s="39" t="n">
        <f aca="false">SUM(I9:I300)</f>
        <v>6546.46</v>
      </c>
    </row>
    <row r="6" customFormat="false" ht="15" hidden="false" customHeight="false" outlineLevel="0" collapsed="false">
      <c r="B6" s="26" t="s">
        <v>497</v>
      </c>
      <c r="C6" s="40" t="n">
        <v>41</v>
      </c>
      <c r="D6" s="28" t="n">
        <v>26.81</v>
      </c>
      <c r="E6" s="41" t="n">
        <v>0.4</v>
      </c>
      <c r="F6" s="30" t="n">
        <f aca="false">(C6*D6)-((C6*D6)*E6)</f>
        <v>659.526</v>
      </c>
      <c r="H6" s="38" t="s">
        <v>323</v>
      </c>
      <c r="I6" s="39" t="n">
        <f aca="false">I5-I4</f>
        <v>0.00399999999990541</v>
      </c>
    </row>
    <row r="7" customFormat="false" ht="15" hidden="false" customHeight="false" outlineLevel="0" collapsed="false">
      <c r="B7" s="22" t="s">
        <v>498</v>
      </c>
      <c r="C7" s="42" t="n">
        <v>49</v>
      </c>
      <c r="D7" s="16" t="n">
        <v>12.3</v>
      </c>
      <c r="E7" s="43" t="n">
        <v>0.4</v>
      </c>
      <c r="F7" s="14" t="n">
        <f aca="false">(C7*D7)-((C7*D7)*E7)</f>
        <v>361.62</v>
      </c>
    </row>
    <row r="8" customFormat="false" ht="15" hidden="false" customHeight="false" outlineLevel="0" collapsed="false">
      <c r="B8" s="26" t="s">
        <v>499</v>
      </c>
      <c r="C8" s="40" t="n">
        <v>14</v>
      </c>
      <c r="D8" s="28" t="n">
        <v>41.92</v>
      </c>
      <c r="E8" s="41" t="n">
        <v>0</v>
      </c>
      <c r="F8" s="30" t="n">
        <f aca="false">(C8*D8)-((C8*D8)*E8)</f>
        <v>586.88</v>
      </c>
      <c r="H8" s="11" t="s">
        <v>326</v>
      </c>
      <c r="I8" s="11" t="s">
        <v>63</v>
      </c>
      <c r="J8" s="11" t="s">
        <v>327</v>
      </c>
    </row>
    <row r="9" customFormat="false" ht="15" hidden="false" customHeight="false" outlineLevel="0" collapsed="false">
      <c r="B9" s="22" t="s">
        <v>500</v>
      </c>
      <c r="C9" s="42" t="n">
        <v>3</v>
      </c>
      <c r="D9" s="16" t="n">
        <v>33.54</v>
      </c>
      <c r="E9" s="43" t="n">
        <v>0</v>
      </c>
      <c r="F9" s="14" t="n">
        <f aca="false">(C9*D9)-((C9*D9)*E9)</f>
        <v>100.62</v>
      </c>
      <c r="H9" s="23" t="s">
        <v>296</v>
      </c>
      <c r="I9" s="14" t="n">
        <v>75.45</v>
      </c>
      <c r="J9" s="24" t="n">
        <v>0.1</v>
      </c>
    </row>
    <row r="10" customFormat="false" ht="15" hidden="false" customHeight="false" outlineLevel="0" collapsed="false">
      <c r="B10" s="26" t="s">
        <v>501</v>
      </c>
      <c r="C10" s="40" t="n">
        <v>2</v>
      </c>
      <c r="D10" s="28" t="n">
        <v>33.84</v>
      </c>
      <c r="E10" s="41" t="n">
        <v>0</v>
      </c>
      <c r="F10" s="30" t="n">
        <f aca="false">(C10*D10)-((C10*D10)*E10)</f>
        <v>67.68</v>
      </c>
      <c r="H10" s="23" t="s">
        <v>296</v>
      </c>
      <c r="I10" s="14" t="n">
        <v>68.41</v>
      </c>
      <c r="J10" s="24" t="n">
        <v>0.21</v>
      </c>
    </row>
    <row r="11" customFormat="false" ht="15" hidden="false" customHeight="false" outlineLevel="0" collapsed="false">
      <c r="B11" s="22" t="s">
        <v>502</v>
      </c>
      <c r="C11" s="42" t="n">
        <v>-6</v>
      </c>
      <c r="D11" s="16" t="n">
        <v>1</v>
      </c>
      <c r="E11" s="43" t="n">
        <v>0</v>
      </c>
      <c r="F11" s="14" t="n">
        <f aca="false">(C11*D11)-((C11*D11)*E11)</f>
        <v>-6</v>
      </c>
      <c r="H11" s="23" t="s">
        <v>297</v>
      </c>
      <c r="I11" s="14" t="n">
        <v>156.75</v>
      </c>
      <c r="J11" s="24" t="n">
        <v>0.1</v>
      </c>
    </row>
    <row r="12" customFormat="false" ht="15" hidden="false" customHeight="false" outlineLevel="0" collapsed="false">
      <c r="B12" s="26" t="s">
        <v>503</v>
      </c>
      <c r="C12" s="40" t="n">
        <v>-144</v>
      </c>
      <c r="D12" s="28" t="n">
        <v>0.0708333333333333</v>
      </c>
      <c r="E12" s="41" t="n">
        <v>0</v>
      </c>
      <c r="F12" s="30" t="n">
        <f aca="false">(C12*D12)-((C12*D12)*E12)</f>
        <v>-10.2</v>
      </c>
      <c r="H12" s="23" t="s">
        <v>297</v>
      </c>
      <c r="I12" s="14" t="n">
        <v>598.88</v>
      </c>
      <c r="J12" s="24" t="n">
        <v>0.21</v>
      </c>
    </row>
    <row r="13" customFormat="false" ht="15" hidden="false" customHeight="false" outlineLevel="0" collapsed="false">
      <c r="B13" s="22" t="s">
        <v>504</v>
      </c>
      <c r="C13" s="42" t="n">
        <v>3</v>
      </c>
      <c r="D13" s="16" t="n">
        <v>20</v>
      </c>
      <c r="E13" s="43" t="n">
        <v>0</v>
      </c>
      <c r="F13" s="14" t="n">
        <f aca="false">(C13*D13)-((C13*D13)*E13)</f>
        <v>60</v>
      </c>
      <c r="H13" s="23" t="s">
        <v>298</v>
      </c>
      <c r="I13" s="14" t="n">
        <v>184.27</v>
      </c>
      <c r="J13" s="24" t="n">
        <v>0.21</v>
      </c>
    </row>
    <row r="14" customFormat="false" ht="15" hidden="false" customHeight="false" outlineLevel="0" collapsed="false">
      <c r="B14" s="26" t="s">
        <v>505</v>
      </c>
      <c r="C14" s="40" t="n">
        <v>-8</v>
      </c>
      <c r="D14" s="28" t="n">
        <v>3.14</v>
      </c>
      <c r="E14" s="41" t="n">
        <v>0</v>
      </c>
      <c r="F14" s="30" t="n">
        <f aca="false">(C14*D14)-((C14*D14)*E14)</f>
        <v>-25.12</v>
      </c>
      <c r="H14" s="23" t="s">
        <v>299</v>
      </c>
      <c r="I14" s="14" t="n">
        <v>180.34</v>
      </c>
      <c r="J14" s="24" t="n">
        <v>0.1</v>
      </c>
    </row>
    <row r="15" customFormat="false" ht="15" hidden="false" customHeight="false" outlineLevel="0" collapsed="false">
      <c r="B15" s="22" t="s">
        <v>506</v>
      </c>
      <c r="C15" s="42" t="n">
        <f aca="false">-72-72-48</f>
        <v>-192</v>
      </c>
      <c r="D15" s="16" t="n">
        <v>0.14</v>
      </c>
      <c r="E15" s="43" t="n">
        <v>0</v>
      </c>
      <c r="F15" s="14" t="n">
        <f aca="false">(C15*D15)-((C15*D15)*E15)</f>
        <v>-26.88</v>
      </c>
      <c r="H15" s="23" t="s">
        <v>299</v>
      </c>
      <c r="I15" s="14" t="n">
        <v>1256.82</v>
      </c>
      <c r="J15" s="24" t="n">
        <v>0.21</v>
      </c>
    </row>
    <row r="16" customFormat="false" ht="15" hidden="false" customHeight="false" outlineLevel="0" collapsed="false">
      <c r="B16" s="26" t="s">
        <v>507</v>
      </c>
      <c r="C16" s="40" t="n">
        <v>-4</v>
      </c>
      <c r="D16" s="28" t="n">
        <v>2.4</v>
      </c>
      <c r="E16" s="41" t="n">
        <v>0</v>
      </c>
      <c r="F16" s="30" t="n">
        <f aca="false">(C16*D16)-((C16*D16)*E16)</f>
        <v>-9.6</v>
      </c>
      <c r="H16" s="23" t="s">
        <v>300</v>
      </c>
      <c r="I16" s="14" t="n">
        <v>26.52</v>
      </c>
      <c r="J16" s="24" t="n">
        <v>0.1</v>
      </c>
    </row>
    <row r="17" customFormat="false" ht="15" hidden="false" customHeight="false" outlineLevel="0" collapsed="false">
      <c r="B17" s="22" t="s">
        <v>508</v>
      </c>
      <c r="C17" s="42" t="n">
        <f aca="false">-224+56-56+112</f>
        <v>-112</v>
      </c>
      <c r="D17" s="16" t="n">
        <f aca="false">0.1</f>
        <v>0.1</v>
      </c>
      <c r="E17" s="43" t="n">
        <v>0</v>
      </c>
      <c r="F17" s="14" t="n">
        <f aca="false">(C17*D17)-((C17*D17)*E17)</f>
        <v>-11.2</v>
      </c>
      <c r="H17" s="23" t="s">
        <v>300</v>
      </c>
      <c r="I17" s="14" t="n">
        <v>547.04</v>
      </c>
      <c r="J17" s="24" t="n">
        <v>0.21</v>
      </c>
    </row>
    <row r="18" customFormat="false" ht="15" hidden="false" customHeight="false" outlineLevel="0" collapsed="false">
      <c r="B18" s="26" t="s">
        <v>509</v>
      </c>
      <c r="C18" s="40" t="n">
        <v>0</v>
      </c>
      <c r="D18" s="28" t="n">
        <v>2.4</v>
      </c>
      <c r="E18" s="41" t="n">
        <v>0</v>
      </c>
      <c r="F18" s="30" t="n">
        <f aca="false">(C18*D18)-((C18*D18)*E18)</f>
        <v>0</v>
      </c>
      <c r="H18" s="23" t="s">
        <v>301</v>
      </c>
      <c r="I18" s="14" t="n">
        <v>148.18</v>
      </c>
      <c r="J18" s="24" t="n">
        <v>0.1</v>
      </c>
    </row>
    <row r="19" customFormat="false" ht="15" hidden="false" customHeight="false" outlineLevel="0" collapsed="false">
      <c r="B19" s="22" t="s">
        <v>510</v>
      </c>
      <c r="C19" s="42" t="n">
        <v>0</v>
      </c>
      <c r="D19" s="16" t="n">
        <v>0.1</v>
      </c>
      <c r="E19" s="43" t="n">
        <v>0</v>
      </c>
      <c r="F19" s="14" t="n">
        <f aca="false">(C19*D19)-((C19*D19)*E19)</f>
        <v>0</v>
      </c>
      <c r="H19" s="23" t="s">
        <v>301</v>
      </c>
      <c r="I19" s="14" t="n">
        <v>994.47</v>
      </c>
      <c r="J19" s="24" t="n">
        <v>0.21</v>
      </c>
    </row>
    <row r="20" customFormat="false" ht="15" hidden="false" customHeight="false" outlineLevel="0" collapsed="false">
      <c r="B20" s="26" t="s">
        <v>511</v>
      </c>
      <c r="C20" s="40" t="n">
        <v>-7</v>
      </c>
      <c r="D20" s="28" t="n">
        <v>3.31</v>
      </c>
      <c r="E20" s="41" t="n">
        <v>0</v>
      </c>
      <c r="F20" s="30" t="n">
        <f aca="false">(C20*D20)-((C20*D20)*E20)</f>
        <v>-23.17</v>
      </c>
      <c r="H20" s="23" t="s">
        <v>302</v>
      </c>
      <c r="I20" s="14" t="n">
        <v>202.48</v>
      </c>
      <c r="J20" s="24" t="n">
        <v>0.1</v>
      </c>
    </row>
    <row r="21" customFormat="false" ht="15" hidden="false" customHeight="false" outlineLevel="0" collapsed="false">
      <c r="B21" s="22" t="s">
        <v>512</v>
      </c>
      <c r="C21" s="42" t="n">
        <v>-140</v>
      </c>
      <c r="D21" s="16" t="n">
        <v>0.24</v>
      </c>
      <c r="E21" s="43" t="n">
        <v>0</v>
      </c>
      <c r="F21" s="14" t="n">
        <f aca="false">(C21*D21)-((C21*D21)*E21)</f>
        <v>-33.6</v>
      </c>
      <c r="H21" s="23" t="s">
        <v>302</v>
      </c>
      <c r="I21" s="14" t="n">
        <v>677.79</v>
      </c>
      <c r="J21" s="24" t="n">
        <v>0.21</v>
      </c>
    </row>
    <row r="22" customFormat="false" ht="15" hidden="false" customHeight="false" outlineLevel="0" collapsed="false">
      <c r="B22" s="26" t="s">
        <v>513</v>
      </c>
      <c r="C22" s="40" t="n">
        <v>3</v>
      </c>
      <c r="D22" s="28" t="n">
        <v>21.48</v>
      </c>
      <c r="E22" s="41" t="n">
        <v>0</v>
      </c>
      <c r="F22" s="30" t="n">
        <f aca="false">(C22*D22)-((C22*D22)*E22)</f>
        <v>64.44</v>
      </c>
      <c r="H22" s="23" t="s">
        <v>303</v>
      </c>
      <c r="I22" s="14" t="n">
        <v>171.64</v>
      </c>
      <c r="J22" s="24" t="n">
        <v>0.1</v>
      </c>
    </row>
    <row r="23" customFormat="false" ht="15" hidden="false" customHeight="false" outlineLevel="0" collapsed="false">
      <c r="B23" s="22" t="s">
        <v>514</v>
      </c>
      <c r="C23" s="42" t="n">
        <v>17</v>
      </c>
      <c r="D23" s="16" t="n">
        <v>24.61</v>
      </c>
      <c r="E23" s="43" t="n">
        <v>0</v>
      </c>
      <c r="F23" s="14" t="n">
        <f aca="false">(C23*D23)-((C23*D23)*E23)</f>
        <v>418.37</v>
      </c>
      <c r="H23" s="23" t="s">
        <v>303</v>
      </c>
      <c r="I23" s="14" t="n">
        <v>1257.42</v>
      </c>
      <c r="J23" s="24" t="n">
        <v>0.21</v>
      </c>
    </row>
    <row r="24" customFormat="false" ht="15" hidden="false" customHeight="false" outlineLevel="0" collapsed="false">
      <c r="B24" s="26" t="s">
        <v>515</v>
      </c>
      <c r="C24" s="40" t="n">
        <v>5</v>
      </c>
      <c r="D24" s="28" t="n">
        <v>32.88</v>
      </c>
      <c r="E24" s="41" t="n">
        <v>0</v>
      </c>
      <c r="F24" s="30" t="n">
        <f aca="false">(C24*D24)-((C24*D24)*E24)</f>
        <v>164.4</v>
      </c>
    </row>
    <row r="25" customFormat="false" ht="15" hidden="false" customHeight="false" outlineLevel="0" collapsed="false">
      <c r="B25" s="22" t="s">
        <v>516</v>
      </c>
      <c r="C25" s="42" t="n">
        <v>9</v>
      </c>
      <c r="D25" s="16" t="n">
        <v>38.3</v>
      </c>
      <c r="E25" s="43" t="n">
        <v>0</v>
      </c>
      <c r="F25" s="14" t="n">
        <f aca="false">(C25*D25)-((C25*D25)*E25)</f>
        <v>344.7</v>
      </c>
    </row>
    <row r="26" customFormat="false" ht="15" hidden="false" customHeight="false" outlineLevel="0" collapsed="false">
      <c r="B26" s="26" t="s">
        <v>517</v>
      </c>
      <c r="C26" s="40" t="n">
        <v>21</v>
      </c>
      <c r="D26" s="28" t="n">
        <v>45.52</v>
      </c>
      <c r="E26" s="41" t="n">
        <v>0</v>
      </c>
      <c r="F26" s="30" t="n">
        <f aca="false">(C26*D26)-((C26*D26)*E26)</f>
        <v>955.92</v>
      </c>
    </row>
    <row r="27" customFormat="false" ht="15" hidden="false" customHeight="false" outlineLevel="0" collapsed="false">
      <c r="B27" s="22" t="s">
        <v>518</v>
      </c>
      <c r="C27" s="42" t="n">
        <v>20</v>
      </c>
      <c r="D27" s="16" t="n">
        <v>31.26</v>
      </c>
      <c r="E27" s="43" t="n">
        <v>0</v>
      </c>
      <c r="F27" s="14" t="n">
        <f aca="false">(C27*D27)-((C27*D27)*E27)</f>
        <v>625.2</v>
      </c>
    </row>
    <row r="28" customFormat="false" ht="15" hidden="false" customHeight="false" outlineLevel="0" collapsed="false">
      <c r="B28" s="26" t="s">
        <v>519</v>
      </c>
      <c r="C28" s="40" t="n">
        <v>15</v>
      </c>
      <c r="D28" s="28" t="n">
        <v>46.21</v>
      </c>
      <c r="E28" s="41" t="n">
        <v>0</v>
      </c>
      <c r="F28" s="30" t="n">
        <f aca="false">(C28*D28)-((C28*D28)*E28)</f>
        <v>693.15</v>
      </c>
    </row>
    <row r="29" customFormat="false" ht="15" hidden="false" customHeight="false" outlineLevel="0" collapsed="false">
      <c r="B29" s="22" t="s">
        <v>520</v>
      </c>
      <c r="C29" s="42" t="n">
        <v>7</v>
      </c>
      <c r="D29" s="16" t="n">
        <v>26.04</v>
      </c>
      <c r="E29" s="43" t="n">
        <v>0</v>
      </c>
      <c r="F29" s="14" t="n">
        <f aca="false">(C29*D29)-((C29*D29)*E29)</f>
        <v>182.28</v>
      </c>
    </row>
    <row r="30" customFormat="false" ht="15" hidden="false" customHeight="false" outlineLevel="0" collapsed="false">
      <c r="B30" s="26" t="s">
        <v>521</v>
      </c>
      <c r="C30" s="40" t="n">
        <v>1</v>
      </c>
      <c r="D30" s="28" t="n">
        <v>26.04</v>
      </c>
      <c r="E30" s="41" t="n">
        <v>0</v>
      </c>
      <c r="F30" s="30" t="n">
        <f aca="false">(C30*D30)-((C30*D30)*E30)</f>
        <v>26.04</v>
      </c>
    </row>
    <row r="31" customFormat="false" ht="15" hidden="false" customHeight="false" outlineLevel="0" collapsed="false">
      <c r="B31" s="22" t="s">
        <v>522</v>
      </c>
      <c r="C31" s="42" t="n">
        <v>31</v>
      </c>
      <c r="D31" s="16" t="n">
        <v>31.92</v>
      </c>
      <c r="E31" s="43" t="n">
        <v>0</v>
      </c>
      <c r="F31" s="14" t="n">
        <f aca="false">(C31*D31)-((C31*D31)*E31)</f>
        <v>989.52</v>
      </c>
    </row>
    <row r="32" customFormat="false" ht="15" hidden="false" customHeight="false" outlineLevel="0" collapsed="false">
      <c r="B32" s="26" t="s">
        <v>523</v>
      </c>
      <c r="C32" s="40" t="n">
        <v>12</v>
      </c>
      <c r="D32" s="28" t="n">
        <v>23.28</v>
      </c>
      <c r="E32" s="41" t="n">
        <v>0</v>
      </c>
      <c r="F32" s="30" t="n">
        <f aca="false">(C32*D32)-((C32*D32)*E32)</f>
        <v>279.36</v>
      </c>
    </row>
    <row r="33" customFormat="false" ht="15" hidden="false" customHeight="false" outlineLevel="0" collapsed="false">
      <c r="B33" s="22" t="s">
        <v>524</v>
      </c>
      <c r="C33" s="42" t="n">
        <v>1</v>
      </c>
      <c r="D33" s="16" t="n">
        <v>29.91</v>
      </c>
      <c r="E33" s="43" t="n">
        <v>0</v>
      </c>
      <c r="F33" s="14" t="n">
        <f aca="false">(C33*D33)-((C33*D33)*E33)</f>
        <v>29.91</v>
      </c>
    </row>
    <row r="34" customFormat="false" ht="15" hidden="false" customHeight="false" outlineLevel="0" collapsed="false">
      <c r="B34" s="26" t="s">
        <v>525</v>
      </c>
      <c r="C34" s="40" t="n">
        <v>1</v>
      </c>
      <c r="D34" s="28" t="n">
        <v>29.91</v>
      </c>
      <c r="E34" s="41" t="n">
        <v>0</v>
      </c>
      <c r="F34" s="30" t="n">
        <f aca="false">(C34*D34)-((C34*D34)*E34)</f>
        <v>29.91</v>
      </c>
    </row>
    <row r="35" customFormat="false" ht="15" hidden="false" customHeight="false" outlineLevel="0" collapsed="false">
      <c r="B35" s="22" t="s">
        <v>526</v>
      </c>
      <c r="C35" s="42" t="n">
        <v>1</v>
      </c>
      <c r="D35" s="16" t="n">
        <v>31.92</v>
      </c>
      <c r="E35" s="43" t="n">
        <v>0</v>
      </c>
      <c r="F35" s="14" t="n">
        <f aca="false">(C35*D35)-((C35*D35)*E35)</f>
        <v>31.92</v>
      </c>
    </row>
    <row r="36" customFormat="false" ht="15" hidden="false" customHeight="false" outlineLevel="0" collapsed="false">
      <c r="B36" s="26" t="s">
        <v>527</v>
      </c>
      <c r="C36" s="40" t="n">
        <v>1</v>
      </c>
      <c r="D36" s="28" t="n">
        <f aca="false">2.95+2.04+3.95+2.98-0.38+3.31+2.95+2.98</f>
        <v>20.78</v>
      </c>
      <c r="E36" s="41" t="n">
        <v>0</v>
      </c>
      <c r="F36" s="30" t="n">
        <f aca="false">(C36*D36)-((C36*D36)*E36)</f>
        <v>20.78</v>
      </c>
    </row>
  </sheetData>
  <mergeCells count="1">
    <mergeCell ref="B2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2026-09-17T08:22:59Z</dcterms:created>
  <dc:creator>openpyxl</dc:creator>
  <dc:description/>
  <dc:language>en-US</dc:language>
  <cp:lastModifiedBy/>
  <dcterms:modified xsi:type="dcterms:W3CDTF">2026-09-17T08:22:59Z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
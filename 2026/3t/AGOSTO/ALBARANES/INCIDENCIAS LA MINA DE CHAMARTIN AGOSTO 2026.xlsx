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CIAS AGOSTO" sheetId="1" state="visible" r:id="rId3"/>
  </sheets>
  <definedNames>
    <definedName function="false" hidden="true" localSheetId="0" name="_xlnm._FilterDatabase" vbProcedure="false">'INCIDENCIAS AGOSTO'!$A$9:$I$47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<sst xmlns="http://schemas.openxmlformats.org/spreadsheetml/2006/main" count="283" uniqueCount="157">
  <si>
    <t xml:space="preserve">INCIDENCIAS — ALBARANES LA MINA DE CHAMARTÍN AGOSTO 2026</t>
  </si>
  <si>
    <t xml:space="preserve">Incluye lo pendiente de julio. Las subidas y bajadas de precio están en el Excel COMPARATIVA PRECIOS. ESTADO: PENDIENTE / REVISADO / CORREGIDO.</t>
  </si>
  <si>
    <t xml:space="preserve">Pendientes ALTA</t>
  </si>
  <si>
    <t xml:space="preserve">Subidas de precio en agosto</t>
  </si>
  <si>
    <t xml:space="preserve">Pendientes MEDIA</t>
  </si>
  <si>
    <t xml:space="preserve">Bajadas de precio en agosto</t>
  </si>
  <si>
    <t xml:space="preserve">Pendientes BAJA</t>
  </si>
  <si>
    <t xml:space="preserve">(detalle en COMPARATIVA PRECIOS LA MINA CHAMARTIN AGOSTO 2026)</t>
  </si>
  <si>
    <t xml:space="preserve">Nº</t>
  </si>
  <si>
    <t xml:space="preserve">PRIORIDAD</t>
  </si>
  <si>
    <t xml:space="preserve">MES</t>
  </si>
  <si>
    <t xml:space="preserve">PROVEEDOR</t>
  </si>
  <si>
    <t xml:space="preserve">TIPO</t>
  </si>
  <si>
    <t xml:space="preserve">DETALLE</t>
  </si>
  <si>
    <t xml:space="preserve">IMPORTE (€)</t>
  </si>
  <si>
    <t xml:space="preserve">ACCIÓN SUGERIDA</t>
  </si>
  <si>
    <t xml:space="preserve">ESTADO</t>
  </si>
  <si>
    <t xml:space="preserve">ALTA</t>
  </si>
  <si>
    <t xml:space="preserve">AGOSTO</t>
  </si>
  <si>
    <t xml:space="preserve">PESCARUM</t>
  </si>
  <si>
    <t xml:space="preserve">Suma del albarán no cuadra</t>
  </si>
  <si>
    <t xml:space="preserve">Albarán del 04/08: las líneas suman 992,87 € (pulpo 522,47; calamar 94,60; alistado 88; navaja 25; zamburiñas 155; carabinero 107,80) pero el albarán pone base 922,87 € (total 1.015,15 €). En el Excel está la base del albarán; por eso el CUADRE marca REVISAR (69,99 €).</t>
  </si>
  <si>
    <t xml:space="preserve">Reclamar a Pescarum cuál es el importe correcto y ajustar el albarán o las líneas.</t>
  </si>
  <si>
    <t xml:space="preserve">PENDIENTE</t>
  </si>
  <si>
    <t xml:space="preserve">MEDIA</t>
  </si>
  <si>
    <t xml:space="preserve">VOLDIS</t>
  </si>
  <si>
    <t xml:space="preserve">Ticket ilegible</t>
  </si>
  <si>
    <t xml:space="preserve">Ticket del 25/08 muy borroso: nº ilegible. Total 591,03 €. El desglose leído (4,38 € al 10 % y 492,44 € al 21 %) no cuadra; se ha puesto 484,47 € al 21 % para cuadrar con el total.</t>
  </si>
  <si>
    <t xml:space="preserve">Pedir copia legible y confirmar el desglose de IVA.</t>
  </si>
  <si>
    <t xml:space="preserve">Ticket del 19/08 borroso: nº y productos ilegibles. Total 350,10 € (29,52 € al 10 % + 262,50 € al 21 %).</t>
  </si>
  <si>
    <t xml:space="preserve">Pedir copia legible (nº de ticket y productos).</t>
  </si>
  <si>
    <t xml:space="preserve">CRUSTAPESCA</t>
  </si>
  <si>
    <t xml:space="preserve">Albarán sin número</t>
  </si>
  <si>
    <t xml:space="preserve">Albarán del 22/08 sin nº, a nombre "LA MINA CHAMARTIN", total 184,80 € con IVA. Nota a mano: "Retiro 5 h cola fresca".</t>
  </si>
  <si>
    <t xml:space="preserve">Pedir el nº de albarán y confirmar la retirada de producto.</t>
  </si>
  <si>
    <t xml:space="preserve">Nota de abono</t>
  </si>
  <si>
    <t xml:space="preserve">Abono 20081: cola de gambón 5 kg + ventresca 2 kg (−252,56 € con IVA). Incluido en negativo.</t>
  </si>
  <si>
    <t xml:space="preserve">Comprobar que el abono se descuenta en la factura.</t>
  </si>
  <si>
    <t xml:space="preserve">COCACOLA</t>
  </si>
  <si>
    <t xml:space="preserve">Devolución de envases</t>
  </si>
  <si>
    <t xml:space="preserve">Albarán 4536386995 de devolución (8 cajas + botellas): −46,46 € con IVA. Incluido en negativo.</t>
  </si>
  <si>
    <t xml:space="preserve">Comprobar que se descuenta en la factura.</t>
  </si>
  <si>
    <t xml:space="preserve">AGMASFOOD</t>
  </si>
  <si>
    <t xml:space="preserve">Albarán a 0 €</t>
  </si>
  <si>
    <t xml:space="preserve">Albarán 26 7151: gamba roja 1,3 kg cargada y abonada en el mismo albarán (total 0 €).</t>
  </si>
  <si>
    <t xml:space="preserve">Comprobar que no se factura.</t>
  </si>
  <si>
    <t xml:space="preserve">MANUEL AMBRES</t>
  </si>
  <si>
    <t xml:space="preserve">Producto dudoso</t>
  </si>
  <si>
    <t xml:space="preserve">Albarán 26/11925: pone "cecina premium 100 gr / black angus" a 7,35 €. En julio la black angus wagyu iba a 16 € y la cecina premium a 7,35 €.</t>
  </si>
  <si>
    <t xml:space="preserve">Confirmar el producto con el proveedor.</t>
  </si>
  <si>
    <t xml:space="preserve">ROMERO ALVAREZ</t>
  </si>
  <si>
    <t xml:space="preserve">Calidad dudosa</t>
  </si>
  <si>
    <t xml:space="preserve">Albarán SEC 270: pone "PRESA IBÉRICA" (no "100 % ibérica") al mismo precio de 25,20 €/kg.</t>
  </si>
  <si>
    <t xml:space="preserve">Confirmar la calidad servida.</t>
  </si>
  <si>
    <t xml:space="preserve">PATATAS YAGO</t>
  </si>
  <si>
    <t xml:space="preserve">Cantidad dudosa</t>
  </si>
  <si>
    <t xml:space="preserve">Albarán 696: pone "2 SACO MONALISA" pero son 30 kg a 0,88 €/kg (el resto del mes a 0,93). Pasó lo mismo en julio (alb. 499).</t>
  </si>
  <si>
    <t xml:space="preserve">Confirmar kilos y precio.</t>
  </si>
  <si>
    <t xml:space="preserve">BAJA</t>
  </si>
  <si>
    <t xml:space="preserve">Albarán a otro nombre</t>
  </si>
  <si>
    <t xml:space="preserve">Albarán 737 a nombre de "TABERNA LA MINA PADRE DAMIAN" (mismo CIF que Chamartín). Incluido.</t>
  </si>
  <si>
    <t xml:space="preserve">Confirmar que corresponde a Chamartín.</t>
  </si>
  <si>
    <t xml:space="preserve">DIST. TENA MTNEZ / MUNDELA</t>
  </si>
  <si>
    <t xml:space="preserve">Albaranes a nombre de "MINA BERNABEU, LA"</t>
  </si>
  <si>
    <t xml:space="preserve">FD 2485, 2606 y 2650 (Tena) y FM 2789, 2902 y 2940 (Mundela) salen a nombre "MINA BERNABEU, LA" con la razón social de La Mina Chamartín 2. Incluidos. FM 2940 lleva además copas a 0 €.</t>
  </si>
  <si>
    <t xml:space="preserve">Confirmar que se facturan a Chamartín.</t>
  </si>
  <si>
    <t xml:space="preserve">SUBMARINER</t>
  </si>
  <si>
    <t xml:space="preserve">Regalo / nota manuscrita</t>
  </si>
  <si>
    <t xml:space="preserve">SF 8939: 3 unidades de regalo (dto 100 %). En SF 8750 hay una nota a mano: "No se paga aquí, enviado a La Mina…".</t>
  </si>
  <si>
    <t xml:space="preserve">Aclarar con el proveedor a qué local se factura.</t>
  </si>
  <si>
    <t xml:space="preserve">CONS. Y SAL. JIMENEZ</t>
  </si>
  <si>
    <t xml:space="preserve">Referencia distinta</t>
  </si>
  <si>
    <t xml:space="preserve">Albarán 26A01042: mejillones escabeche OL-120 a 5,96 € (en julio RR-125 a 5,86 €).</t>
  </si>
  <si>
    <t xml:space="preserve">Confirmar la referencia.</t>
  </si>
  <si>
    <t xml:space="preserve">AGROFOOD</t>
  </si>
  <si>
    <t xml:space="preserve">Cargo "MER" en el precio</t>
  </si>
  <si>
    <t xml:space="preserve">Entrecot y medallón llevan +0,07 €/kg (concepto "MER") en todos los albaranes de agosto: 27,57 y 36,97 €/kg.</t>
  </si>
  <si>
    <t xml:space="preserve">Confirmar a qué corresponde el cargo.</t>
  </si>
  <si>
    <t xml:space="preserve">Albaranes sin número</t>
  </si>
  <si>
    <t xml:space="preserve">Los albaranes de Pescarum no llevan número; se identifican por la fecha.</t>
  </si>
  <si>
    <t xml:space="preserve">Pedir al proveedor que numere los albaranes.</t>
  </si>
  <si>
    <t xml:space="preserve">INFO</t>
  </si>
  <si>
    <t xml:space="preserve">Varios</t>
  </si>
  <si>
    <t xml:space="preserve">Precio distinto dentro del mes</t>
  </si>
  <si>
    <t xml:space="preserve">AGMASFOOD: boquerón gordo 11,95 € (17/08) y 9,80 € (desde 19/08). MARTÍN CANEDA: berberecho 24 € y 22 €; camarón 98, 96 y 95 €. MAGOASE: girasol 44,95 y 45,95 €. PESCARUM: cocochas 58 y 60 €.</t>
  </si>
  <si>
    <t xml:space="preserve">Detalle en COMPARATIVA PRECIOS.</t>
  </si>
  <si>
    <t xml:space="preserve">Proveedores sin albaranes en agosto</t>
  </si>
  <si>
    <t xml:space="preserve">Tuvieron compras en julio pero no hay nada en agosto: JOSE PEÑA, JOSE ROMERO PLAZA, CALIDOSCOPI, ANTONIO DE MIGUEL, CARNICAS OPC, MAKRO, VINS DES DIEUX, MONVA y FRUTERIA D'ALISTE.</t>
  </si>
  <si>
    <t xml:space="preserve">Confirmar si faltan albaranes por escanear o si no hubo compras (vacaciones).</t>
  </si>
  <si>
    <t xml:space="preserve">JC MACKINTOSH</t>
  </si>
  <si>
    <t xml:space="preserve">Proveedor nuevo</t>
  </si>
  <si>
    <t xml:space="preserve">Proveedor nuevo en agosto (2 albaranes). Tiene su propia hoja.</t>
  </si>
  <si>
    <t xml:space="preserve">Ninguna.</t>
  </si>
  <si>
    <t xml:space="preserve">JULIO</t>
  </si>
  <si>
    <t xml:space="preserve">PEÑALASTALLAS</t>
  </si>
  <si>
    <t xml:space="preserve">Importe sin albarán</t>
  </si>
  <si>
    <t xml:space="preserve">En la hoja del proveedor hay 67,29 € sin nº de albarán que no están en TOTAL JULIO (el CUADRE de julio marca REVISAR).</t>
  </si>
  <si>
    <t xml:space="preserve">Confirmar si es un albarán real: añadirlo a TOTAL JULIO o quitarlo de la hoja.</t>
  </si>
  <si>
    <t xml:space="preserve">JOSE ROMERO PLAZA</t>
  </si>
  <si>
    <t xml:space="preserve">Posible error de precio</t>
  </si>
  <si>
    <t xml:space="preserve">Albarán 149 (29/07): una línea de 1 kg de boquerón a 46,20 € (el resto a 11 €). Total del albarán 87,12 €.</t>
  </si>
  <si>
    <t xml:space="preserve">Pedir aclaración o abono al proveedor.</t>
  </si>
  <si>
    <t xml:space="preserve">Varios (La Mina de Velázquez)</t>
  </si>
  <si>
    <t xml:space="preserve">Albaranes de Velázquez en el PDF de Chamartín</t>
  </si>
  <si>
    <t xml:space="preserve">En el PDF de julio había albaranes a nombre de La Mina de Velázquez: LEIKAN (009210, 009103, 009311), MADOSA (AC 367060 a 367529), AGMASFOOD 26 6663, DON BOCARTE 5017, MAGOASE 19315, JOSE PEÑA 2026-260512, CRUSTAPESCA (30075, 29072, 310711), PESCARUM (29, 30 y 31/07), DISOLTRIGO 135361, TOMATERÍA 30/07, ENRIQUE CAMPS A26/2027, CRNAS SERVAN A2607-0518, MARTÍN CANEDA (035592, 035578, 035561), MANUEL AMBRES pedido 26/10600 y MONVA AL/5260628. No incluidos. Separados en PDF en JULIO/ALBARANES ("VELAZQUEZ - albaranes julio…").</t>
  </si>
  <si>
    <t xml:space="preserve">Pasar los PDF a Velázquez y comprobar que están en su Excel de julio.</t>
  </si>
  <si>
    <t xml:space="preserve">CONS. SELEC. SANTO (DON BOCARTE)</t>
  </si>
  <si>
    <t xml:space="preserve">Albarán de otra empresa</t>
  </si>
  <si>
    <t xml:space="preserve">Albarán 4848 (22/07) a nombre de ANGOMI PROYECTOS INMOBILIARIAS (B85301034), con sello de La Mina Chamartín 2. Total 178,29 €. No incluido. PDF separado en JULIO/ALBARANES.</t>
  </si>
  <si>
    <t xml:space="preserve">Confirmar a quién corresponde.</t>
  </si>
  <si>
    <t xml:space="preserve">Albarán de otro mes</t>
  </si>
  <si>
    <t xml:space="preserve">Albarán sin nº con fecha "02 mayo 2026" y a mano "ES 2 DE JUNIO". Total 223,50 €. No incluido. PDF separado ("REVISAR - Crustapesca mayo-junio…").</t>
  </si>
  <si>
    <t xml:space="preserve">Confirmar el mes y meterlo en el Excel que corresponda.</t>
  </si>
  <si>
    <t xml:space="preserve">(sin proveedor)</t>
  </si>
  <si>
    <t xml:space="preserve">Factura sin datos del proveedor</t>
  </si>
  <si>
    <t xml:space="preserve">Factura manuscrita para "Taberna La Mina" (22/07): 75 mollejas x 1,08 = 81 € + 4 % = 84,24 €. Sin proveedor ni nº. No incluida. Está en el mismo PDF de REVISAR.</t>
  </si>
  <si>
    <t xml:space="preserve">Identificar el proveedor.</t>
  </si>
  <si>
    <t xml:space="preserve">TOMATERIA DE CEA</t>
  </si>
  <si>
    <t xml:space="preserve">Posible duplicado</t>
  </si>
  <si>
    <t xml:space="preserve">Nota manuscrita (fecha poco clara, 15 o 25/07) de 6 kg a 6 € con una anotación del alb. 931 del 25/07 (37,44 €). No incluida.</t>
  </si>
  <si>
    <t xml:space="preserve">Confirmar si es un duplicado.</t>
  </si>
  <si>
    <t xml:space="preserve">MAGOASE</t>
  </si>
  <si>
    <t xml:space="preserve">Revisar IVA</t>
  </si>
  <si>
    <t xml:space="preserve">Albarán 17635 (262,95 €) está al 10 %, pero otro albarán con el mismo importe (18418) va al 4 % (aceite de oliva).</t>
  </si>
  <si>
    <t xml:space="preserve">Comprobar el tipo de IVA.</t>
  </si>
  <si>
    <t xml:space="preserve">Albaranes del 08, 09 y 11/07 al 10 %; el tomate lleva IVA del 4 % (así viene en el alb. 931).</t>
  </si>
  <si>
    <t xml:space="preserve">MARTIN CANEDA</t>
  </si>
  <si>
    <t xml:space="preserve">Producto a 0 €</t>
  </si>
  <si>
    <t xml:space="preserve">Albarán 035186: 2 chochas a precio 0 (total 93,23 €).</t>
  </si>
  <si>
    <t xml:space="preserve">Confirmar si es regalo o error.</t>
  </si>
  <si>
    <t xml:space="preserve">Albaranes poco legibles</t>
  </si>
  <si>
    <t xml:space="preserve">27547: casi ilegible, se ha puesto 0,5 kg camarón a 98 € + 2 chochas a 50 € (149 €). 27662: fecha dudosa (¿11/07?), 250 € + IVA.</t>
  </si>
  <si>
    <t xml:space="preserve">Comprobar con copia legible.</t>
  </si>
  <si>
    <t xml:space="preserve">Dato ilegible</t>
  </si>
  <si>
    <t xml:space="preserve">Albarán 16850: la columna CAJAS no se lee; se ha puesto 1 caja por línea.</t>
  </si>
  <si>
    <t xml:space="preserve">Comprobar cantidades.</t>
  </si>
  <si>
    <t xml:space="preserve">Dato dudoso</t>
  </si>
  <si>
    <t xml:space="preserve">Albarán M26/776: los valores 2 y 1 pueden ser cajas o piezas.</t>
  </si>
  <si>
    <t xml:space="preserve">Copia borrosa</t>
  </si>
  <si>
    <t xml:space="preserve">Albarán 4604: nº (4604/4664) y fecha dudosos. Importe 347,76 € + IVA = 382,54 €.</t>
  </si>
  <si>
    <t xml:space="preserve">Pedir copia legible.</t>
  </si>
  <si>
    <t xml:space="preserve">Datos ilegibles / sin cabecera</t>
  </si>
  <si>
    <t xml:space="preserve">22/07: primera línea y total ilegibles (base calculada 346,40 €). 31/07: albarán sin sello, asignado a Pescarum por formato y precios (301,45 € + IVA).</t>
  </si>
  <si>
    <t xml:space="preserve">Confirmar con el proveedor.</t>
  </si>
  <si>
    <t xml:space="preserve">Total a mano distinto</t>
  </si>
  <si>
    <t xml:space="preserve">Albarán sin nº del 21/07: 4 kg x 26 = 104 € + IVA = 114,40 €, pero a mano pone 114,04 €.</t>
  </si>
  <si>
    <t xml:space="preserve">Confirmar el importe.</t>
  </si>
  <si>
    <t xml:space="preserve">FRUTERIA D'ALISTE</t>
  </si>
  <si>
    <t xml:space="preserve">Albarán manuscrito</t>
  </si>
  <si>
    <t xml:space="preserve">Albarán del 03/07 sin nº y poco legible. Base 67,79 € al 4 %.</t>
  </si>
  <si>
    <t xml:space="preserve">CARNICAS MEAT</t>
  </si>
  <si>
    <t xml:space="preserve">Diferencia de céntimos</t>
  </si>
  <si>
    <t xml:space="preserve">Albarán A1/209: 6,48 kg x 34,55 = 223,88 € y el albarán pone 223,85 € (el CUADRE de julio marca 0,06 €).</t>
  </si>
  <si>
    <t xml:space="preserve">Ninguna (redondeo).</t>
  </si>
  <si>
    <t xml:space="preserve">Importes sueltos en la hoja</t>
  </si>
  <si>
    <t xml:space="preserve">La hoja de julio tenía 8 importes sin descripción (20,78 € en total). Se han agrupado en una línea para que la hoja cuadre.</t>
  </si>
  <si>
    <t xml:space="preserve">Confirmar a qué productos corresponden.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</si>
</sst>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&quot; €&quot;;[RED]\-#,##0.00&quot; €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C55A11"/>
      <name val="Cambria"/>
      <family val="0"/>
      <charset val="1"/>
    </font>
    <font>
      <b val="true"/>
      <sz val="11"/>
      <color rgb="FF1F7A6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EDEDED"/>
      </patternFill>
    </fill>
    <fill>
      <patternFill patternType="solid">
        <fgColor rgb="FFD9F0EC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D9F0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1F7A6B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1F3864"/>
      </font>
      <fill>
        <patternFill>
          <bgColor rgb="FFDDEBF7"/>
        </patternFill>
      </fill>
    </dxf>
    <dxf>
      <font>
        <b val="1"/>
        <color rgb="FF595959"/>
      </font>
      <fill>
        <patternFill>
          <bgColor rgb="FFEDEDED"/>
        </patternFill>
      </fill>
    </dxf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7A6B"/>
      <rgbColor rgb="FFBFBFBF"/>
      <rgbColor rgb="FF808080"/>
      <rgbColor rgb="FF9999FF"/>
      <rgbColor rgb="FF993366"/>
      <rgbColor rgb="FFEDEDED"/>
      <rgbColor rgb="FFD9F0EC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I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70"/>
    <col collapsed="false" customWidth="true" hidden="false" outlineLevel="0" max="7" min="7" style="0" width="13"/>
    <col collapsed="false" customWidth="true" hidden="false" outlineLevel="0" max="8" min="8" style="0" width="4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0" t="s">
        <v>2</v>
      </c>
      <c r="C4" s="3" t="n">
        <f aca="false">COUNTIFS($B$10:$B$47,"ALTA",$I$10:$I$47,"PENDIENTE")</f>
        <v>5</v>
      </c>
      <c r="E4" s="4" t="s">
        <v>3</v>
      </c>
      <c r="G4" s="5" t="n">
        <v>10</v>
      </c>
    </row>
    <row r="5" customFormat="false" ht="15" hidden="false" customHeight="false" outlineLevel="0" collapsed="false">
      <c r="A5" s="0" t="s">
        <v>4</v>
      </c>
      <c r="C5" s="3" t="n">
        <f aca="false">COUNTIFS($B$10:$B$47,"MEDIA",$I$10:$I$47,"PENDIENTE")</f>
        <v>16</v>
      </c>
      <c r="E5" s="4" t="s">
        <v>5</v>
      </c>
      <c r="G5" s="5" t="n">
        <v>3</v>
      </c>
    </row>
    <row r="6" customFormat="false" ht="15" hidden="false" customHeight="false" outlineLevel="0" collapsed="false">
      <c r="A6" s="0" t="s">
        <v>6</v>
      </c>
      <c r="C6" s="3" t="n">
        <f aca="false">COUNTIFS($B$10:$B$47,"BAJA",$I$10:$I$47,"PENDIENTE")</f>
        <v>14</v>
      </c>
      <c r="E6" s="6" t="s">
        <v>7</v>
      </c>
    </row>
    <row r="9" customFormat="false" ht="28.35" hidden="false" customHeight="fals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7" t="s">
        <v>14</v>
      </c>
      <c r="H9" s="7" t="s">
        <v>15</v>
      </c>
      <c r="I9" s="7" t="s">
        <v>16</v>
      </c>
    </row>
    <row r="10" customFormat="false" ht="55.2" hidden="false" customHeight="false" outlineLevel="0" collapsed="false">
      <c r="A10" s="8" t="n">
        <v>1</v>
      </c>
      <c r="B10" s="9" t="s">
        <v>17</v>
      </c>
      <c r="C10" s="10" t="s">
        <v>18</v>
      </c>
      <c r="D10" s="11" t="s">
        <v>19</v>
      </c>
      <c r="E10" s="11" t="s">
        <v>20</v>
      </c>
      <c r="F10" s="11" t="s">
        <v>21</v>
      </c>
      <c r="G10" s="12" t="n">
        <v>70</v>
      </c>
      <c r="H10" s="11" t="s">
        <v>22</v>
      </c>
      <c r="I10" s="9" t="s">
        <v>23</v>
      </c>
    </row>
    <row r="11" customFormat="false" ht="41.75" hidden="false" customHeight="false" outlineLevel="0" collapsed="false">
      <c r="A11" s="8" t="n">
        <v>2</v>
      </c>
      <c r="B11" s="9" t="s">
        <v>24</v>
      </c>
      <c r="C11" s="10" t="s">
        <v>18</v>
      </c>
      <c r="D11" s="11" t="s">
        <v>25</v>
      </c>
      <c r="E11" s="11" t="s">
        <v>26</v>
      </c>
      <c r="F11" s="11" t="s">
        <v>27</v>
      </c>
      <c r="G11" s="12" t="n">
        <v>591.03</v>
      </c>
      <c r="H11" s="11" t="s">
        <v>28</v>
      </c>
      <c r="I11" s="9" t="s">
        <v>23</v>
      </c>
    </row>
    <row r="12" customFormat="false" ht="28.35" hidden="false" customHeight="false" outlineLevel="0" collapsed="false">
      <c r="A12" s="8" t="n">
        <v>3</v>
      </c>
      <c r="B12" s="9" t="s">
        <v>24</v>
      </c>
      <c r="C12" s="10" t="s">
        <v>18</v>
      </c>
      <c r="D12" s="11" t="s">
        <v>25</v>
      </c>
      <c r="E12" s="11" t="s">
        <v>26</v>
      </c>
      <c r="F12" s="11" t="s">
        <v>29</v>
      </c>
      <c r="G12" s="12" t="n">
        <v>350.1</v>
      </c>
      <c r="H12" s="11" t="s">
        <v>30</v>
      </c>
      <c r="I12" s="9" t="s">
        <v>23</v>
      </c>
    </row>
    <row r="13" customFormat="false" ht="28.35" hidden="false" customHeight="false" outlineLevel="0" collapsed="false">
      <c r="A13" s="8" t="n">
        <v>4</v>
      </c>
      <c r="B13" s="9" t="s">
        <v>24</v>
      </c>
      <c r="C13" s="10" t="s">
        <v>18</v>
      </c>
      <c r="D13" s="11" t="s">
        <v>31</v>
      </c>
      <c r="E13" s="11" t="s">
        <v>32</v>
      </c>
      <c r="F13" s="11" t="s">
        <v>33</v>
      </c>
      <c r="G13" s="12" t="n">
        <v>168</v>
      </c>
      <c r="H13" s="11" t="s">
        <v>34</v>
      </c>
      <c r="I13" s="9" t="s">
        <v>23</v>
      </c>
    </row>
    <row r="14" customFormat="false" ht="28.35" hidden="false" customHeight="false" outlineLevel="0" collapsed="false">
      <c r="A14" s="8" t="n">
        <v>5</v>
      </c>
      <c r="B14" s="9" t="s">
        <v>24</v>
      </c>
      <c r="C14" s="10" t="s">
        <v>18</v>
      </c>
      <c r="D14" s="11" t="s">
        <v>31</v>
      </c>
      <c r="E14" s="11" t="s">
        <v>35</v>
      </c>
      <c r="F14" s="11" t="s">
        <v>36</v>
      </c>
      <c r="G14" s="12" t="n">
        <v>-229.6</v>
      </c>
      <c r="H14" s="11" t="s">
        <v>37</v>
      </c>
      <c r="I14" s="9" t="s">
        <v>23</v>
      </c>
    </row>
    <row r="15" customFormat="false" ht="28.35" hidden="false" customHeight="false" outlineLevel="0" collapsed="false">
      <c r="A15" s="8" t="n">
        <v>6</v>
      </c>
      <c r="B15" s="9" t="s">
        <v>24</v>
      </c>
      <c r="C15" s="10" t="s">
        <v>18</v>
      </c>
      <c r="D15" s="11" t="s">
        <v>38</v>
      </c>
      <c r="E15" s="11" t="s">
        <v>39</v>
      </c>
      <c r="F15" s="11" t="s">
        <v>40</v>
      </c>
      <c r="G15" s="12" t="n">
        <v>-38.4</v>
      </c>
      <c r="H15" s="11" t="s">
        <v>41</v>
      </c>
      <c r="I15" s="9" t="s">
        <v>23</v>
      </c>
    </row>
    <row r="16" customFormat="false" ht="28.35" hidden="false" customHeight="false" outlineLevel="0" collapsed="false">
      <c r="A16" s="8" t="n">
        <v>7</v>
      </c>
      <c r="B16" s="9" t="s">
        <v>24</v>
      </c>
      <c r="C16" s="10" t="s">
        <v>18</v>
      </c>
      <c r="D16" s="11" t="s">
        <v>42</v>
      </c>
      <c r="E16" s="11" t="s">
        <v>43</v>
      </c>
      <c r="F16" s="11" t="s">
        <v>44</v>
      </c>
      <c r="G16" s="12"/>
      <c r="H16" s="11" t="s">
        <v>45</v>
      </c>
      <c r="I16" s="9" t="s">
        <v>23</v>
      </c>
    </row>
    <row r="17" customFormat="false" ht="28.35" hidden="false" customHeight="false" outlineLevel="0" collapsed="false">
      <c r="A17" s="8" t="n">
        <v>8</v>
      </c>
      <c r="B17" s="9" t="s">
        <v>24</v>
      </c>
      <c r="C17" s="10" t="s">
        <v>18</v>
      </c>
      <c r="D17" s="11" t="s">
        <v>46</v>
      </c>
      <c r="E17" s="11" t="s">
        <v>47</v>
      </c>
      <c r="F17" s="11" t="s">
        <v>48</v>
      </c>
      <c r="G17" s="12"/>
      <c r="H17" s="11" t="s">
        <v>49</v>
      </c>
      <c r="I17" s="9" t="s">
        <v>23</v>
      </c>
    </row>
    <row r="18" customFormat="false" ht="28.35" hidden="false" customHeight="false" outlineLevel="0" collapsed="false">
      <c r="A18" s="8" t="n">
        <v>9</v>
      </c>
      <c r="B18" s="9" t="s">
        <v>24</v>
      </c>
      <c r="C18" s="10" t="s">
        <v>18</v>
      </c>
      <c r="D18" s="11" t="s">
        <v>50</v>
      </c>
      <c r="E18" s="11" t="s">
        <v>51</v>
      </c>
      <c r="F18" s="11" t="s">
        <v>52</v>
      </c>
      <c r="G18" s="12"/>
      <c r="H18" s="11" t="s">
        <v>53</v>
      </c>
      <c r="I18" s="9" t="s">
        <v>23</v>
      </c>
    </row>
    <row r="19" customFormat="false" ht="28.35" hidden="false" customHeight="false" outlineLevel="0" collapsed="false">
      <c r="A19" s="8" t="n">
        <v>10</v>
      </c>
      <c r="B19" s="9" t="s">
        <v>24</v>
      </c>
      <c r="C19" s="10" t="s">
        <v>18</v>
      </c>
      <c r="D19" s="11" t="s">
        <v>54</v>
      </c>
      <c r="E19" s="11" t="s">
        <v>55</v>
      </c>
      <c r="F19" s="11" t="s">
        <v>56</v>
      </c>
      <c r="G19" s="12"/>
      <c r="H19" s="11" t="s">
        <v>57</v>
      </c>
      <c r="I19" s="9" t="s">
        <v>23</v>
      </c>
    </row>
    <row r="20" customFormat="false" ht="28.35" hidden="false" customHeight="false" outlineLevel="0" collapsed="false">
      <c r="A20" s="8" t="n">
        <v>11</v>
      </c>
      <c r="B20" s="9" t="s">
        <v>58</v>
      </c>
      <c r="C20" s="10" t="s">
        <v>18</v>
      </c>
      <c r="D20" s="11" t="s">
        <v>54</v>
      </c>
      <c r="E20" s="11" t="s">
        <v>59</v>
      </c>
      <c r="F20" s="11" t="s">
        <v>60</v>
      </c>
      <c r="G20" s="12"/>
      <c r="H20" s="11" t="s">
        <v>61</v>
      </c>
      <c r="I20" s="9" t="s">
        <v>23</v>
      </c>
    </row>
    <row r="21" customFormat="false" ht="41.75" hidden="false" customHeight="false" outlineLevel="0" collapsed="false">
      <c r="A21" s="8" t="n">
        <v>12</v>
      </c>
      <c r="B21" s="9" t="s">
        <v>58</v>
      </c>
      <c r="C21" s="10" t="s">
        <v>18</v>
      </c>
      <c r="D21" s="11" t="s">
        <v>62</v>
      </c>
      <c r="E21" s="11" t="s">
        <v>63</v>
      </c>
      <c r="F21" s="11" t="s">
        <v>64</v>
      </c>
      <c r="G21" s="12"/>
      <c r="H21" s="11" t="s">
        <v>65</v>
      </c>
      <c r="I21" s="9" t="s">
        <v>23</v>
      </c>
    </row>
    <row r="22" customFormat="false" ht="28.35" hidden="false" customHeight="false" outlineLevel="0" collapsed="false">
      <c r="A22" s="8" t="n">
        <v>13</v>
      </c>
      <c r="B22" s="9" t="s">
        <v>58</v>
      </c>
      <c r="C22" s="10" t="s">
        <v>18</v>
      </c>
      <c r="D22" s="11" t="s">
        <v>66</v>
      </c>
      <c r="E22" s="11" t="s">
        <v>67</v>
      </c>
      <c r="F22" s="11" t="s">
        <v>68</v>
      </c>
      <c r="G22" s="12"/>
      <c r="H22" s="11" t="s">
        <v>69</v>
      </c>
      <c r="I22" s="9" t="s">
        <v>23</v>
      </c>
    </row>
    <row r="23" customFormat="false" ht="28.35" hidden="false" customHeight="false" outlineLevel="0" collapsed="false">
      <c r="A23" s="8" t="n">
        <v>14</v>
      </c>
      <c r="B23" s="9" t="s">
        <v>58</v>
      </c>
      <c r="C23" s="10" t="s">
        <v>18</v>
      </c>
      <c r="D23" s="11" t="s">
        <v>70</v>
      </c>
      <c r="E23" s="11" t="s">
        <v>71</v>
      </c>
      <c r="F23" s="11" t="s">
        <v>72</v>
      </c>
      <c r="G23" s="12"/>
      <c r="H23" s="11" t="s">
        <v>73</v>
      </c>
      <c r="I23" s="9" t="s">
        <v>23</v>
      </c>
    </row>
    <row r="24" customFormat="false" ht="28.35" hidden="false" customHeight="false" outlineLevel="0" collapsed="false">
      <c r="A24" s="8" t="n">
        <v>15</v>
      </c>
      <c r="B24" s="9" t="s">
        <v>58</v>
      </c>
      <c r="C24" s="10" t="s">
        <v>18</v>
      </c>
      <c r="D24" s="11" t="s">
        <v>74</v>
      </c>
      <c r="E24" s="11" t="s">
        <v>75</v>
      </c>
      <c r="F24" s="11" t="s">
        <v>76</v>
      </c>
      <c r="G24" s="12"/>
      <c r="H24" s="11" t="s">
        <v>77</v>
      </c>
      <c r="I24" s="9" t="s">
        <v>23</v>
      </c>
    </row>
    <row r="25" customFormat="false" ht="15" hidden="false" customHeight="false" outlineLevel="0" collapsed="false">
      <c r="A25" s="8" t="n">
        <v>16</v>
      </c>
      <c r="B25" s="9" t="s">
        <v>58</v>
      </c>
      <c r="C25" s="10" t="s">
        <v>18</v>
      </c>
      <c r="D25" s="11" t="s">
        <v>19</v>
      </c>
      <c r="E25" s="11" t="s">
        <v>78</v>
      </c>
      <c r="F25" s="11" t="s">
        <v>79</v>
      </c>
      <c r="G25" s="12"/>
      <c r="H25" s="11" t="s">
        <v>80</v>
      </c>
      <c r="I25" s="9" t="s">
        <v>23</v>
      </c>
    </row>
    <row r="26" customFormat="false" ht="41.75" hidden="false" customHeight="false" outlineLevel="0" collapsed="false">
      <c r="A26" s="8" t="n">
        <v>17</v>
      </c>
      <c r="B26" s="9" t="s">
        <v>81</v>
      </c>
      <c r="C26" s="10" t="s">
        <v>18</v>
      </c>
      <c r="D26" s="11" t="s">
        <v>82</v>
      </c>
      <c r="E26" s="11" t="s">
        <v>83</v>
      </c>
      <c r="F26" s="11" t="s">
        <v>84</v>
      </c>
      <c r="G26" s="12"/>
      <c r="H26" s="11" t="s">
        <v>85</v>
      </c>
      <c r="I26" s="9" t="s">
        <v>23</v>
      </c>
    </row>
    <row r="27" customFormat="false" ht="41.75" hidden="false" customHeight="false" outlineLevel="0" collapsed="false">
      <c r="A27" s="8" t="n">
        <v>18</v>
      </c>
      <c r="B27" s="9" t="s">
        <v>81</v>
      </c>
      <c r="C27" s="10" t="s">
        <v>18</v>
      </c>
      <c r="D27" s="11" t="s">
        <v>82</v>
      </c>
      <c r="E27" s="11" t="s">
        <v>86</v>
      </c>
      <c r="F27" s="11" t="s">
        <v>87</v>
      </c>
      <c r="G27" s="12"/>
      <c r="H27" s="11" t="s">
        <v>88</v>
      </c>
      <c r="I27" s="9" t="s">
        <v>23</v>
      </c>
    </row>
    <row r="28" customFormat="false" ht="15" hidden="false" customHeight="false" outlineLevel="0" collapsed="false">
      <c r="A28" s="8" t="n">
        <v>19</v>
      </c>
      <c r="B28" s="9" t="s">
        <v>81</v>
      </c>
      <c r="C28" s="10" t="s">
        <v>18</v>
      </c>
      <c r="D28" s="11" t="s">
        <v>89</v>
      </c>
      <c r="E28" s="11" t="s">
        <v>90</v>
      </c>
      <c r="F28" s="11" t="s">
        <v>91</v>
      </c>
      <c r="G28" s="12" t="n">
        <v>516</v>
      </c>
      <c r="H28" s="11" t="s">
        <v>92</v>
      </c>
      <c r="I28" s="9" t="s">
        <v>23</v>
      </c>
    </row>
    <row r="29" customFormat="false" ht="28.35" hidden="false" customHeight="false" outlineLevel="0" collapsed="false">
      <c r="A29" s="8" t="n">
        <v>20</v>
      </c>
      <c r="B29" s="9" t="s">
        <v>17</v>
      </c>
      <c r="C29" s="13" t="s">
        <v>93</v>
      </c>
      <c r="D29" s="11" t="s">
        <v>94</v>
      </c>
      <c r="E29" s="11" t="s">
        <v>95</v>
      </c>
      <c r="F29" s="11" t="s">
        <v>96</v>
      </c>
      <c r="G29" s="12" t="n">
        <v>67.29</v>
      </c>
      <c r="H29" s="11" t="s">
        <v>97</v>
      </c>
      <c r="I29" s="9" t="s">
        <v>23</v>
      </c>
    </row>
    <row r="30" customFormat="false" ht="28.35" hidden="false" customHeight="false" outlineLevel="0" collapsed="false">
      <c r="A30" s="8" t="n">
        <v>21</v>
      </c>
      <c r="B30" s="9" t="s">
        <v>17</v>
      </c>
      <c r="C30" s="13" t="s">
        <v>93</v>
      </c>
      <c r="D30" s="11" t="s">
        <v>98</v>
      </c>
      <c r="E30" s="11" t="s">
        <v>99</v>
      </c>
      <c r="F30" s="11" t="s">
        <v>100</v>
      </c>
      <c r="G30" s="12" t="n">
        <v>35.2</v>
      </c>
      <c r="H30" s="11" t="s">
        <v>101</v>
      </c>
      <c r="I30" s="9" t="s">
        <v>23</v>
      </c>
    </row>
    <row r="31" customFormat="false" ht="108.95" hidden="false" customHeight="false" outlineLevel="0" collapsed="false">
      <c r="A31" s="8" t="n">
        <v>22</v>
      </c>
      <c r="B31" s="9" t="s">
        <v>17</v>
      </c>
      <c r="C31" s="13" t="s">
        <v>93</v>
      </c>
      <c r="D31" s="11" t="s">
        <v>102</v>
      </c>
      <c r="E31" s="11" t="s">
        <v>103</v>
      </c>
      <c r="F31" s="11" t="s">
        <v>104</v>
      </c>
      <c r="G31" s="12"/>
      <c r="H31" s="11" t="s">
        <v>105</v>
      </c>
      <c r="I31" s="9" t="s">
        <v>23</v>
      </c>
    </row>
    <row r="32" customFormat="false" ht="41.75" hidden="false" customHeight="false" outlineLevel="0" collapsed="false">
      <c r="A32" s="8" t="n">
        <v>23</v>
      </c>
      <c r="B32" s="9" t="s">
        <v>17</v>
      </c>
      <c r="C32" s="13" t="s">
        <v>93</v>
      </c>
      <c r="D32" s="11" t="s">
        <v>106</v>
      </c>
      <c r="E32" s="11" t="s">
        <v>107</v>
      </c>
      <c r="F32" s="11" t="s">
        <v>108</v>
      </c>
      <c r="G32" s="12" t="n">
        <v>162.08</v>
      </c>
      <c r="H32" s="11" t="s">
        <v>109</v>
      </c>
      <c r="I32" s="9" t="s">
        <v>23</v>
      </c>
    </row>
    <row r="33" customFormat="false" ht="28.35" hidden="false" customHeight="false" outlineLevel="0" collapsed="false">
      <c r="A33" s="8" t="n">
        <v>24</v>
      </c>
      <c r="B33" s="9" t="s">
        <v>24</v>
      </c>
      <c r="C33" s="13" t="s">
        <v>93</v>
      </c>
      <c r="D33" s="11" t="s">
        <v>31</v>
      </c>
      <c r="E33" s="11" t="s">
        <v>110</v>
      </c>
      <c r="F33" s="11" t="s">
        <v>111</v>
      </c>
      <c r="G33" s="12"/>
      <c r="H33" s="11" t="s">
        <v>112</v>
      </c>
      <c r="I33" s="9" t="s">
        <v>23</v>
      </c>
    </row>
    <row r="34" customFormat="false" ht="28.35" hidden="false" customHeight="false" outlineLevel="0" collapsed="false">
      <c r="A34" s="8" t="n">
        <v>25</v>
      </c>
      <c r="B34" s="9" t="s">
        <v>24</v>
      </c>
      <c r="C34" s="13" t="s">
        <v>93</v>
      </c>
      <c r="D34" s="11" t="s">
        <v>113</v>
      </c>
      <c r="E34" s="11" t="s">
        <v>114</v>
      </c>
      <c r="F34" s="11" t="s">
        <v>115</v>
      </c>
      <c r="G34" s="12" t="n">
        <v>81</v>
      </c>
      <c r="H34" s="11" t="s">
        <v>116</v>
      </c>
      <c r="I34" s="9" t="s">
        <v>23</v>
      </c>
    </row>
    <row r="35" customFormat="false" ht="28.35" hidden="false" customHeight="false" outlineLevel="0" collapsed="false">
      <c r="A35" s="8" t="n">
        <v>26</v>
      </c>
      <c r="B35" s="9" t="s">
        <v>24</v>
      </c>
      <c r="C35" s="13" t="s">
        <v>93</v>
      </c>
      <c r="D35" s="11" t="s">
        <v>117</v>
      </c>
      <c r="E35" s="11" t="s">
        <v>118</v>
      </c>
      <c r="F35" s="11" t="s">
        <v>119</v>
      </c>
      <c r="G35" s="12"/>
      <c r="H35" s="11" t="s">
        <v>120</v>
      </c>
      <c r="I35" s="9" t="s">
        <v>23</v>
      </c>
    </row>
    <row r="36" customFormat="false" ht="28.35" hidden="false" customHeight="false" outlineLevel="0" collapsed="false">
      <c r="A36" s="8" t="n">
        <v>27</v>
      </c>
      <c r="B36" s="9" t="s">
        <v>24</v>
      </c>
      <c r="C36" s="13" t="s">
        <v>93</v>
      </c>
      <c r="D36" s="11" t="s">
        <v>121</v>
      </c>
      <c r="E36" s="11" t="s">
        <v>122</v>
      </c>
      <c r="F36" s="11" t="s">
        <v>123</v>
      </c>
      <c r="G36" s="12" t="n">
        <v>262.95</v>
      </c>
      <c r="H36" s="11" t="s">
        <v>124</v>
      </c>
      <c r="I36" s="9" t="s">
        <v>23</v>
      </c>
    </row>
    <row r="37" customFormat="false" ht="28.35" hidden="false" customHeight="false" outlineLevel="0" collapsed="false">
      <c r="A37" s="8" t="n">
        <v>28</v>
      </c>
      <c r="B37" s="9" t="s">
        <v>24</v>
      </c>
      <c r="C37" s="13" t="s">
        <v>93</v>
      </c>
      <c r="D37" s="11" t="s">
        <v>117</v>
      </c>
      <c r="E37" s="11" t="s">
        <v>122</v>
      </c>
      <c r="F37" s="11" t="s">
        <v>125</v>
      </c>
      <c r="G37" s="12"/>
      <c r="H37" s="11" t="s">
        <v>124</v>
      </c>
      <c r="I37" s="9" t="s">
        <v>23</v>
      </c>
    </row>
    <row r="38" customFormat="false" ht="15" hidden="false" customHeight="false" outlineLevel="0" collapsed="false">
      <c r="A38" s="8" t="n">
        <v>29</v>
      </c>
      <c r="B38" s="9" t="s">
        <v>24</v>
      </c>
      <c r="C38" s="13" t="s">
        <v>93</v>
      </c>
      <c r="D38" s="11" t="s">
        <v>126</v>
      </c>
      <c r="E38" s="11" t="s">
        <v>127</v>
      </c>
      <c r="F38" s="11" t="s">
        <v>128</v>
      </c>
      <c r="G38" s="12"/>
      <c r="H38" s="11" t="s">
        <v>129</v>
      </c>
      <c r="I38" s="9" t="s">
        <v>23</v>
      </c>
    </row>
    <row r="39" customFormat="false" ht="28.35" hidden="false" customHeight="false" outlineLevel="0" collapsed="false">
      <c r="A39" s="8" t="n">
        <v>30</v>
      </c>
      <c r="B39" s="9" t="s">
        <v>24</v>
      </c>
      <c r="C39" s="13" t="s">
        <v>93</v>
      </c>
      <c r="D39" s="11" t="s">
        <v>126</v>
      </c>
      <c r="E39" s="11" t="s">
        <v>130</v>
      </c>
      <c r="F39" s="11" t="s">
        <v>131</v>
      </c>
      <c r="G39" s="12" t="n">
        <v>399</v>
      </c>
      <c r="H39" s="11" t="s">
        <v>132</v>
      </c>
      <c r="I39" s="9" t="s">
        <v>23</v>
      </c>
    </row>
    <row r="40" customFormat="false" ht="15" hidden="false" customHeight="false" outlineLevel="0" collapsed="false">
      <c r="A40" s="8" t="n">
        <v>31</v>
      </c>
      <c r="B40" s="9" t="s">
        <v>58</v>
      </c>
      <c r="C40" s="13" t="s">
        <v>93</v>
      </c>
      <c r="D40" s="11" t="s">
        <v>121</v>
      </c>
      <c r="E40" s="11" t="s">
        <v>133</v>
      </c>
      <c r="F40" s="11" t="s">
        <v>134</v>
      </c>
      <c r="G40" s="12"/>
      <c r="H40" s="11" t="s">
        <v>135</v>
      </c>
      <c r="I40" s="9" t="s">
        <v>23</v>
      </c>
    </row>
    <row r="41" customFormat="false" ht="15" hidden="false" customHeight="false" outlineLevel="0" collapsed="false">
      <c r="A41" s="8" t="n">
        <v>32</v>
      </c>
      <c r="B41" s="9" t="s">
        <v>58</v>
      </c>
      <c r="C41" s="13" t="s">
        <v>93</v>
      </c>
      <c r="D41" s="11" t="s">
        <v>74</v>
      </c>
      <c r="E41" s="11" t="s">
        <v>136</v>
      </c>
      <c r="F41" s="11" t="s">
        <v>137</v>
      </c>
      <c r="G41" s="12"/>
      <c r="H41" s="11" t="s">
        <v>135</v>
      </c>
      <c r="I41" s="9" t="s">
        <v>23</v>
      </c>
    </row>
    <row r="42" customFormat="false" ht="28.35" hidden="false" customHeight="false" outlineLevel="0" collapsed="false">
      <c r="A42" s="8" t="n">
        <v>33</v>
      </c>
      <c r="B42" s="9" t="s">
        <v>58</v>
      </c>
      <c r="C42" s="13" t="s">
        <v>93</v>
      </c>
      <c r="D42" s="11" t="s">
        <v>106</v>
      </c>
      <c r="E42" s="11" t="s">
        <v>138</v>
      </c>
      <c r="F42" s="11" t="s">
        <v>139</v>
      </c>
      <c r="G42" s="12" t="n">
        <v>347.76</v>
      </c>
      <c r="H42" s="11" t="s">
        <v>140</v>
      </c>
      <c r="I42" s="9" t="s">
        <v>23</v>
      </c>
    </row>
    <row r="43" customFormat="false" ht="28.35" hidden="false" customHeight="false" outlineLevel="0" collapsed="false">
      <c r="A43" s="8" t="n">
        <v>34</v>
      </c>
      <c r="B43" s="9" t="s">
        <v>58</v>
      </c>
      <c r="C43" s="13" t="s">
        <v>93</v>
      </c>
      <c r="D43" s="11" t="s">
        <v>19</v>
      </c>
      <c r="E43" s="11" t="s">
        <v>141</v>
      </c>
      <c r="F43" s="11" t="s">
        <v>142</v>
      </c>
      <c r="G43" s="12"/>
      <c r="H43" s="11" t="s">
        <v>143</v>
      </c>
      <c r="I43" s="9" t="s">
        <v>23</v>
      </c>
    </row>
    <row r="44" customFormat="false" ht="28.35" hidden="false" customHeight="false" outlineLevel="0" collapsed="false">
      <c r="A44" s="8" t="n">
        <v>35</v>
      </c>
      <c r="B44" s="9" t="s">
        <v>58</v>
      </c>
      <c r="C44" s="13" t="s">
        <v>93</v>
      </c>
      <c r="D44" s="11" t="s">
        <v>31</v>
      </c>
      <c r="E44" s="11" t="s">
        <v>144</v>
      </c>
      <c r="F44" s="11" t="s">
        <v>145</v>
      </c>
      <c r="G44" s="12"/>
      <c r="H44" s="11" t="s">
        <v>146</v>
      </c>
      <c r="I44" s="9" t="s">
        <v>23</v>
      </c>
    </row>
    <row r="45" customFormat="false" ht="15" hidden="false" customHeight="false" outlineLevel="0" collapsed="false">
      <c r="A45" s="8" t="n">
        <v>36</v>
      </c>
      <c r="B45" s="9" t="s">
        <v>58</v>
      </c>
      <c r="C45" s="13" t="s">
        <v>93</v>
      </c>
      <c r="D45" s="11" t="s">
        <v>147</v>
      </c>
      <c r="E45" s="11" t="s">
        <v>148</v>
      </c>
      <c r="F45" s="11" t="s">
        <v>149</v>
      </c>
      <c r="G45" s="12" t="n">
        <v>67.79</v>
      </c>
      <c r="H45" s="11" t="s">
        <v>140</v>
      </c>
      <c r="I45" s="9" t="s">
        <v>23</v>
      </c>
    </row>
    <row r="46" customFormat="false" ht="28.35" hidden="false" customHeight="false" outlineLevel="0" collapsed="false">
      <c r="A46" s="8" t="n">
        <v>37</v>
      </c>
      <c r="B46" s="9" t="s">
        <v>58</v>
      </c>
      <c r="C46" s="13" t="s">
        <v>93</v>
      </c>
      <c r="D46" s="11" t="s">
        <v>150</v>
      </c>
      <c r="E46" s="11" t="s">
        <v>151</v>
      </c>
      <c r="F46" s="11" t="s">
        <v>152</v>
      </c>
      <c r="G46" s="12" t="n">
        <v>0.06</v>
      </c>
      <c r="H46" s="11" t="s">
        <v>153</v>
      </c>
      <c r="I46" s="9" t="s">
        <v>23</v>
      </c>
    </row>
    <row r="47" customFormat="false" ht="28.35" hidden="false" customHeight="false" outlineLevel="0" collapsed="false">
      <c r="A47" s="8" t="n">
        <v>38</v>
      </c>
      <c r="B47" s="9" t="s">
        <v>58</v>
      </c>
      <c r="C47" s="13" t="s">
        <v>93</v>
      </c>
      <c r="D47" s="11" t="s">
        <v>25</v>
      </c>
      <c r="E47" s="11" t="s">
        <v>154</v>
      </c>
      <c r="F47" s="11" t="s">
        <v>155</v>
      </c>
      <c r="G47" s="12" t="n">
        <v>20.78</v>
      </c>
      <c r="H47" s="11" t="s">
        <v>156</v>
      </c>
      <c r="I47" s="9" t="s">
        <v>23</v>
      </c>
    </row>
  </sheetData>
  <autoFilter ref="A9:I47"/>
  <mergeCells count="2">
    <mergeCell ref="A1:I1"/>
    <mergeCell ref="A2:I2"/>
  </mergeCells>
  <conditionalFormatting sqref="B10:B47">
    <cfRule type="cellIs" priority="2" operator="equal" aboveAverage="0" equalAverage="0" bottom="0" percent="0" rank="0" text="" dxfId="16">
      <formula>"ALTA"</formula>
    </cfRule>
    <cfRule type="cellIs" priority="3" operator="equal" aboveAverage="0" equalAverage="0" bottom="0" percent="0" rank="0" text="" dxfId="17">
      <formula>"MEDIA"</formula>
    </cfRule>
    <cfRule type="cellIs" priority="4" operator="equal" aboveAverage="0" equalAverage="0" bottom="0" percent="0" rank="0" text="" dxfId="18">
      <formula>"BAJA"</formula>
    </cfRule>
    <cfRule type="cellIs" priority="5" operator="equal" aboveAverage="0" equalAverage="0" bottom="0" percent="0" rank="0" text="" dxfId="19">
      <formula>"INFO"</formula>
    </cfRule>
  </conditionalFormatting>
  <conditionalFormatting sqref="I10:I47">
    <cfRule type="cellIs" priority="6" operator="equal" aboveAverage="0" equalAverage="0" bottom="0" percent="0" rank="0" text="" dxfId="20">
      <formula>"PENDIENTE"</formula>
    </cfRule>
    <cfRule type="cellIs" priority="7" operator="notEqual" aboveAverage="0" equalAverage="0" bottom="0" percent="0" rank="0" text="" dxfId="21">
      <formula>"PENDIENTE"</formula>
    </cfRule>
  </conditionalFormatting>
  <conditionalFormatting sqref="A10:H47">
    <cfRule type="expression" priority="8" aboveAverage="0" equalAverage="0" bottom="0" percent="0" rank="0" text="" dxfId="22">
      <formula>AND($I10&lt;&gt;"",$I10&lt;&gt;"PENDIENTE")</formula>
    </cfRule>
  </conditionalFormatting>
  <dataValidations count="2">
    <dataValidation allowBlank="true" errorStyle="stop" operator="between" showDropDown="false" showErrorMessage="false" showInputMessage="false" sqref="I10:I47" type="list">
      <formula1>"PENDIENTE,REVISADO,CORREGIDO"</formula1>
      <formula2>0</formula2>
    </dataValidation>
    <dataValidation allowBlank="true" errorStyle="stop" operator="between" showDropDown="false" showErrorMessage="false" showInputMessage="false" sqref="B10:B47" type="list">
      <formula1>"ALTA,MEDIA,BAJA,INFO"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2026-09-17T08:26:07Z</dcterms:created>
  <dc:creator>openpyxl</dc:creator>
  <dc:description/>
  <dc:language>en-US</dc:language>
  <cp:lastModifiedBy/>
  <dcterms:modified xsi:type="dcterms:W3CDTF">2026-09-17T08:26:07Z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
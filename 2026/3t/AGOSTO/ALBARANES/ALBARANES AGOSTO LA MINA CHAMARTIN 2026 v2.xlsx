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AGOSTO" sheetId="1" state="visible" r:id="rId3"/>
    <sheet name="TOTAL AGOSTO" sheetId="2" state="visible" r:id="rId4"/>
    <sheet name="CUADRE ALBARANES" sheetId="3" state="visible" r:id="rId5"/>
    <sheet name="_____AGMASFOOD" sheetId="4" state="visible" r:id="rId6"/>
    <sheet name="_____AGROFOOD" sheetId="5" state="visible" r:id="rId7"/>
    <sheet name="_____ANTONIO DE MIGUEL" sheetId="6" state="visible" r:id="rId8"/>
    <sheet name="_____CALIDOSCOPI" sheetId="7" state="visible" r:id="rId9"/>
    <sheet name="_____CARNICAS MEAT" sheetId="8" state="visible" r:id="rId10"/>
    <sheet name="_____CARNICAS OPC" sheetId="9" state="visible" r:id="rId11"/>
    <sheet name="_____COCA-COLA" sheetId="10" state="visible" r:id="rId12"/>
    <sheet name="_____CONS. SELEC. SANT" sheetId="11" state="visible" r:id="rId13"/>
    <sheet name="_____CONS. Y SALAZONES" sheetId="12" state="visible" r:id="rId14"/>
    <sheet name="_____CRNAS SERVAN" sheetId="13" state="visible" r:id="rId15"/>
    <sheet name="_____CRUSTAPESCA" sheetId="14" state="visible" r:id="rId16"/>
    <sheet name="_____DELIPAN" sheetId="15" state="visible" r:id="rId17"/>
    <sheet name="_____DISOLTRIGO" sheetId="16" state="visible" r:id="rId18"/>
    <sheet name="_____DIST. TENA" sheetId="17" state="visible" r:id="rId19"/>
    <sheet name="_____EIF DISTRIBUCIONES" sheetId="18" state="visible" r:id="rId20"/>
    <sheet name="_____ENRIQUE CAMPS" sheetId="19" state="visible" r:id="rId21"/>
    <sheet name="_____ESCRIBANO SANZ" sheetId="20" state="visible" r:id="rId22"/>
    <sheet name="_____FCO JAVIER LABRADOR" sheetId="21" state="visible" r:id="rId23"/>
    <sheet name="_____FRUTERIA DALISTE" sheetId="22" state="visible" r:id="rId24"/>
    <sheet name="_____JC MACKINTOSH" sheetId="23" state="visible" r:id="rId25"/>
    <sheet name="_____JOSE PEÑA" sheetId="24" state="visible" r:id="rId26"/>
    <sheet name="_____JOSE ROMERO PLAZA" sheetId="25" state="visible" r:id="rId27"/>
    <sheet name="_____MAGOASE" sheetId="26" state="visible" r:id="rId28"/>
    <sheet name="_____MAKRO" sheetId="27" state="visible" r:id="rId29"/>
    <sheet name="_____MANU AMBRES" sheetId="28" state="visible" r:id="rId30"/>
    <sheet name="_____MARTIN CANEDA" sheetId="29" state="visible" r:id="rId31"/>
    <sheet name="_____MONVA" sheetId="30" state="visible" r:id="rId32"/>
    <sheet name="_____MUNDELA" sheetId="31" state="visible" r:id="rId33"/>
    <sheet name="_____PATATAS YAGO" sheetId="32" state="visible" r:id="rId34"/>
    <sheet name="_____PESCADERIA PALACIO" sheetId="33" state="visible" r:id="rId35"/>
    <sheet name="_____PESCARUM" sheetId="34" state="visible" r:id="rId36"/>
    <sheet name="_____PEÑALASTALLAS" sheetId="35" state="visible" r:id="rId37"/>
    <sheet name="_____ROMERO ALVAREZ" sheetId="36" state="visible" r:id="rId38"/>
    <sheet name="_____SUBMARINER" sheetId="37" state="visible" r:id="rId39"/>
    <sheet name="_____TOMATERIA CEA" sheetId="38" state="visible" r:id="rId40"/>
    <sheet name="_____VENERO CLARO" sheetId="39" state="visible" r:id="rId41"/>
    <sheet name="_____VINS DES DIEUX" sheetId="40" state="visible" r:id="rId42"/>
    <sheet name="_____VOLDIS" sheetId="41" state="visible" r:id="rId4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<sst xmlns="http://schemas.openxmlformats.org/spreadsheetml/2006/main" count="2007" uniqueCount="688">
  <si>
    <t xml:space="preserve">RESUMEN DE COMPRAS · AGOSTO 2026</t>
  </si>
  <si>
    <t xml:space="preserve">LA MINA DE CHAMARTÍN</t>
  </si>
  <si>
    <t xml:space="preserve">Todo se calcula desde la hoja TOTAL AGOSTO. La columna de julio es el importe fijo del Excel de julio.</t>
  </si>
  <si>
    <t xml:space="preserve">BASE IMPONIBLE</t>
  </si>
  <si>
    <t xml:space="preserve">CUOTA IVA</t>
  </si>
  <si>
    <t xml:space="preserve">TOTAL CON IVA</t>
  </si>
  <si>
    <t xml:space="preserve">Nº ALBARANES</t>
  </si>
  <si>
    <t xml:space="preserve">Nº PROVEEDORES</t>
  </si>
  <si>
    <t xml:space="preserve">CUADRES A REVISAR</t>
  </si>
  <si>
    <t xml:space="preserve">BASE AL 4% DE IVA</t>
  </si>
  <si>
    <t xml:space="preserve">BASE AL 10% DE IVA</t>
  </si>
  <si>
    <t xml:space="preserve">BASE AL 21% DE IVA</t>
  </si>
  <si>
    <t xml:space="preserve">COMPRAS POR PROVEEDOR</t>
  </si>
  <si>
    <t xml:space="preserve">PROVEEDOR</t>
  </si>
  <si>
    <t xml:space="preserve">Nº ALB.</t>
  </si>
  <si>
    <t xml:space="preserve">BASE AGOSTO</t>
  </si>
  <si>
    <t xml:space="preserve">% DEL MES</t>
  </si>
  <si>
    <t xml:space="preserve">BASE JULIO</t>
  </si>
  <si>
    <t xml:space="preserve">DIF. €</t>
  </si>
  <si>
    <t xml:space="preserve">DIF. %</t>
  </si>
  <si>
    <t xml:space="preserve">PESCARUM</t>
  </si>
  <si>
    <t xml:space="preserve">MUNDELA</t>
  </si>
  <si>
    <t xml:space="preserve">MARTIN CANEDA</t>
  </si>
  <si>
    <t xml:space="preserve">DIST. TENA MTNEZ</t>
  </si>
  <si>
    <t xml:space="preserve">AGROFOOD</t>
  </si>
  <si>
    <t xml:space="preserve">AGMASFOOD</t>
  </si>
  <si>
    <t xml:space="preserve">CONS. Y SAL. JIMENEZ</t>
  </si>
  <si>
    <t xml:space="preserve">MAGOASE</t>
  </si>
  <si>
    <t xml:space="preserve">CRNAS SERVAN</t>
  </si>
  <si>
    <t xml:space="preserve">VOLDIS</t>
  </si>
  <si>
    <t xml:space="preserve">CRUSTAPESCA</t>
  </si>
  <si>
    <t xml:space="preserve">SUBMARINER</t>
  </si>
  <si>
    <t xml:space="preserve">ROMERO ALVAREZ</t>
  </si>
  <si>
    <t xml:space="preserve">CARNICAS MEAT</t>
  </si>
  <si>
    <t xml:space="preserve">EIF DISTRIBUCIONES</t>
  </si>
  <si>
    <t xml:space="preserve">PEÑALASTALLAS</t>
  </si>
  <si>
    <t xml:space="preserve">JC MACKINTOSH</t>
  </si>
  <si>
    <t xml:space="preserve">COCACOLA</t>
  </si>
  <si>
    <t xml:space="preserve">ENRIQUE CAMPS</t>
  </si>
  <si>
    <t xml:space="preserve">MANUEL AMBRES</t>
  </si>
  <si>
    <t xml:space="preserve">CONS. SELEC. SANTO</t>
  </si>
  <si>
    <t xml:space="preserve">DELIPAN</t>
  </si>
  <si>
    <t xml:space="preserve">PESCADERIA PALACIO</t>
  </si>
  <si>
    <t xml:space="preserve">PATATAS YAGO</t>
  </si>
  <si>
    <t xml:space="preserve">TOMATERIA DE CEA</t>
  </si>
  <si>
    <t xml:space="preserve">DISOLTRIGO</t>
  </si>
  <si>
    <t xml:space="preserve">VENERO CLARO</t>
  </si>
  <si>
    <t xml:space="preserve">FCO JAVIER LABRADOR</t>
  </si>
  <si>
    <t xml:space="preserve">ESCRIBANO SANZ</t>
  </si>
  <si>
    <t xml:space="preserve">JOSE PEÑA</t>
  </si>
  <si>
    <t xml:space="preserve">JOSE ROMERO PLAZA</t>
  </si>
  <si>
    <t xml:space="preserve">CALIDOSCOPI</t>
  </si>
  <si>
    <t xml:space="preserve">ANTONIO DE MIGUEL</t>
  </si>
  <si>
    <t xml:space="preserve">CARNICAS OPC</t>
  </si>
  <si>
    <t xml:space="preserve">MAKRO</t>
  </si>
  <si>
    <t xml:space="preserve">VINS DES DIEUX</t>
  </si>
  <si>
    <t xml:space="preserve">MONVA</t>
  </si>
  <si>
    <t xml:space="preserve">FRUTERIA D'ALISTE</t>
  </si>
  <si>
    <t xml:space="preserve">TOTAL</t>
  </si>
  <si>
    <t xml:space="preserve">Filas en gris: proveedores con compras en julio y sin albaranes en agosto. DIF. en rojo = sube respecto a julio; en verde = baja.</t>
  </si>
  <si>
    <t xml:space="preserve">ALBARANES AGOSTO 2026 · LA MINA DE CHAMARTÍN</t>
  </si>
  <si>
    <t xml:space="preserve">ALBARAN</t>
  </si>
  <si>
    <t xml:space="preserve">BASE</t>
  </si>
  <si>
    <t xml:space="preserve">IVA</t>
  </si>
  <si>
    <t xml:space="preserve">TOTAL FRA</t>
  </si>
  <si>
    <t xml:space="preserve">TOTAL FACTURADO</t>
  </si>
  <si>
    <t xml:space="preserve">26 6717</t>
  </si>
  <si>
    <t xml:space="preserve">26 6980</t>
  </si>
  <si>
    <t xml:space="preserve">26 7006</t>
  </si>
  <si>
    <t xml:space="preserve">26 7016</t>
  </si>
  <si>
    <t xml:space="preserve">26 7048</t>
  </si>
  <si>
    <t xml:space="preserve">26 7103</t>
  </si>
  <si>
    <t xml:space="preserve">26 7151</t>
  </si>
  <si>
    <t xml:space="preserve">26 7202</t>
  </si>
  <si>
    <t xml:space="preserve">26 7226</t>
  </si>
  <si>
    <t xml:space="preserve">26 7264</t>
  </si>
  <si>
    <t xml:space="preserve">M26/935</t>
  </si>
  <si>
    <t xml:space="preserve">M26/952</t>
  </si>
  <si>
    <t xml:space="preserve">M26/928</t>
  </si>
  <si>
    <t xml:space="preserve">A1/221</t>
  </si>
  <si>
    <t xml:space="preserve">A1/227</t>
  </si>
  <si>
    <t xml:space="preserve">4536210096</t>
  </si>
  <si>
    <t xml:space="preserve">4536386996</t>
  </si>
  <si>
    <t xml:space="preserve">4536386995</t>
  </si>
  <si>
    <t xml:space="preserve">5653</t>
  </si>
  <si>
    <t xml:space="preserve">26A01042</t>
  </si>
  <si>
    <t xml:space="preserve">26A01059</t>
  </si>
  <si>
    <t xml:space="preserve">A2608-0010</t>
  </si>
  <si>
    <t xml:space="preserve">A2608-0213</t>
  </si>
  <si>
    <t xml:space="preserve">A2608-0233</t>
  </si>
  <si>
    <t xml:space="preserve">A2608-0257</t>
  </si>
  <si>
    <t xml:space="preserve">A2608-0274</t>
  </si>
  <si>
    <t xml:space="preserve">A2608-0327</t>
  </si>
  <si>
    <t xml:space="preserve">A2608-0351</t>
  </si>
  <si>
    <t xml:space="preserve">A2608-0356</t>
  </si>
  <si>
    <t xml:space="preserve">A2608-0379</t>
  </si>
  <si>
    <t xml:space="preserve">20081 (ABONO)</t>
  </si>
  <si>
    <t xml:space="preserve">25081</t>
  </si>
  <si>
    <t xml:space="preserve">27084</t>
  </si>
  <si>
    <t xml:space="preserve">5081</t>
  </si>
  <si>
    <t xml:space="preserve">6083</t>
  </si>
  <si>
    <t xml:space="preserve">18086</t>
  </si>
  <si>
    <t xml:space="preserve">19083</t>
  </si>
  <si>
    <t xml:space="preserve">S/N 22-08</t>
  </si>
  <si>
    <t xml:space="preserve">25085</t>
  </si>
  <si>
    <t xml:space="preserve">29082</t>
  </si>
  <si>
    <t xml:space="preserve">A2/9526</t>
  </si>
  <si>
    <t xml:space="preserve">A2/9861</t>
  </si>
  <si>
    <t xml:space="preserve">A2/10002</t>
  </si>
  <si>
    <t xml:space="preserve">A2/10106</t>
  </si>
  <si>
    <t xml:space="preserve">A2/10260</t>
  </si>
  <si>
    <t xml:space="preserve">135823</t>
  </si>
  <si>
    <t xml:space="preserve">136005</t>
  </si>
  <si>
    <t xml:space="preserve">FD 2485</t>
  </si>
  <si>
    <t xml:space="preserve">FD 2606</t>
  </si>
  <si>
    <t xml:space="preserve">FD 2650</t>
  </si>
  <si>
    <t xml:space="preserve">2026/1/23727</t>
  </si>
  <si>
    <t xml:space="preserve">2026/1/24261</t>
  </si>
  <si>
    <t xml:space="preserve">2026/1/24376</t>
  </si>
  <si>
    <t xml:space="preserve">2026/1/24385</t>
  </si>
  <si>
    <t xml:space="preserve">A26/2164</t>
  </si>
  <si>
    <t xml:space="preserve">A26/2116</t>
  </si>
  <si>
    <t xml:space="preserve">0613</t>
  </si>
  <si>
    <t xml:space="preserve">01-08/26</t>
  </si>
  <si>
    <t xml:space="preserve">A3774</t>
  </si>
  <si>
    <t xml:space="preserve">19624</t>
  </si>
  <si>
    <t xml:space="preserve">20748</t>
  </si>
  <si>
    <t xml:space="preserve">21111</t>
  </si>
  <si>
    <t xml:space="preserve">21604</t>
  </si>
  <si>
    <t xml:space="preserve">26/11925</t>
  </si>
  <si>
    <t xml:space="preserve">35218</t>
  </si>
  <si>
    <t xml:space="preserve">35223</t>
  </si>
  <si>
    <t xml:space="preserve">35230</t>
  </si>
  <si>
    <t xml:space="preserve">35237</t>
  </si>
  <si>
    <t xml:space="preserve">35250</t>
  </si>
  <si>
    <t xml:space="preserve">35194</t>
  </si>
  <si>
    <t xml:space="preserve">35274</t>
  </si>
  <si>
    <t xml:space="preserve">26913</t>
  </si>
  <si>
    <t xml:space="preserve">35284</t>
  </si>
  <si>
    <t xml:space="preserve">35287</t>
  </si>
  <si>
    <t xml:space="preserve">35292</t>
  </si>
  <si>
    <t xml:space="preserve">35204</t>
  </si>
  <si>
    <t xml:space="preserve">FM 2789</t>
  </si>
  <si>
    <t xml:space="preserve">FM 2940</t>
  </si>
  <si>
    <t xml:space="preserve">FM 2902</t>
  </si>
  <si>
    <t xml:space="preserve">637</t>
  </si>
  <si>
    <t xml:space="preserve">675</t>
  </si>
  <si>
    <t xml:space="preserve">680</t>
  </si>
  <si>
    <t xml:space="preserve">689</t>
  </si>
  <si>
    <t xml:space="preserve">696</t>
  </si>
  <si>
    <t xml:space="preserve">709</t>
  </si>
  <si>
    <t xml:space="preserve">729</t>
  </si>
  <si>
    <t xml:space="preserve">737</t>
  </si>
  <si>
    <t xml:space="preserve">143228</t>
  </si>
  <si>
    <t xml:space="preserve">143673</t>
  </si>
  <si>
    <t xml:space="preserve">01/08/2026</t>
  </si>
  <si>
    <t xml:space="preserve">04/08/2026</t>
  </si>
  <si>
    <t xml:space="preserve">06/08/2026</t>
  </si>
  <si>
    <t xml:space="preserve">07/08/2026</t>
  </si>
  <si>
    <t xml:space="preserve">18/08/2026</t>
  </si>
  <si>
    <t xml:space="preserve">19/08/2026</t>
  </si>
  <si>
    <t xml:space="preserve">20/08/2026</t>
  </si>
  <si>
    <t xml:space="preserve">22/08/2026</t>
  </si>
  <si>
    <t xml:space="preserve">25/08/2026</t>
  </si>
  <si>
    <t xml:space="preserve">26/08/2026</t>
  </si>
  <si>
    <t xml:space="preserve">27/08/2026</t>
  </si>
  <si>
    <t xml:space="preserve">28/08/2026</t>
  </si>
  <si>
    <t xml:space="preserve">29/08/2026</t>
  </si>
  <si>
    <t xml:space="preserve">12129</t>
  </si>
  <si>
    <t xml:space="preserve">12269</t>
  </si>
  <si>
    <t xml:space="preserve">12312</t>
  </si>
  <si>
    <t xml:space="preserve">12339</t>
  </si>
  <si>
    <t xml:space="preserve">SEC 3</t>
  </si>
  <si>
    <t xml:space="preserve">SEC 270</t>
  </si>
  <si>
    <t xml:space="preserve">SF 8750</t>
  </si>
  <si>
    <t xml:space="preserve">SF 8939</t>
  </si>
  <si>
    <t xml:space="preserve">05/08/2026</t>
  </si>
  <si>
    <t xml:space="preserve">24/08/2026</t>
  </si>
  <si>
    <t xml:space="preserve">26VC-1939</t>
  </si>
  <si>
    <t xml:space="preserve">AP26-? (25/08)</t>
  </si>
  <si>
    <t xml:space="preserve">AP26-? (19/08)</t>
  </si>
  <si>
    <t xml:space="preserve">CUADRE POR PROVEEDOR Y MES</t>
  </si>
  <si>
    <t xml:space="preserve">Compara, en cada hoja de proveedor, la suma de las líneas de producto con la suma de albaranes, y ésta con la hoja TOTAL del mes (JULIO: importe fijo del Excel de julio; AGOSTO: fórmula sobre TOTAL AGOSTO). Tolerancia ±0,05 €.</t>
  </si>
  <si>
    <t xml:space="preserve">MES</t>
  </si>
  <si>
    <t xml:space="preserve">TOTAL LÍNEAS PRODUCTO</t>
  </si>
  <si>
    <t xml:space="preserve">TOTAL ALBARANES (hoja proveedor)</t>
  </si>
  <si>
    <t xml:space="preserve">TOTAL EN HOJA TOTAL DEL MES</t>
  </si>
  <si>
    <t xml:space="preserve">DIF. LÍNEAS − ALBARANES</t>
  </si>
  <si>
    <t xml:space="preserve">DIF. ALBARANES − HOJA TOTAL</t>
  </si>
  <si>
    <t xml:space="preserve">¿CUADRA?</t>
  </si>
  <si>
    <t xml:space="preserve">NOTA</t>
  </si>
  <si>
    <t xml:space="preserve">JULIO</t>
  </si>
  <si>
    <t xml:space="preserve">AGOSTO</t>
  </si>
  <si>
    <t xml:space="preserve">Diferencia de redondeo en las líneas (A1/209: 6,48 kg x 34,55 = 223,88 € y el albarán pone 223,85 €).</t>
  </si>
  <si>
    <t xml:space="preserve">Albarán 04/08: las líneas suman 992,87 € y el albarán dice 922,87 € (70 € de diferencia, ver incidencias).</t>
  </si>
  <si>
    <t xml:space="preserve">Importe suelto de 67,29 € en la hoja sin nº de albarán ni reflejo en TOTAL JULIO (ver incidencias).</t>
  </si>
  <si>
    <t xml:space="preserve">PRODUCTO</t>
  </si>
  <si>
    <t xml:space="preserve">UNIDADES</t>
  </si>
  <si>
    <t xml:space="preserve">PRECIO</t>
  </si>
  <si>
    <t xml:space="preserve">DTO</t>
  </si>
  <si>
    <t xml:space="preserve">ALBARANES</t>
  </si>
  <si>
    <t xml:space="preserve">LOMO NEGRO SIN COLA LIMPIO</t>
  </si>
  <si>
    <t xml:space="preserve">DIFERENCIA</t>
  </si>
  <si>
    <t xml:space="preserve">GAMBA ROJA ALISTADA 15-20P</t>
  </si>
  <si>
    <t xml:space="preserve">BOQUERON GORDO</t>
  </si>
  <si>
    <t xml:space="preserve">Nº ALBARÁN</t>
  </si>
  <si>
    <t xml:space="preserve">% IVA</t>
  </si>
  <si>
    <t xml:space="preserve">26 6093</t>
  </si>
  <si>
    <t xml:space="preserve">26 6075</t>
  </si>
  <si>
    <t xml:space="preserve">26 6029</t>
  </si>
  <si>
    <t xml:space="preserve">26 5876</t>
  </si>
  <si>
    <t xml:space="preserve">26 5951</t>
  </si>
  <si>
    <t xml:space="preserve">26 6564</t>
  </si>
  <si>
    <t xml:space="preserve">26 6530</t>
  </si>
  <si>
    <t xml:space="preserve">26 6503</t>
  </si>
  <si>
    <t xml:space="preserve">26 6629</t>
  </si>
  <si>
    <t xml:space="preserve">ENTRECOT T. MORUCHA</t>
  </si>
  <si>
    <t xml:space="preserve">MEDALLON P. SOLOMILLO VACUNO (precio+MER 0,07)</t>
  </si>
  <si>
    <t xml:space="preserve">MEDALLON P. SOLOMILLO VACUNO</t>
  </si>
  <si>
    <t xml:space="preserve">ENTRECOT T. MORUCHA (precio+MER 0,07)</t>
  </si>
  <si>
    <t xml:space="preserve">TASA DE ELIMINACION DE RESIDUOS</t>
  </si>
  <si>
    <t xml:space="preserve">M26/810</t>
  </si>
  <si>
    <t xml:space="preserve">M26/787</t>
  </si>
  <si>
    <t xml:space="preserve">M26/776</t>
  </si>
  <si>
    <t xml:space="preserve">M26/865</t>
  </si>
  <si>
    <t xml:space="preserve">M26/849</t>
  </si>
  <si>
    <t xml:space="preserve">M26/844</t>
  </si>
  <si>
    <t xml:space="preserve">M26/839</t>
  </si>
  <si>
    <t xml:space="preserve">M26/817</t>
  </si>
  <si>
    <t xml:space="preserve">M26/890</t>
  </si>
  <si>
    <t xml:space="preserve">M26/872</t>
  </si>
  <si>
    <t xml:space="preserve">PATO CEBADO-FOIE RESTAURACION (400-900)</t>
  </si>
  <si>
    <t xml:space="preserve">A/2066113</t>
  </si>
  <si>
    <t xml:space="preserve">PAGO DE CARRAOVEJAS 2023</t>
  </si>
  <si>
    <t xml:space="preserve">AV-CV26-004508</t>
  </si>
  <si>
    <t xml:space="preserve">CHULETA CORDERO LECHAL</t>
  </si>
  <si>
    <t xml:space="preserve">SOLOMILLO VACA</t>
  </si>
  <si>
    <t xml:space="preserve">TERNERA MIXTA</t>
  </si>
  <si>
    <t xml:space="preserve">A1/195</t>
  </si>
  <si>
    <t xml:space="preserve">A1/191</t>
  </si>
  <si>
    <t xml:space="preserve">A1/188</t>
  </si>
  <si>
    <t xml:space="preserve">A1/209</t>
  </si>
  <si>
    <t xml:space="preserve">A1/202</t>
  </si>
  <si>
    <t xml:space="preserve">MEDIA CAJA HUEVO</t>
  </si>
  <si>
    <t xml:space="preserve">PANCETA ADOBADA</t>
  </si>
  <si>
    <t xml:space="preserve">CAJA HUEVOS CORRAL</t>
  </si>
  <si>
    <t xml:space="preserve">POLLO TROCEADO</t>
  </si>
  <si>
    <t xml:space="preserve">A2607-0221</t>
  </si>
  <si>
    <t xml:space="preserve">OREJA DE CERDO</t>
  </si>
  <si>
    <t xml:space="preserve">A2607-0169</t>
  </si>
  <si>
    <t xml:space="preserve">A2607-0092</t>
  </si>
  <si>
    <t xml:space="preserve">CAJA+BOTELLAS VR237</t>
  </si>
  <si>
    <t xml:space="preserve">COCACOLA VR237 C24 (neto caja)</t>
  </si>
  <si>
    <t xml:space="preserve">COCACOLA PET2L C6</t>
  </si>
  <si>
    <t xml:space="preserve">COCACOLA ZERO VR237 C24 (neto caja)</t>
  </si>
  <si>
    <t xml:space="preserve">COCACOLA VR237 C24</t>
  </si>
  <si>
    <t xml:space="preserve">COCACOLA ZERO ZERO VR237 C24 (neto caja)</t>
  </si>
  <si>
    <t xml:space="preserve">521604</t>
  </si>
  <si>
    <t xml:space="preserve">COCACOLA PET 2L C6 (neto caja)</t>
  </si>
  <si>
    <t xml:space="preserve">COCACOLA ZER VR237 C24</t>
  </si>
  <si>
    <t xml:space="preserve">629349</t>
  </si>
  <si>
    <t xml:space="preserve">COCACOLA ZER ZER VR237 C24</t>
  </si>
  <si>
    <t xml:space="preserve">658014</t>
  </si>
  <si>
    <t xml:space="preserve">MINUTE MAID TOM VNR20 C24</t>
  </si>
  <si>
    <t xml:space="preserve">MINUTE MAID TOMATE VNR20 C24 (neto caja)</t>
  </si>
  <si>
    <t xml:space="preserve">657975</t>
  </si>
  <si>
    <t xml:space="preserve">DEVOLUCION CAJA+BOTELLAS VR237</t>
  </si>
  <si>
    <t xml:space="preserve">874907</t>
  </si>
  <si>
    <t xml:space="preserve">970813</t>
  </si>
  <si>
    <t xml:space="preserve">122492</t>
  </si>
  <si>
    <t xml:space="preserve">366393</t>
  </si>
  <si>
    <t xml:space="preserve">366398</t>
  </si>
  <si>
    <t xml:space="preserve">DON BOCARTE MEDIO PULPO 360-400 gr</t>
  </si>
  <si>
    <t xml:space="preserve">4604</t>
  </si>
  <si>
    <t xml:space="preserve">5016</t>
  </si>
  <si>
    <t xml:space="preserve">ANCHOAS CANTABRICO COSTERA</t>
  </si>
  <si>
    <t xml:space="preserve">ANCHOAS DEL CANTABRICO GRAN RESERVA</t>
  </si>
  <si>
    <t xml:space="preserve">VENTRESCA DE BONITO EXTRA</t>
  </si>
  <si>
    <t xml:space="preserve">MEJILLONES ESCABECHE RIAS GALLEGAS RR-125</t>
  </si>
  <si>
    <t xml:space="preserve">26A00878</t>
  </si>
  <si>
    <t xml:space="preserve">MEJILLONES ESCABECHE RIAS GALLEGAS OL-120 6/8</t>
  </si>
  <si>
    <t xml:space="preserve">BERBERECHOS RIAS GALLEGAS RO-120 30/40</t>
  </si>
  <si>
    <t xml:space="preserve">26A00831</t>
  </si>
  <si>
    <t xml:space="preserve">MOJAMA EXTRA SUPERIOR LA CHANCA</t>
  </si>
  <si>
    <t xml:space="preserve">ANCHOAS CANTABRICO RO-550 ETIQUETA ROJA</t>
  </si>
  <si>
    <t xml:space="preserve">26A00946</t>
  </si>
  <si>
    <t xml:space="preserve">26A00922</t>
  </si>
  <si>
    <t xml:space="preserve">26A00916</t>
  </si>
  <si>
    <t xml:space="preserve">26A00903</t>
  </si>
  <si>
    <t xml:space="preserve">26A00978</t>
  </si>
  <si>
    <t xml:space="preserve">MEDIA CAJA DE HUERVO</t>
  </si>
  <si>
    <t xml:space="preserve">CAJA HUEVOS DE CORRAL</t>
  </si>
  <si>
    <t xml:space="preserve">HUESO FRESCO</t>
  </si>
  <si>
    <t xml:space="preserve">A2607-0444</t>
  </si>
  <si>
    <t xml:space="preserve">HUESO DE TUETANO</t>
  </si>
  <si>
    <t xml:space="preserve">PALETILLA IBERICA</t>
  </si>
  <si>
    <t xml:space="preserve">A2607-0048</t>
  </si>
  <si>
    <t xml:space="preserve">MORCILLA ASTURIANA</t>
  </si>
  <si>
    <t xml:space="preserve">A2607-0010</t>
  </si>
  <si>
    <t xml:space="preserve">MORRO DE TERNERA</t>
  </si>
  <si>
    <t xml:space="preserve">POLLO ENTERO</t>
  </si>
  <si>
    <t xml:space="preserve">A2607-0507</t>
  </si>
  <si>
    <t xml:space="preserve">FALDA DE TERNERA</t>
  </si>
  <si>
    <t xml:space="preserve">GALLINAS</t>
  </si>
  <si>
    <t xml:space="preserve">A2607-0519</t>
  </si>
  <si>
    <t xml:space="preserve">PATAS DE TERNERA</t>
  </si>
  <si>
    <t xml:space="preserve">MORCILLO DE TERNERA</t>
  </si>
  <si>
    <t xml:space="preserve">A2607-0476</t>
  </si>
  <si>
    <t xml:space="preserve">A2607-0335</t>
  </si>
  <si>
    <t xml:space="preserve">MANOS DE CERDO</t>
  </si>
  <si>
    <t xml:space="preserve">A2607-0309</t>
  </si>
  <si>
    <t xml:space="preserve">A2607-0239</t>
  </si>
  <si>
    <t xml:space="preserve">CHORIZO ASTURIANO</t>
  </si>
  <si>
    <t xml:space="preserve">GAMBA FR M</t>
  </si>
  <si>
    <t xml:space="preserve">COLA GAMBON (abono)</t>
  </si>
  <si>
    <t xml:space="preserve">VENTRESCA</t>
  </si>
  <si>
    <t xml:space="preserve">VENTRESCA (abono)</t>
  </si>
  <si>
    <t xml:space="preserve">COLA G</t>
  </si>
  <si>
    <t xml:space="preserve">10073</t>
  </si>
  <si>
    <t xml:space="preserve">9071</t>
  </si>
  <si>
    <t xml:space="preserve">8074</t>
  </si>
  <si>
    <t xml:space="preserve">2074</t>
  </si>
  <si>
    <t xml:space="preserve">1074</t>
  </si>
  <si>
    <t xml:space="preserve">31074</t>
  </si>
  <si>
    <t xml:space="preserve">30076</t>
  </si>
  <si>
    <t xml:space="preserve">29074</t>
  </si>
  <si>
    <t xml:space="preserve">28071</t>
  </si>
  <si>
    <t xml:space="preserve">18071</t>
  </si>
  <si>
    <t xml:space="preserve">S/N 16-07</t>
  </si>
  <si>
    <t xml:space="preserve">150710</t>
  </si>
  <si>
    <t xml:space="preserve">14071</t>
  </si>
  <si>
    <t xml:space="preserve">23077</t>
  </si>
  <si>
    <t xml:space="preserve">S/N 21-07</t>
  </si>
  <si>
    <t xml:space="preserve">S/N 24-07</t>
  </si>
  <si>
    <t xml:space="preserve">PICOS ARTESANOS 500gr</t>
  </si>
  <si>
    <t xml:space="preserve">DELIFLAUTA 17 PERRITO 90  uds</t>
  </si>
  <si>
    <t xml:space="preserve">PAN MOLDE BRIOCHE (7 ud)</t>
  </si>
  <si>
    <t xml:space="preserve">A2/8520</t>
  </si>
  <si>
    <t xml:space="preserve">PICOS SIN GLUTEN 20gr (25 uds)</t>
  </si>
  <si>
    <t xml:space="preserve">A2/8358</t>
  </si>
  <si>
    <t xml:space="preserve">A2/8248</t>
  </si>
  <si>
    <t xml:space="preserve">A2/9083</t>
  </si>
  <si>
    <t xml:space="preserve">A2/8944</t>
  </si>
  <si>
    <t xml:space="preserve">A2/8841</t>
  </si>
  <si>
    <t xml:space="preserve">A2/8675</t>
  </si>
  <si>
    <t xml:space="preserve">A2/9337</t>
  </si>
  <si>
    <t xml:space="preserve">A2/9201</t>
  </si>
  <si>
    <t xml:space="preserve">BOQUERON EN VINAGRE PANDERETA</t>
  </si>
  <si>
    <t xml:space="preserve">24 PERLE NOIRE N.2</t>
  </si>
  <si>
    <t xml:space="preserve">BOQUERON CASERO EN ACEITE 700g</t>
  </si>
  <si>
    <t xml:space="preserve">134806</t>
  </si>
  <si>
    <t xml:space="preserve">134789</t>
  </si>
  <si>
    <t xml:space="preserve">134442</t>
  </si>
  <si>
    <t xml:space="preserve">135177</t>
  </si>
  <si>
    <t xml:space="preserve">135027</t>
  </si>
  <si>
    <t xml:space="preserve">135362</t>
  </si>
  <si>
    <t xml:space="preserve">ALBARIÑO MAR DE FRADES</t>
  </si>
  <si>
    <t xml:space="preserve">CAVA BRUT NATURE GRAN CLAUSTRO</t>
  </si>
  <si>
    <t xml:space="preserve">CHARDONAY LIAS ECOLOGICO F.ELEZ</t>
  </si>
  <si>
    <t xml:space="preserve">SEÑORIO DE FITERO ROBLE</t>
  </si>
  <si>
    <t xml:space="preserve">GINEBRA MARTIN MILLER 3/4</t>
  </si>
  <si>
    <t xml:space="preserve">FD 2221</t>
  </si>
  <si>
    <t xml:space="preserve">GODELLO VIÑAREDO</t>
  </si>
  <si>
    <t xml:space="preserve">FD 2267</t>
  </si>
  <si>
    <t xml:space="preserve">FD 2309</t>
  </si>
  <si>
    <t xml:space="preserve">FD 2334</t>
  </si>
  <si>
    <t xml:space="preserve">FD 2369</t>
  </si>
  <si>
    <t xml:space="preserve">FD 2419</t>
  </si>
  <si>
    <t xml:space="preserve">IZAGUIRRE BOX 20L</t>
  </si>
  <si>
    <t xml:space="preserve">RED BULL</t>
  </si>
  <si>
    <t xml:space="preserve">SCHWEPPES TONICA RET 28 UDS</t>
  </si>
  <si>
    <t xml:space="preserve">SOLAN DE CABRAS CON GAS</t>
  </si>
  <si>
    <t xml:space="preserve">2026/1/18961</t>
  </si>
  <si>
    <t xml:space="preserve">COCA COLA ZERO NAC RET</t>
  </si>
  <si>
    <t xml:space="preserve">BARCELO AÑEJO</t>
  </si>
  <si>
    <t xml:space="preserve">2026/1/19030</t>
  </si>
  <si>
    <t xml:space="preserve">MAHOU 0,0 TOSTADA</t>
  </si>
  <si>
    <t xml:space="preserve">RED BULL SIN AZUCAR</t>
  </si>
  <si>
    <t xml:space="preserve">2026/1/19510</t>
  </si>
  <si>
    <t xml:space="preserve">MAHOU SIN GLUTEN</t>
  </si>
  <si>
    <t xml:space="preserve">2026/1/20194</t>
  </si>
  <si>
    <t xml:space="preserve">2026/1/20864</t>
  </si>
  <si>
    <t xml:space="preserve">TARTA CHOCOLATE</t>
  </si>
  <si>
    <t xml:space="preserve">TARTA QUESO</t>
  </si>
  <si>
    <t xml:space="preserve">A26/1816</t>
  </si>
  <si>
    <t xml:space="preserve">A26/1739</t>
  </si>
  <si>
    <t xml:space="preserve">A26/1957</t>
  </si>
  <si>
    <t xml:space="preserve">A26/2026</t>
  </si>
  <si>
    <t xml:space="preserve">A26/1984</t>
  </si>
  <si>
    <t xml:space="preserve">A26/1892</t>
  </si>
  <si>
    <t xml:space="preserve">A26/1840</t>
  </si>
  <si>
    <t xml:space="preserve">LOMO BELLOTA 100%</t>
  </si>
  <si>
    <t xml:space="preserve">PAPADA IBERICA</t>
  </si>
  <si>
    <t xml:space="preserve">SALCHICHON IBERICO</t>
  </si>
  <si>
    <t xml:space="preserve">371</t>
  </si>
  <si>
    <t xml:space="preserve">0465</t>
  </si>
  <si>
    <t xml:space="preserve">0524</t>
  </si>
  <si>
    <t xml:space="preserve">FLOR DE ALCACHOFA CONFITADA A. ORUJO (20 uds)</t>
  </si>
  <si>
    <t xml:space="preserve">01-07/26</t>
  </si>
  <si>
    <t xml:space="preserve">02-07/26</t>
  </si>
  <si>
    <t xml:space="preserve">LIMON</t>
  </si>
  <si>
    <t xml:space="preserve">PIMIENTO ROJO</t>
  </si>
  <si>
    <t xml:space="preserve">CEBOLLETA CHINA</t>
  </si>
  <si>
    <t xml:space="preserve">PEREJIL</t>
  </si>
  <si>
    <t xml:space="preserve">08/07/2026</t>
  </si>
  <si>
    <t xml:space="preserve">TOMATE IBERICO</t>
  </si>
  <si>
    <t xml:space="preserve">03/07/2026</t>
  </si>
  <si>
    <t xml:space="preserve">LECHUGA BATAVIA</t>
  </si>
  <si>
    <t xml:space="preserve">CEBOLLETAS</t>
  </si>
  <si>
    <t xml:space="preserve">PATATAS CREMA (saco 25 kg)</t>
  </si>
  <si>
    <t xml:space="preserve">VENTRESCA ATUN ROJO AHUMADO LONCHEADO 1 KG</t>
  </si>
  <si>
    <t xml:space="preserve">PORTES</t>
  </si>
  <si>
    <t xml:space="preserve">VENTRESCA ATUN CLARO OLIVA RO1030 (latas)</t>
  </si>
  <si>
    <t xml:space="preserve">2026-260494</t>
  </si>
  <si>
    <t xml:space="preserve">PARROCHAS</t>
  </si>
  <si>
    <t xml:space="preserve">130</t>
  </si>
  <si>
    <t xml:space="preserve">128</t>
  </si>
  <si>
    <t xml:space="preserve">126</t>
  </si>
  <si>
    <t xml:space="preserve">BOQUERON GORDO (alb. 149 - ¿precio erróneo?)</t>
  </si>
  <si>
    <t xml:space="preserve">121</t>
  </si>
  <si>
    <t xml:space="preserve">113</t>
  </si>
  <si>
    <t xml:space="preserve">114</t>
  </si>
  <si>
    <t xml:space="preserve">119</t>
  </si>
  <si>
    <t xml:space="preserve">145</t>
  </si>
  <si>
    <t xml:space="preserve">141</t>
  </si>
  <si>
    <t xml:space="preserve">136</t>
  </si>
  <si>
    <t xml:space="preserve">133</t>
  </si>
  <si>
    <t xml:space="preserve">150</t>
  </si>
  <si>
    <t xml:space="preserve">149</t>
  </si>
  <si>
    <t xml:space="preserve">146</t>
  </si>
  <si>
    <t xml:space="preserve">BID. PET CUAD. A.O. SUAVE GUADALIMAR 5L</t>
  </si>
  <si>
    <t xml:space="preserve">BID. PET A.GIRASOL ALTO OLEICO</t>
  </si>
  <si>
    <t xml:space="preserve">LATA A.O.V.E. AU LINGOTE TEMPRANO</t>
  </si>
  <si>
    <t xml:space="preserve">17635</t>
  </si>
  <si>
    <t xml:space="preserve">17367</t>
  </si>
  <si>
    <t xml:space="preserve">16850</t>
  </si>
  <si>
    <t xml:space="preserve">18972</t>
  </si>
  <si>
    <t xml:space="preserve">18750</t>
  </si>
  <si>
    <t xml:space="preserve">18418</t>
  </si>
  <si>
    <t xml:space="preserve">18035</t>
  </si>
  <si>
    <t xml:space="preserve">19317</t>
  </si>
  <si>
    <t xml:space="preserve">MANTEQUILLA PRESIDENT BQ 1KG</t>
  </si>
  <si>
    <t xml:space="preserve">LIMON 2A C-2/6 CJ 9KG</t>
  </si>
  <si>
    <t xml:space="preserve">NARANJA ZUMO MC C-6/7 SC 5KG</t>
  </si>
  <si>
    <t xml:space="preserve">ZANAHORIA MC C-35/45 MM 5KG</t>
  </si>
  <si>
    <t xml:space="preserve">9-193072459</t>
  </si>
  <si>
    <t xml:space="preserve">CEBOLLINO MC MJ 125G</t>
  </si>
  <si>
    <t xml:space="preserve">CEBOLLA GUISOS MC C-60/80 SC 5KG</t>
  </si>
  <si>
    <t xml:space="preserve">PATATA LAV AGRIA MC C60/80 12KG</t>
  </si>
  <si>
    <t xml:space="preserve">CEBOLLETA CHINA MJ</t>
  </si>
  <si>
    <t xml:space="preserve">PIMIENTO LAMYO VDE ARO 2ACJ5 K</t>
  </si>
  <si>
    <t xml:space="preserve">CEBOLLETA BCA MJ</t>
  </si>
  <si>
    <t xml:space="preserve">SAL MALDON 1.4 KG</t>
  </si>
  <si>
    <t xml:space="preserve">SSA SOJA KIKKOMAN 1L</t>
  </si>
  <si>
    <t xml:space="preserve">RACION CECINA PREMIUM 100gr</t>
  </si>
  <si>
    <t xml:space="preserve">RACION J. BELLOTA 100% 100gr</t>
  </si>
  <si>
    <t xml:space="preserve">CECINA PREMIUM EMBUCHADA</t>
  </si>
  <si>
    <t xml:space="preserve">RACION CECINA PREMIUM 100gr (BLACK ANGUS)</t>
  </si>
  <si>
    <t xml:space="preserve">RACION CECINA BLACK ANGUS WAGYU 100gr</t>
  </si>
  <si>
    <t xml:space="preserve">26/10457</t>
  </si>
  <si>
    <t xml:space="preserve">26/11141</t>
  </si>
  <si>
    <t xml:space="preserve">26/10768</t>
  </si>
  <si>
    <t xml:space="preserve">BERBERECHO</t>
  </si>
  <si>
    <t xml:space="preserve">MEJILLONES</t>
  </si>
  <si>
    <t xml:space="preserve">CHOCHAS GDA</t>
  </si>
  <si>
    <t xml:space="preserve">CAMARON</t>
  </si>
  <si>
    <t xml:space="preserve">35519</t>
  </si>
  <si>
    <t xml:space="preserve">CHOCHAS TDA</t>
  </si>
  <si>
    <t xml:space="preserve">PERCEBES GDO</t>
  </si>
  <si>
    <t xml:space="preserve">35508</t>
  </si>
  <si>
    <t xml:space="preserve">CHOCHAS GDA (alb. 035186 sin precio)</t>
  </si>
  <si>
    <t xml:space="preserve">27694</t>
  </si>
  <si>
    <t xml:space="preserve">27677</t>
  </si>
  <si>
    <t xml:space="preserve">35535</t>
  </si>
  <si>
    <t xml:space="preserve">35548</t>
  </si>
  <si>
    <t xml:space="preserve">27557</t>
  </si>
  <si>
    <t xml:space="preserve">27565</t>
  </si>
  <si>
    <t xml:space="preserve">27579</t>
  </si>
  <si>
    <t xml:space="preserve">27523</t>
  </si>
  <si>
    <t xml:space="preserve">27534</t>
  </si>
  <si>
    <t xml:space="preserve">27547</t>
  </si>
  <si>
    <t xml:space="preserve">27662</t>
  </si>
  <si>
    <t xml:space="preserve">27591</t>
  </si>
  <si>
    <t xml:space="preserve">35164</t>
  </si>
  <si>
    <t xml:space="preserve">35186</t>
  </si>
  <si>
    <t xml:space="preserve">35175</t>
  </si>
  <si>
    <t xml:space="preserve">35590</t>
  </si>
  <si>
    <t xml:space="preserve">35575</t>
  </si>
  <si>
    <t xml:space="preserve">35565</t>
  </si>
  <si>
    <t xml:space="preserve">35558</t>
  </si>
  <si>
    <t xml:space="preserve">GARRAFA AOVE MONTABES 10 L</t>
  </si>
  <si>
    <t xml:space="preserve">AL/5260619</t>
  </si>
  <si>
    <t xml:space="preserve">AL/5260649</t>
  </si>
  <si>
    <t xml:space="preserve">AL/5260627</t>
  </si>
  <si>
    <t xml:space="preserve">BARBADILLO VI MOSCATO FRIZZANTE</t>
  </si>
  <si>
    <t xml:space="preserve">RAMON BILBAO BLANCO VERDEJO 3/4</t>
  </si>
  <si>
    <t xml:space="preserve">CEPAS VELLAS GODEVAL</t>
  </si>
  <si>
    <t xml:space="preserve">RAMON BILBAO VIÑEDOS DE ALTURA 3/4</t>
  </si>
  <si>
    <t xml:space="preserve">FM 2547</t>
  </si>
  <si>
    <t xml:space="preserve">PACO GARCIA CRIANZA 3/4</t>
  </si>
  <si>
    <t xml:space="preserve">R.B. EDI.LIM. EARLY HARVEST ROSADO</t>
  </si>
  <si>
    <t xml:space="preserve">FM 2592</t>
  </si>
  <si>
    <t xml:space="preserve">CORIMBO</t>
  </si>
  <si>
    <t xml:space="preserve">FM 2659</t>
  </si>
  <si>
    <t xml:space="preserve">VINAGRE DE JEREZ RESERVA AL MOSCATEL</t>
  </si>
  <si>
    <t xml:space="preserve">RODA RESERVA 3/4</t>
  </si>
  <si>
    <t xml:space="preserve">FM 2638</t>
  </si>
  <si>
    <t xml:space="preserve">FM 2692</t>
  </si>
  <si>
    <t xml:space="preserve">MANZANILLA SOLEAR 3/8</t>
  </si>
  <si>
    <t xml:space="preserve">FM 2737</t>
  </si>
  <si>
    <t xml:space="preserve">SACO AGRIA NUEVA ALICANTE</t>
  </si>
  <si>
    <t xml:space="preserve">SACO MONALISA</t>
  </si>
  <si>
    <t xml:space="preserve">SACO MONALISA (alb. 696: 30 kg = 1,2 sacos)</t>
  </si>
  <si>
    <t xml:space="preserve">476</t>
  </si>
  <si>
    <t xml:space="preserve">468</t>
  </si>
  <si>
    <t xml:space="preserve">SACO MONALISA (alb. 499: 30 kg = 1,2 sacos)</t>
  </si>
  <si>
    <t xml:space="preserve">463</t>
  </si>
  <si>
    <t xml:space="preserve">445</t>
  </si>
  <si>
    <t xml:space="preserve">435</t>
  </si>
  <si>
    <t xml:space="preserve">404</t>
  </si>
  <si>
    <t xml:space="preserve">601</t>
  </si>
  <si>
    <t xml:space="preserve">592</t>
  </si>
  <si>
    <t xml:space="preserve">584</t>
  </si>
  <si>
    <t xml:space="preserve">555</t>
  </si>
  <si>
    <t xml:space="preserve">548</t>
  </si>
  <si>
    <t xml:space="preserve">541</t>
  </si>
  <si>
    <t xml:space="preserve">529</t>
  </si>
  <si>
    <t xml:space="preserve">518</t>
  </si>
  <si>
    <t xml:space="preserve">499</t>
  </si>
  <si>
    <t xml:space="preserve">630</t>
  </si>
  <si>
    <t xml:space="preserve">626</t>
  </si>
  <si>
    <t xml:space="preserve">608</t>
  </si>
  <si>
    <t xml:space="preserve">ALISTADO 15/20 PARAPENAEUS</t>
  </si>
  <si>
    <t xml:space="preserve">140612</t>
  </si>
  <si>
    <t xml:space="preserve">140395</t>
  </si>
  <si>
    <t xml:space="preserve">139654</t>
  </si>
  <si>
    <t xml:space="preserve">141763</t>
  </si>
  <si>
    <t xml:space="preserve">140979</t>
  </si>
  <si>
    <t xml:space="preserve">142088</t>
  </si>
  <si>
    <t xml:space="preserve">ALISTADOS</t>
  </si>
  <si>
    <t xml:space="preserve">CARABINEROS</t>
  </si>
  <si>
    <t xml:space="preserve">CALAMARES</t>
  </si>
  <si>
    <t xml:space="preserve">NAVAJA</t>
  </si>
  <si>
    <t xml:space="preserve">PULPO</t>
  </si>
  <si>
    <t xml:space="preserve">11/07/2026</t>
  </si>
  <si>
    <t xml:space="preserve">COQUINAS</t>
  </si>
  <si>
    <t xml:space="preserve">10/07/2026</t>
  </si>
  <si>
    <t xml:space="preserve">LANGOSTINO</t>
  </si>
  <si>
    <t xml:space="preserve">09/07/2026</t>
  </si>
  <si>
    <t xml:space="preserve">ZAMBURIÑAS</t>
  </si>
  <si>
    <t xml:space="preserve">PARRILLATO</t>
  </si>
  <si>
    <t xml:space="preserve">04/07/2026</t>
  </si>
  <si>
    <t xml:space="preserve">COCOCHAS</t>
  </si>
  <si>
    <t xml:space="preserve">02/07/2026</t>
  </si>
  <si>
    <t xml:space="preserve">QUISQUILLA</t>
  </si>
  <si>
    <t xml:space="preserve">01/07/2026</t>
  </si>
  <si>
    <t xml:space="preserve">25/07/2026</t>
  </si>
  <si>
    <t xml:space="preserve">24/07/2026</t>
  </si>
  <si>
    <t xml:space="preserve">CIGALA</t>
  </si>
  <si>
    <t xml:space="preserve">23/07/2026</t>
  </si>
  <si>
    <t xml:space="preserve">PRODUCTO ILEGIBLE (alb. 22/07)</t>
  </si>
  <si>
    <t xml:space="preserve">22/07/2026</t>
  </si>
  <si>
    <t xml:space="preserve">21/07/2026</t>
  </si>
  <si>
    <t xml:space="preserve">31/07/2026</t>
  </si>
  <si>
    <t xml:space="preserve">30/07/2026</t>
  </si>
  <si>
    <t xml:space="preserve">29/07/2026</t>
  </si>
  <si>
    <t xml:space="preserve">28/07/2026</t>
  </si>
  <si>
    <t xml:space="preserve">18/07/2026</t>
  </si>
  <si>
    <t xml:space="preserve">17/07/2026</t>
  </si>
  <si>
    <t xml:space="preserve">16/07/2026</t>
  </si>
  <si>
    <t xml:space="preserve">15/07/2026</t>
  </si>
  <si>
    <t xml:space="preserve">14/07/2026</t>
  </si>
  <si>
    <t xml:space="preserve">PINCHO MORUNO DE POLLO</t>
  </si>
  <si>
    <t xml:space="preserve">PINCHOS MORUNOS</t>
  </si>
  <si>
    <t xml:space="preserve">MOLLEJAS DE CORDERO</t>
  </si>
  <si>
    <t xml:space="preserve">POLLOS ENTEROS</t>
  </si>
  <si>
    <t xml:space="preserve">11957</t>
  </si>
  <si>
    <t xml:space="preserve">11926</t>
  </si>
  <si>
    <t xml:space="preserve">11858</t>
  </si>
  <si>
    <t xml:space="preserve">12056</t>
  </si>
  <si>
    <t xml:space="preserve">12035</t>
  </si>
  <si>
    <t xml:space="preserve">12011</t>
  </si>
  <si>
    <t xml:space="preserve">12113</t>
  </si>
  <si>
    <t xml:space="preserve">PRESA 100% IBERICA</t>
  </si>
  <si>
    <t xml:space="preserve">PRESA IBERICA</t>
  </si>
  <si>
    <t xml:space="preserve">SEC 6207</t>
  </si>
  <si>
    <t xml:space="preserve">SEC 6082</t>
  </si>
  <si>
    <t xml:space="preserve">ABSOLUT 0,70L</t>
  </si>
  <si>
    <t xml:space="preserve">GREY GOOSE VODKA 0,70L NR</t>
  </si>
  <si>
    <t xml:space="preserve">AGT 3L MOS DE PAS</t>
  </si>
  <si>
    <t xml:space="preserve">MAESTRO DOBEL DIAMANTE REPOSADO 0.70</t>
  </si>
  <si>
    <t xml:space="preserve">APEROL LITRO</t>
  </si>
  <si>
    <t xml:space="preserve">SEAGRAMS 0,0 0,70L</t>
  </si>
  <si>
    <t xml:space="preserve">BALLANTINES 0,70L NR</t>
  </si>
  <si>
    <t xml:space="preserve">SF 7559</t>
  </si>
  <si>
    <t xml:space="preserve">TANQUERAY 0,70L</t>
  </si>
  <si>
    <t xml:space="preserve">BEEFEATER 0,70L NR</t>
  </si>
  <si>
    <t xml:space="preserve">SF 7806</t>
  </si>
  <si>
    <t xml:space="preserve">BOMBAY SAPHIRE 0,70</t>
  </si>
  <si>
    <t xml:space="preserve">SF 7780</t>
  </si>
  <si>
    <t xml:space="preserve">SERVICIOS LOGISTICOS</t>
  </si>
  <si>
    <t xml:space="preserve">BRUGAL 0,70L NR</t>
  </si>
  <si>
    <t xml:space="preserve">SF 8070</t>
  </si>
  <si>
    <t xml:space="preserve">GIN NORDÉS 0,70L</t>
  </si>
  <si>
    <t xml:space="preserve">BULLEIT BOURBON 0,70</t>
  </si>
  <si>
    <t xml:space="preserve">SF 8308</t>
  </si>
  <si>
    <t xml:space="preserve">HENDRICKS 0,70L</t>
  </si>
  <si>
    <t xml:space="preserve">CHIVAS 12 AÑOS 0,7L NR</t>
  </si>
  <si>
    <t xml:space="preserve">LARIOS 1L NR</t>
  </si>
  <si>
    <t xml:space="preserve">CINZANO PROSECCO SPRITZ</t>
  </si>
  <si>
    <t xml:space="preserve">WHITE LABEL 0,70L NR</t>
  </si>
  <si>
    <t xml:space="preserve">CREMA ORUJO 3L MOS DE PAS</t>
  </si>
  <si>
    <t xml:space="preserve">JAMESON 0,70L</t>
  </si>
  <si>
    <t xml:space="preserve">DYC 1L</t>
  </si>
  <si>
    <t xml:space="preserve">MARTINI ROJO 1L</t>
  </si>
  <si>
    <t xml:space="preserve">GIN PUERTO INDIAS FRESA 0,70</t>
  </si>
  <si>
    <t xml:space="preserve">MARTINI ROJO 1L (regalo)</t>
  </si>
  <si>
    <t xml:space="preserve">HAVANA 7 AÑOS NR</t>
  </si>
  <si>
    <t xml:space="preserve">MARTINI BLANCO 1L</t>
  </si>
  <si>
    <t xml:space="preserve">HIERBAS 3 LITROS BEREMOT</t>
  </si>
  <si>
    <t xml:space="preserve">J. WALKER NEGRA 0,70L NR</t>
  </si>
  <si>
    <t xml:space="preserve">PACHARAN 3L MOS DE PAS</t>
  </si>
  <si>
    <t xml:space="preserve">J. WALKER RED 0,70L NR</t>
  </si>
  <si>
    <t xml:space="preserve">HIERBAS 3L MOS DE PAS</t>
  </si>
  <si>
    <t xml:space="preserve">JOSE CUERVO ESPECIAL 0,7L NR</t>
  </si>
  <si>
    <t xml:space="preserve">LIMONCELO DE 3L BEREMOT</t>
  </si>
  <si>
    <t xml:space="preserve">JOSE CUERVO SILVER 0.7</t>
  </si>
  <si>
    <t xml:space="preserve">RED BULL 24U</t>
  </si>
  <si>
    <t xml:space="preserve">RED BULL 24U (regalo)</t>
  </si>
  <si>
    <t xml:space="preserve">LARIOS ESPECIAL 12 NR</t>
  </si>
  <si>
    <t xml:space="preserve">RED BULL LIGHT 24U</t>
  </si>
  <si>
    <t xml:space="preserve">LICOR CAFÉ QUEMEIRAS 3L</t>
  </si>
  <si>
    <t xml:space="preserve">RED BULL LIGHT 24U (regalo)</t>
  </si>
  <si>
    <t xml:space="preserve">MACALLAN 12</t>
  </si>
  <si>
    <t xml:space="preserve">RON BARCELO 0,70L NR</t>
  </si>
  <si>
    <t xml:space="preserve">RUINART BLANC DE BLANC 0,75</t>
  </si>
  <si>
    <t xml:space="preserve">SANTA TERESA G.RVA 0,70L</t>
  </si>
  <si>
    <t xml:space="preserve">SEAGRAMS 0,70L NR</t>
  </si>
  <si>
    <t xml:space="preserve">RON BARCELO IMPERIAL 0,70L</t>
  </si>
  <si>
    <t xml:space="preserve">RAF IBERICO</t>
  </si>
  <si>
    <t xml:space="preserve">19/07/1902</t>
  </si>
  <si>
    <t xml:space="preserve">LOMO VACA VENERO CLARO C/H</t>
  </si>
  <si>
    <t xml:space="preserve">26VC-1657</t>
  </si>
  <si>
    <t xml:space="preserve">CANTALAPIEDRA CHIVIRITERO 2024</t>
  </si>
  <si>
    <t xml:space="preserve">A262464</t>
  </si>
  <si>
    <t xml:space="preserve">AGUA CON GAS SOLAN DE CABRAS VIDRIO RNR 33CL</t>
  </si>
  <si>
    <t xml:space="preserve">TICKET VOLDIS 25/08 (detalle ilegible) base 10%</t>
  </si>
  <si>
    <t xml:space="preserve">AGUA SOLAN DE CABRAS VIDRIO RET 50CL 20U</t>
  </si>
  <si>
    <t xml:space="preserve">TICKET VOLDIS 25/08 (detalle ilegible) base 21%</t>
  </si>
  <si>
    <t xml:space="preserve">ALHAMBRA RESERVA 1925 VIDRIO NR 33CL</t>
  </si>
  <si>
    <t xml:space="preserve">TICKET VOLDIS 19/08 (detalle ilegible) base 10%</t>
  </si>
  <si>
    <t xml:space="preserve">AQUARADE ZERO LIMON VIDRIO RET 35CL</t>
  </si>
  <si>
    <t xml:space="preserve">26184</t>
  </si>
  <si>
    <t xml:space="preserve">TICKET VOLDIS 19/08 (detalle ilegible) base 21%</t>
  </si>
  <si>
    <t xml:space="preserve">AQUARADE ZERO NARANJA VIDRIO RET 35CL</t>
  </si>
  <si>
    <t xml:space="preserve">ENVASES MAHOU CAJA RET 33CL 24U</t>
  </si>
  <si>
    <t xml:space="preserve">23129</t>
  </si>
  <si>
    <t xml:space="preserve">ENVASES MAHOU VIDRIO RET 33CL</t>
  </si>
  <si>
    <t xml:space="preserve">ENVASES MSM TANQUETA RET 10L</t>
  </si>
  <si>
    <t xml:space="preserve">24440</t>
  </si>
  <si>
    <t xml:space="preserve">ENVASES PEPSI KAS CAJA RET 35CL 24U</t>
  </si>
  <si>
    <t xml:space="preserve">24355</t>
  </si>
  <si>
    <t xml:space="preserve">ENVASES PEPSI KAS VIDRIO RET 35CL</t>
  </si>
  <si>
    <t xml:space="preserve">ENVASES SCH CAJA RET 20CL 28U</t>
  </si>
  <si>
    <t xml:space="preserve">24723</t>
  </si>
  <si>
    <t xml:space="preserve">ENVASES SCHWEPPES VIDRIO RET 20CL</t>
  </si>
  <si>
    <t xml:space="preserve">ENVASES SEVEN UP CAJA RET 20CL</t>
  </si>
  <si>
    <t xml:space="preserve">25203</t>
  </si>
  <si>
    <t xml:space="preserve">ENVASES SEVEN UP VIDRIO RET 30CL</t>
  </si>
  <si>
    <t xml:space="preserve">ENVASES SOLAN DE CABRAS CAJA RET 50CL</t>
  </si>
  <si>
    <t xml:space="preserve">23640</t>
  </si>
  <si>
    <t xml:space="preserve">ENVASES SOLAN DE CABRAS VIDRIO RET 50CL</t>
  </si>
  <si>
    <t xml:space="preserve">LA CASERA GASEOSA PET 1L CAJA 12U</t>
  </si>
  <si>
    <t xml:space="preserve">25801</t>
  </si>
  <si>
    <t xml:space="preserve">LA CASERA LIMON PET 1L CAJA 12U</t>
  </si>
  <si>
    <t xml:space="preserve">LIPTON ZERO LIMON VIDRIO RET 35CL CAJA 24U</t>
  </si>
  <si>
    <t xml:space="preserve">MAHOU 0,0 TOSTADA VIDRIO RET 33CL</t>
  </si>
  <si>
    <t xml:space="preserve">MAHOU 5 ESTRELLAS SIN GLUTEN VIDRIO NR 33CL</t>
  </si>
  <si>
    <t xml:space="preserve">MAHOU 5 ESTRELLAS VIDRIO RET 33CL CAJA 24U</t>
  </si>
  <si>
    <t xml:space="preserve">MAHOU SIN BARRIL RET 10L</t>
  </si>
  <si>
    <t xml:space="preserve">SCHWEPPES LIMON LOW CAL VIDRIO RET 20CL</t>
  </si>
  <si>
    <t xml:space="preserve">SCHWEPPES NARANJA LOW CAL VIDRIO RET 20CL</t>
  </si>
  <si>
    <t xml:space="preserve">SCHWEPPES TONICA VIDRIO RET 20CL CAJA 28U</t>
  </si>
  <si>
    <t xml:space="preserve">SEVEN UP ZERO AXL VIDRIO RET 20CL</t>
  </si>
  <si>
    <t xml:space="preserve">ZUMO VIDA PIÑA VIDRIO NR 20CL</t>
  </si>
  <si>
    <t xml:space="preserve">ZUMO VIDA RARANJA VIDRIO NR 20CL</t>
  </si>
  <si>
    <t xml:space="preserve">SCHWEPPES GINGER ALE LOW CAL VIDRIO RET 20CL CAJA 28 U</t>
  </si>
  <si>
    <t xml:space="preserve">IMPORTES SUELTOS SIN DESCRIPCIÓN (venían así en la hoja)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</si>
</sst>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&quot; €&quot;_-;[RED]\-* #,##0.00&quot; €&quot;_-;_-* \-??&quot; €&quot;_-;_-@_-"/>
    <numFmt numFmtId="166" formatCode="0"/>
    <numFmt numFmtId="167" formatCode="General"/>
    <numFmt numFmtId="168" formatCode="0.0%"/>
    <numFmt numFmtId="169" formatCode="@"/>
    <numFmt numFmtId="170" formatCode="0%"/>
    <numFmt numFmtId="171" formatCode="#,##0.00&quot; €&quot;;[RED]\-#,##0.00&quot; €&quot;;\-"/>
    <numFmt numFmtId="172" formatCode="[$-C0A]mmmm\ yyyy"/>
    <numFmt numFmtId="173" formatCode="#,##0.###;[RED]\-#,##0.###;\-"/>
    <numFmt numFmtId="174" formatCode="0%;\-0%;&quot;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mbria"/>
      <family val="0"/>
      <charset val="1"/>
    </font>
    <font>
      <b val="true"/>
      <sz val="12"/>
      <color rgb="FFC55A11"/>
      <name val="Cambria"/>
      <family val="0"/>
      <charset val="1"/>
    </font>
    <font>
      <i val="true"/>
      <sz val="11"/>
      <color rgb="FF7F7F7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2"/>
      <color rgb="FF1F386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7A6B"/>
      <name val="Cambria"/>
      <family val="0"/>
      <charset val="1"/>
    </font>
    <font>
      <b val="true"/>
      <sz val="11"/>
      <color rgb="FFC55A11"/>
      <name val="Cambria"/>
      <family val="0"/>
      <charset val="1"/>
    </font>
    <font>
      <b val="true"/>
      <sz val="13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55A11"/>
        <bgColor rgb="FF993300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EDEDED"/>
      </patternFill>
    </fill>
    <fill>
      <patternFill patternType="solid">
        <fgColor rgb="FFF5F7FB"/>
        <bgColor rgb="FFFFFFFF"/>
      </patternFill>
    </fill>
    <fill>
      <patternFill patternType="solid">
        <fgColor rgb="FFD9F0EC"/>
        <bgColor rgb="FFEDEDED"/>
      </patternFill>
    </fill>
    <fill>
      <patternFill patternType="solid">
        <fgColor rgb="FF1F7A6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b val="1"/>
        <color rgb="FFC00000"/>
        <sz val="14"/>
      </font>
    </dxf>
    <dxf>
      <font>
        <color rgb="FF808080"/>
      </font>
      <fill>
        <patternFill>
          <bgColor rgb="FFEDEDED"/>
        </patternFill>
      </fill>
    </dxf>
    <dxf>
      <font>
        <b val="1"/>
        <color rgb="FFC00000"/>
      </font>
    </dxf>
    <dxf>
      <font>
        <b val="1"/>
        <color rgb="FF00B050"/>
      </font>
    </dxf>
    <dxf>
      <border diagonalUp="false" diagonalDown="false">
        <left/>
        <right/>
        <top style="medium">
          <color rgb="FF1F3864"/>
        </top>
        <bottom/>
        <diagonal/>
      </border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F7A6B"/>
      <rgbColor rgb="FFBFBFBF"/>
      <rgbColor rgb="FF808080"/>
      <rgbColor rgb="FF9999FF"/>
      <rgbColor rgb="FF993366"/>
      <rgbColor rgb="FFF5F7FB"/>
      <rgbColor rgb="FFD9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7F7F7F"/>
      <rgbColor rgb="FFA6A6A6"/>
      <rgbColor rgb="FF1F3864"/>
      <rgbColor rgb="FF00B050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B2:H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3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true" outlineLevel="0" collapsed="false">
      <c r="B6" s="4" t="s">
        <v>3</v>
      </c>
      <c r="C6" s="4"/>
      <c r="D6" s="4" t="s">
        <v>4</v>
      </c>
      <c r="E6" s="4"/>
      <c r="F6" s="4" t="s">
        <v>5</v>
      </c>
      <c r="G6" s="4"/>
    </row>
    <row r="7" customFormat="false" ht="25.5" hidden="false" customHeight="true" outlineLevel="0" collapsed="false">
      <c r="B7" s="5" t="n">
        <f aca="false">SUM('TOTAL AGOSTO'!D4:D2000)</f>
        <v>24271.19</v>
      </c>
      <c r="C7" s="5"/>
      <c r="D7" s="5" t="n">
        <f aca="false">SUM('TOTAL AGOSTO'!F4:F2000)-SUM('TOTAL AGOSTO'!D4:D2000)</f>
        <v>2945.2262</v>
      </c>
      <c r="E7" s="5"/>
      <c r="F7" s="5" t="n">
        <f aca="false">SUM('TOTAL AGOSTO'!F4:F2000)</f>
        <v>27216.4162</v>
      </c>
      <c r="G7" s="5"/>
    </row>
    <row r="9" customFormat="false" ht="15" hidden="false" customHeight="true" outlineLevel="0" collapsed="false">
      <c r="B9" s="6" t="s">
        <v>6</v>
      </c>
      <c r="C9" s="6"/>
      <c r="D9" s="6" t="s">
        <v>7</v>
      </c>
      <c r="E9" s="6"/>
      <c r="F9" s="6" t="s">
        <v>8</v>
      </c>
      <c r="G9" s="6"/>
    </row>
    <row r="10" customFormat="false" ht="25.5" hidden="false" customHeight="true" outlineLevel="0" collapsed="false">
      <c r="B10" s="7" t="n">
        <f aca="false">COUNTIF('TOTAL AGOSTO'!B4:B2000,"?*")</f>
        <v>131</v>
      </c>
      <c r="C10" s="7"/>
      <c r="D10" s="7" t="n">
        <f aca="false">SUMPRODUCT(('TOTAL AGOSTO'!B4:B2000&lt;&gt;"")/COUNTIF('TOTAL AGOSTO'!B4:B2000,'TOTAL AGOSTO'!B4:B2000&amp;""))</f>
        <v>29</v>
      </c>
      <c r="E10" s="7"/>
      <c r="F10" s="7" t="n">
        <f aca="false">COUNTIF('CUADRE ALBARANES'!H:H,"REVISAR")</f>
        <v>3</v>
      </c>
      <c r="G10" s="7"/>
    </row>
    <row r="12" customFormat="false" ht="15" hidden="false" customHeight="true" outlineLevel="0" collapsed="false">
      <c r="B12" s="8" t="s">
        <v>9</v>
      </c>
      <c r="C12" s="8"/>
      <c r="D12" s="8" t="s">
        <v>10</v>
      </c>
      <c r="E12" s="8"/>
      <c r="F12" s="8" t="s">
        <v>11</v>
      </c>
      <c r="G12" s="8"/>
    </row>
    <row r="13" customFormat="false" ht="25.5" hidden="false" customHeight="true" outlineLevel="0" collapsed="false">
      <c r="B13" s="5" t="n">
        <f aca="false">SUMIF('TOTAL AGOSTO'!$E$4:$E$2000,0.04,'TOTAL AGOSTO'!$D$4:$D$2000)</f>
        <v>1675.07</v>
      </c>
      <c r="C13" s="5"/>
      <c r="D13" s="5" t="n">
        <f aca="false">SUMIF('TOTAL AGOSTO'!$E$4:$E$2000,0.1,'TOTAL AGOSTO'!$D$4:$D$2000)</f>
        <v>16972.38</v>
      </c>
      <c r="E13" s="5"/>
      <c r="F13" s="5" t="n">
        <f aca="false">SUMIF('TOTAL AGOSTO'!$E$4:$E$2000,0.21,'TOTAL AGOSTO'!$D$4:$D$2000)</f>
        <v>5623.74</v>
      </c>
      <c r="G13" s="5"/>
    </row>
    <row r="16" customFormat="false" ht="15" hidden="false" customHeight="false" outlineLevel="0" collapsed="false">
      <c r="B16" s="9" t="s">
        <v>12</v>
      </c>
    </row>
    <row r="17" customFormat="false" ht="15" hidden="false" customHeight="false" outlineLevel="0" collapsed="false">
      <c r="B17" s="10" t="s">
        <v>13</v>
      </c>
      <c r="C17" s="10" t="s">
        <v>14</v>
      </c>
      <c r="D17" s="11" t="s">
        <v>15</v>
      </c>
      <c r="E17" s="11" t="s">
        <v>16</v>
      </c>
      <c r="F17" s="10" t="s">
        <v>17</v>
      </c>
      <c r="G17" s="10" t="s">
        <v>18</v>
      </c>
      <c r="H17" s="10" t="s">
        <v>19</v>
      </c>
    </row>
    <row r="18" customFormat="false" ht="15" hidden="false" customHeight="false" outlineLevel="0" collapsed="false">
      <c r="B18" s="12" t="s">
        <v>20</v>
      </c>
      <c r="C18" s="13" t="n">
        <f aca="false">COUNTIF('TOTAL AGOSTO'!$B$4:$B$2000,B18)</f>
        <v>13</v>
      </c>
      <c r="D18" s="14" t="n">
        <f aca="false">SUMIF('TOTAL AGOSTO'!$B$4:$B$2000,B18,'TOTAL AGOSTO'!$D$4:$D$2000)</f>
        <v>5112.89</v>
      </c>
      <c r="E18" s="15" t="n">
        <f aca="false">IF($D$56=0,0,D18/$D$56)</f>
        <v>0.210656749833857</v>
      </c>
      <c r="F18" s="16" t="n">
        <v>10740.83</v>
      </c>
      <c r="G18" s="16" t="n">
        <f aca="false">IF(F18="","",D18-F18)</f>
        <v>-5627.94</v>
      </c>
      <c r="H18" s="15" t="n">
        <f aca="false">IF(OR(F18="",N(F18)=0),"",D18/F18-1)</f>
        <v>-0.523976266266201</v>
      </c>
    </row>
    <row r="19" customFormat="false" ht="15" hidden="false" customHeight="false" outlineLevel="0" collapsed="false">
      <c r="B19" s="12" t="s">
        <v>21</v>
      </c>
      <c r="C19" s="13" t="n">
        <f aca="false">COUNTIF('TOTAL AGOSTO'!$B$4:$B$2000,B19)</f>
        <v>4</v>
      </c>
      <c r="D19" s="14" t="n">
        <f aca="false">SUMIF('TOTAL AGOSTO'!$B$4:$B$2000,B19,'TOTAL AGOSTO'!$D$4:$D$2000)</f>
        <v>1920.54</v>
      </c>
      <c r="E19" s="15" t="n">
        <f aca="false">IF($D$56=0,0,D19/$D$56)</f>
        <v>0.0791283822507261</v>
      </c>
      <c r="F19" s="16" t="n">
        <v>5092.38</v>
      </c>
      <c r="G19" s="16" t="n">
        <f aca="false">IF(F19="","",D19-F19)</f>
        <v>-3171.84</v>
      </c>
      <c r="H19" s="15" t="n">
        <f aca="false">IF(OR(F19="",N(F19)=0),"",D19/F19-1)</f>
        <v>-0.622860037939038</v>
      </c>
    </row>
    <row r="20" customFormat="false" ht="15" hidden="false" customHeight="false" outlineLevel="0" collapsed="false">
      <c r="B20" s="12" t="s">
        <v>22</v>
      </c>
      <c r="C20" s="13" t="n">
        <f aca="false">COUNTIF('TOTAL AGOSTO'!$B$4:$B$2000,B20)</f>
        <v>12</v>
      </c>
      <c r="D20" s="14" t="n">
        <f aca="false">SUMIF('TOTAL AGOSTO'!$B$4:$B$2000,B20,'TOTAL AGOSTO'!$D$4:$D$2000)</f>
        <v>1617.8</v>
      </c>
      <c r="E20" s="15" t="n">
        <f aca="false">IF($D$56=0,0,D20/$D$56)</f>
        <v>0.0666551578229168</v>
      </c>
      <c r="F20" s="16" t="n">
        <v>3561.4</v>
      </c>
      <c r="G20" s="16" t="n">
        <f aca="false">IF(F20="","",D20-F20)</f>
        <v>-1943.6</v>
      </c>
      <c r="H20" s="15" t="n">
        <f aca="false">IF(OR(F20="",N(F20)=0),"",D20/F20-1)</f>
        <v>-0.545740439153142</v>
      </c>
    </row>
    <row r="21" customFormat="false" ht="15" hidden="false" customHeight="false" outlineLevel="0" collapsed="false">
      <c r="B21" s="12" t="s">
        <v>23</v>
      </c>
      <c r="C21" s="13" t="n">
        <f aca="false">COUNTIF('TOTAL AGOSTO'!$B$4:$B$2000,B21)</f>
        <v>3</v>
      </c>
      <c r="D21" s="14" t="n">
        <f aca="false">SUMIF('TOTAL AGOSTO'!$B$4:$B$2000,B21,'TOTAL AGOSTO'!$D$4:$D$2000)</f>
        <v>1320.36</v>
      </c>
      <c r="E21" s="15" t="n">
        <f aca="false">IF($D$56=0,0,D21/$D$56)</f>
        <v>0.0544002992848723</v>
      </c>
      <c r="F21" s="16" t="n">
        <v>3131.64</v>
      </c>
      <c r="G21" s="16" t="n">
        <f aca="false">IF(F21="","",D21-F21)</f>
        <v>-1811.28</v>
      </c>
      <c r="H21" s="15" t="n">
        <f aca="false">IF(OR(F21="",N(F21)=0),"",D21/F21-1)</f>
        <v>-0.578380656780473</v>
      </c>
    </row>
    <row r="22" customFormat="false" ht="15" hidden="false" customHeight="false" outlineLevel="0" collapsed="false">
      <c r="B22" s="12" t="s">
        <v>24</v>
      </c>
      <c r="C22" s="13" t="n">
        <f aca="false">COUNTIF('TOTAL AGOSTO'!$B$4:$B$2000,B22)</f>
        <v>3</v>
      </c>
      <c r="D22" s="14" t="n">
        <f aca="false">SUMIF('TOTAL AGOSTO'!$B$4:$B$2000,B22,'TOTAL AGOSTO'!$D$4:$D$2000)</f>
        <v>1199.46</v>
      </c>
      <c r="E22" s="15" t="n">
        <f aca="false">IF($D$56=0,0,D22/$D$56)</f>
        <v>0.0494190849315588</v>
      </c>
      <c r="F22" s="16" t="n">
        <v>4059.72</v>
      </c>
      <c r="G22" s="16" t="n">
        <f aca="false">IF(F22="","",D22-F22)</f>
        <v>-2860.26</v>
      </c>
      <c r="H22" s="15" t="n">
        <f aca="false">IF(OR(F22="",N(F22)=0),"",D22/F22-1)</f>
        <v>-0.704546126333836</v>
      </c>
    </row>
    <row r="23" customFormat="false" ht="15" hidden="false" customHeight="false" outlineLevel="0" collapsed="false">
      <c r="B23" s="12" t="s">
        <v>25</v>
      </c>
      <c r="C23" s="13" t="n">
        <f aca="false">COUNTIF('TOTAL AGOSTO'!$B$4:$B$2000,B23)</f>
        <v>10</v>
      </c>
      <c r="D23" s="14" t="n">
        <f aca="false">SUMIF('TOTAL AGOSTO'!$B$4:$B$2000,B23,'TOTAL AGOSTO'!$D$4:$D$2000)</f>
        <v>1125.19</v>
      </c>
      <c r="E23" s="15" t="n">
        <f aca="false">IF($D$56=0,0,D23/$D$56)</f>
        <v>0.0463590783970625</v>
      </c>
      <c r="F23" s="16" t="n">
        <v>1122.99</v>
      </c>
      <c r="G23" s="16" t="n">
        <f aca="false">IF(F23="","",D23-F23)</f>
        <v>2.20000000000005</v>
      </c>
      <c r="H23" s="15" t="n">
        <f aca="false">IF(OR(F23="",N(F23)=0),"",D23/F23-1)</f>
        <v>0.00195905573513566</v>
      </c>
    </row>
    <row r="24" customFormat="false" ht="15" hidden="false" customHeight="false" outlineLevel="0" collapsed="false">
      <c r="B24" s="12" t="s">
        <v>26</v>
      </c>
      <c r="C24" s="13" t="n">
        <f aca="false">COUNTIF('TOTAL AGOSTO'!$B$4:$B$2000,B24)</f>
        <v>2</v>
      </c>
      <c r="D24" s="14" t="n">
        <f aca="false">SUMIF('TOTAL AGOSTO'!$B$4:$B$2000,B24,'TOTAL AGOSTO'!$D$4:$D$2000)</f>
        <v>1061.59</v>
      </c>
      <c r="E24" s="15" t="n">
        <f aca="false">IF($D$56=0,0,D24/$D$56)</f>
        <v>0.0437386877198852</v>
      </c>
      <c r="F24" s="16" t="n">
        <v>3739.92</v>
      </c>
      <c r="G24" s="16" t="n">
        <f aca="false">IF(F24="","",D24-F24)</f>
        <v>-2678.33</v>
      </c>
      <c r="H24" s="15" t="n">
        <f aca="false">IF(OR(F24="",N(F24)=0),"",D24/F24-1)</f>
        <v>-0.716146334680956</v>
      </c>
    </row>
    <row r="25" customFormat="false" ht="15" hidden="false" customHeight="false" outlineLevel="0" collapsed="false">
      <c r="B25" s="12" t="s">
        <v>27</v>
      </c>
      <c r="C25" s="13" t="n">
        <f aca="false">COUNTIF('TOTAL AGOSTO'!$B$4:$B$2000,B25)</f>
        <v>8</v>
      </c>
      <c r="D25" s="14" t="n">
        <f aca="false">SUMIF('TOTAL AGOSTO'!$B$4:$B$2000,B25,'TOTAL AGOSTO'!$D$4:$D$2000)</f>
        <v>930.8</v>
      </c>
      <c r="E25" s="15" t="n">
        <f aca="false">IF($D$56=0,0,D25/$D$56)</f>
        <v>0.0383499943760483</v>
      </c>
      <c r="F25" s="16" t="n">
        <v>1815.6</v>
      </c>
      <c r="G25" s="16" t="n">
        <f aca="false">IF(F25="","",D25-F25)</f>
        <v>-884.8</v>
      </c>
      <c r="H25" s="15" t="n">
        <f aca="false">IF(OR(F25="",N(F25)=0),"",D25/F25-1)</f>
        <v>-0.487332011456268</v>
      </c>
    </row>
    <row r="26" customFormat="false" ht="15" hidden="false" customHeight="false" outlineLevel="0" collapsed="false">
      <c r="B26" s="12" t="s">
        <v>28</v>
      </c>
      <c r="C26" s="13" t="n">
        <f aca="false">COUNTIF('TOTAL AGOSTO'!$B$4:$B$2000,B26)</f>
        <v>9</v>
      </c>
      <c r="D26" s="14" t="n">
        <f aca="false">SUMIF('TOTAL AGOSTO'!$B$4:$B$2000,B26,'TOTAL AGOSTO'!$D$4:$D$2000)</f>
        <v>890.28</v>
      </c>
      <c r="E26" s="15" t="n">
        <f aca="false">IF($D$56=0,0,D26/$D$56)</f>
        <v>0.0366805253471297</v>
      </c>
      <c r="F26" s="16" t="n">
        <v>1086.03</v>
      </c>
      <c r="G26" s="16" t="n">
        <f aca="false">IF(F26="","",D26-F26)</f>
        <v>-195.75</v>
      </c>
      <c r="H26" s="15" t="n">
        <f aca="false">IF(OR(F26="",N(F26)=0),"",D26/F26-1)</f>
        <v>-0.180243639678462</v>
      </c>
    </row>
    <row r="27" customFormat="false" ht="15" hidden="false" customHeight="false" outlineLevel="0" collapsed="false">
      <c r="B27" s="12" t="s">
        <v>29</v>
      </c>
      <c r="C27" s="13" t="n">
        <f aca="false">COUNTIF('TOTAL AGOSTO'!$B$4:$B$2000,B27)</f>
        <v>4</v>
      </c>
      <c r="D27" s="14" t="n">
        <f aca="false">SUMIF('TOTAL AGOSTO'!$B$4:$B$2000,B27,'TOTAL AGOSTO'!$D$4:$D$2000)</f>
        <v>780.87</v>
      </c>
      <c r="E27" s="15" t="n">
        <f aca="false">IF($D$56=0,0,D27/$D$56)</f>
        <v>0.0321727117623817</v>
      </c>
      <c r="F27" s="16" t="n">
        <v>6546.46</v>
      </c>
      <c r="G27" s="16" t="n">
        <f aca="false">IF(F27="","",D27-F27)</f>
        <v>-5765.59</v>
      </c>
      <c r="H27" s="15" t="n">
        <f aca="false">IF(OR(F27="",N(F27)=0),"",D27/F27-1)</f>
        <v>-0.880718739593613</v>
      </c>
    </row>
    <row r="28" customFormat="false" ht="15" hidden="false" customHeight="false" outlineLevel="0" collapsed="false">
      <c r="B28" s="12" t="s">
        <v>30</v>
      </c>
      <c r="C28" s="13" t="n">
        <f aca="false">COUNTIF('TOTAL AGOSTO'!$B$4:$B$2000,B28)</f>
        <v>10</v>
      </c>
      <c r="D28" s="14" t="n">
        <f aca="false">SUMIF('TOTAL AGOSTO'!$B$4:$B$2000,B28,'TOTAL AGOSTO'!$D$4:$D$2000)</f>
        <v>772</v>
      </c>
      <c r="E28" s="15" t="n">
        <f aca="false">IF($D$56=0,0,D28/$D$56)</f>
        <v>0.0318072579053602</v>
      </c>
      <c r="F28" s="16" t="n">
        <v>1970.46</v>
      </c>
      <c r="G28" s="16" t="n">
        <f aca="false">IF(F28="","",D28-F28)</f>
        <v>-1198.46</v>
      </c>
      <c r="H28" s="15" t="n">
        <f aca="false">IF(OR(F28="",N(F28)=0),"",D28/F28-1)</f>
        <v>-0.608213310597526</v>
      </c>
    </row>
    <row r="29" customFormat="false" ht="15" hidden="false" customHeight="false" outlineLevel="0" collapsed="false">
      <c r="B29" s="12" t="s">
        <v>31</v>
      </c>
      <c r="C29" s="13" t="n">
        <f aca="false">COUNTIF('TOTAL AGOSTO'!$B$4:$B$2000,B29)</f>
        <v>2</v>
      </c>
      <c r="D29" s="14" t="n">
        <f aca="false">SUMIF('TOTAL AGOSTO'!$B$4:$B$2000,B29,'TOTAL AGOSTO'!$D$4:$D$2000)</f>
        <v>712.94</v>
      </c>
      <c r="E29" s="15" t="n">
        <f aca="false">IF($D$56=0,0,D29/$D$56)</f>
        <v>0.0293739202733776</v>
      </c>
      <c r="F29" s="16" t="n">
        <v>3291.32</v>
      </c>
      <c r="G29" s="16" t="n">
        <f aca="false">IF(F29="","",D29-F29)</f>
        <v>-2578.38</v>
      </c>
      <c r="H29" s="15" t="n">
        <f aca="false">IF(OR(F29="",N(F29)=0),"",D29/F29-1)</f>
        <v>-0.783387820084343</v>
      </c>
    </row>
    <row r="30" customFormat="false" ht="15" hidden="false" customHeight="false" outlineLevel="0" collapsed="false">
      <c r="B30" s="12" t="s">
        <v>32</v>
      </c>
      <c r="C30" s="13" t="n">
        <f aca="false">COUNTIF('TOTAL AGOSTO'!$B$4:$B$2000,B30)</f>
        <v>2</v>
      </c>
      <c r="D30" s="14" t="n">
        <f aca="false">SUMIF('TOTAL AGOSTO'!$B$4:$B$2000,B30,'TOTAL AGOSTO'!$D$4:$D$2000)</f>
        <v>654.19</v>
      </c>
      <c r="E30" s="15" t="n">
        <f aca="false">IF($D$56=0,0,D30/$D$56)</f>
        <v>0.0269533549858907</v>
      </c>
      <c r="F30" s="16" t="n">
        <v>533.74</v>
      </c>
      <c r="G30" s="16" t="n">
        <f aca="false">IF(F30="","",D30-F30)</f>
        <v>120.45</v>
      </c>
      <c r="H30" s="15" t="n">
        <f aca="false">IF(OR(F30="",N(F30)=0),"",D30/F30-1)</f>
        <v>0.225671675347548</v>
      </c>
    </row>
    <row r="31" customFormat="false" ht="15" hidden="false" customHeight="false" outlineLevel="0" collapsed="false">
      <c r="B31" s="12" t="s">
        <v>33</v>
      </c>
      <c r="C31" s="13" t="n">
        <f aca="false">COUNTIF('TOTAL AGOSTO'!$B$4:$B$2000,B31)</f>
        <v>2</v>
      </c>
      <c r="D31" s="14" t="n">
        <f aca="false">SUMIF('TOTAL AGOSTO'!$B$4:$B$2000,B31,'TOTAL AGOSTO'!$D$4:$D$2000)</f>
        <v>640.26</v>
      </c>
      <c r="E31" s="15" t="n">
        <f aca="false">IF($D$56=0,0,D31/$D$56)</f>
        <v>0.0263794235058108</v>
      </c>
      <c r="F31" s="16" t="n">
        <v>1412.35</v>
      </c>
      <c r="G31" s="16" t="n">
        <f aca="false">IF(F31="","",D31-F31)</f>
        <v>-772.09</v>
      </c>
      <c r="H31" s="15" t="n">
        <f aca="false">IF(OR(F31="",N(F31)=0),"",D31/F31-1)</f>
        <v>-0.54667044287889</v>
      </c>
    </row>
    <row r="32" customFormat="false" ht="15" hidden="false" customHeight="false" outlineLevel="0" collapsed="false">
      <c r="B32" s="12" t="s">
        <v>34</v>
      </c>
      <c r="C32" s="13" t="n">
        <f aca="false">COUNTIF('TOTAL AGOSTO'!$B$4:$B$2000,B32)</f>
        <v>5</v>
      </c>
      <c r="D32" s="14" t="n">
        <f aca="false">SUMIF('TOTAL AGOSTO'!$B$4:$B$2000,B32,'TOTAL AGOSTO'!$D$4:$D$2000)</f>
        <v>604.05</v>
      </c>
      <c r="E32" s="15" t="n">
        <f aca="false">IF($D$56=0,0,D32/$D$56)</f>
        <v>0.0248875312664933</v>
      </c>
      <c r="F32" s="16" t="n">
        <v>646.58</v>
      </c>
      <c r="G32" s="16" t="n">
        <f aca="false">IF(F32="","",D32-F32)</f>
        <v>-42.5300000000001</v>
      </c>
      <c r="H32" s="15" t="n">
        <f aca="false">IF(OR(F32="",N(F32)=0),"",D32/F32-1)</f>
        <v>-0.0657768566921342</v>
      </c>
    </row>
    <row r="33" customFormat="false" ht="15" hidden="false" customHeight="false" outlineLevel="0" collapsed="false">
      <c r="B33" s="12" t="s">
        <v>35</v>
      </c>
      <c r="C33" s="13" t="n">
        <f aca="false">COUNTIF('TOTAL AGOSTO'!$B$4:$B$2000,B33)</f>
        <v>4</v>
      </c>
      <c r="D33" s="14" t="n">
        <f aca="false">SUMIF('TOTAL AGOSTO'!$B$4:$B$2000,B33,'TOTAL AGOSTO'!$D$4:$D$2000)</f>
        <v>519.69</v>
      </c>
      <c r="E33" s="15" t="n">
        <f aca="false">IF($D$56=0,0,D33/$D$56)</f>
        <v>0.0214118055192185</v>
      </c>
      <c r="F33" s="16" t="n">
        <v>1568.32</v>
      </c>
      <c r="G33" s="16" t="n">
        <f aca="false">IF(F33="","",D33-F33)</f>
        <v>-1048.63</v>
      </c>
      <c r="H33" s="15" t="n">
        <f aca="false">IF(OR(F33="",N(F33)=0),"",D33/F33-1)</f>
        <v>-0.668632677004693</v>
      </c>
    </row>
    <row r="34" customFormat="false" ht="15" hidden="false" customHeight="false" outlineLevel="0" collapsed="false">
      <c r="B34" s="12" t="s">
        <v>36</v>
      </c>
      <c r="C34" s="13" t="n">
        <f aca="false">COUNTIF('TOTAL AGOSTO'!$B$4:$B$2000,B34)</f>
        <v>2</v>
      </c>
      <c r="D34" s="14" t="n">
        <f aca="false">SUMIF('TOTAL AGOSTO'!$B$4:$B$2000,B34,'TOTAL AGOSTO'!$D$4:$D$2000)</f>
        <v>516</v>
      </c>
      <c r="E34" s="15" t="n">
        <f aca="false">IF($D$56=0,0,D34/$D$56)</f>
        <v>0.0212597734186086</v>
      </c>
      <c r="F34" s="16"/>
      <c r="G34" s="16" t="str">
        <f aca="false">IF(F34="","",D34-F34)</f>
        <v/>
      </c>
      <c r="H34" s="15" t="str">
        <f aca="false">IF(OR(F34="",N(F34)=0),"",D34/F34-1)</f>
        <v/>
      </c>
    </row>
    <row r="35" customFormat="false" ht="15" hidden="false" customHeight="false" outlineLevel="0" collapsed="false">
      <c r="B35" s="12" t="s">
        <v>37</v>
      </c>
      <c r="C35" s="13" t="n">
        <f aca="false">COUNTIF('TOTAL AGOSTO'!$B$4:$B$2000,B35)</f>
        <v>4</v>
      </c>
      <c r="D35" s="14" t="n">
        <f aca="false">SUMIF('TOTAL AGOSTO'!$B$4:$B$2000,B35,'TOTAL AGOSTO'!$D$4:$D$2000)</f>
        <v>457.72</v>
      </c>
      <c r="E35" s="15" t="n">
        <f aca="false">IF($D$56=0,0,D35/$D$56)</f>
        <v>0.0188585726534216</v>
      </c>
      <c r="F35" s="16" t="n">
        <v>2124.02</v>
      </c>
      <c r="G35" s="16" t="n">
        <f aca="false">IF(F35="","",D35-F35)</f>
        <v>-1666.3</v>
      </c>
      <c r="H35" s="15" t="n">
        <f aca="false">IF(OR(F35="",N(F35)=0),"",D35/F35-1)</f>
        <v>-0.784502970781819</v>
      </c>
    </row>
    <row r="36" customFormat="false" ht="15" hidden="false" customHeight="false" outlineLevel="0" collapsed="false">
      <c r="B36" s="12" t="s">
        <v>38</v>
      </c>
      <c r="C36" s="13" t="n">
        <f aca="false">COUNTIF('TOTAL AGOSTO'!$B$4:$B$2000,B36)</f>
        <v>2</v>
      </c>
      <c r="D36" s="14" t="n">
        <f aca="false">SUMIF('TOTAL AGOSTO'!$B$4:$B$2000,B36,'TOTAL AGOSTO'!$D$4:$D$2000)</f>
        <v>432</v>
      </c>
      <c r="E36" s="15" t="n">
        <f aca="false">IF($D$56=0,0,D36/$D$56)</f>
        <v>0.0177988800713933</v>
      </c>
      <c r="F36" s="16" t="n">
        <v>1189</v>
      </c>
      <c r="G36" s="16" t="n">
        <f aca="false">IF(F36="","",D36-F36)</f>
        <v>-757</v>
      </c>
      <c r="H36" s="15" t="n">
        <f aca="false">IF(OR(F36="",N(F36)=0),"",D36/F36-1)</f>
        <v>-0.636669470142977</v>
      </c>
    </row>
    <row r="37" customFormat="false" ht="15" hidden="false" customHeight="false" outlineLevel="0" collapsed="false">
      <c r="B37" s="12" t="s">
        <v>39</v>
      </c>
      <c r="C37" s="13" t="n">
        <f aca="false">COUNTIF('TOTAL AGOSTO'!$B$4:$B$2000,B37)</f>
        <v>1</v>
      </c>
      <c r="D37" s="14" t="n">
        <f aca="false">SUMIF('TOTAL AGOSTO'!$B$4:$B$2000,B37,'TOTAL AGOSTO'!$D$4:$D$2000)</f>
        <v>425</v>
      </c>
      <c r="E37" s="15" t="n">
        <f aca="false">IF($D$56=0,0,D37/$D$56)</f>
        <v>0.0175104722924587</v>
      </c>
      <c r="F37" s="16" t="n">
        <v>904.82</v>
      </c>
      <c r="G37" s="16" t="n">
        <f aca="false">IF(F37="","",D37-F37)</f>
        <v>-479.82</v>
      </c>
      <c r="H37" s="15" t="n">
        <f aca="false">IF(OR(F37="",N(F37)=0),"",D37/F37-1)</f>
        <v>-0.530293318008002</v>
      </c>
    </row>
    <row r="38" customFormat="false" ht="15" hidden="false" customHeight="false" outlineLevel="0" collapsed="false">
      <c r="B38" s="12" t="s">
        <v>40</v>
      </c>
      <c r="C38" s="13" t="n">
        <f aca="false">COUNTIF('TOTAL AGOSTO'!$B$4:$B$2000,B38)</f>
        <v>1</v>
      </c>
      <c r="D38" s="14" t="n">
        <f aca="false">SUMIF('TOTAL AGOSTO'!$B$4:$B$2000,B38,'TOTAL AGOSTO'!$D$4:$D$2000)</f>
        <v>382.59</v>
      </c>
      <c r="E38" s="15" t="n">
        <f aca="false">IF($D$56=0,0,D38/$D$56)</f>
        <v>0.0157631331632277</v>
      </c>
      <c r="F38" s="16" t="n">
        <v>705.24</v>
      </c>
      <c r="G38" s="16" t="n">
        <f aca="false">IF(F38="","",D38-F38)</f>
        <v>-322.65</v>
      </c>
      <c r="H38" s="15" t="n">
        <f aca="false">IF(OR(F38="",N(F38)=0),"",D38/F38-1)</f>
        <v>-0.45750382848392</v>
      </c>
    </row>
    <row r="39" customFormat="false" ht="15" hidden="false" customHeight="false" outlineLevel="0" collapsed="false">
      <c r="B39" s="12" t="s">
        <v>41</v>
      </c>
      <c r="C39" s="13" t="n">
        <f aca="false">COUNTIF('TOTAL AGOSTO'!$B$4:$B$2000,B39)</f>
        <v>6</v>
      </c>
      <c r="D39" s="14" t="n">
        <f aca="false">SUMIF('TOTAL AGOSTO'!$B$4:$B$2000,B39,'TOTAL AGOSTO'!$D$4:$D$2000)</f>
        <v>381.21</v>
      </c>
      <c r="E39" s="15" t="n">
        <f aca="false">IF($D$56=0,0,D39/$D$56)</f>
        <v>0.0157062756296663</v>
      </c>
      <c r="F39" s="16" t="n">
        <v>1032.66</v>
      </c>
      <c r="G39" s="16" t="n">
        <f aca="false">IF(F39="","",D39-F39)</f>
        <v>-651.45</v>
      </c>
      <c r="H39" s="15" t="n">
        <f aca="false">IF(OR(F39="",N(F39)=0),"",D39/F39-1)</f>
        <v>-0.630846551623961</v>
      </c>
    </row>
    <row r="40" customFormat="false" ht="15" hidden="false" customHeight="false" outlineLevel="0" collapsed="false">
      <c r="B40" s="12" t="s">
        <v>42</v>
      </c>
      <c r="C40" s="13" t="n">
        <f aca="false">COUNTIF('TOTAL AGOSTO'!$B$4:$B$2000,B40)</f>
        <v>2</v>
      </c>
      <c r="D40" s="14" t="n">
        <f aca="false">SUMIF('TOTAL AGOSTO'!$B$4:$B$2000,B40,'TOTAL AGOSTO'!$D$4:$D$2000)</f>
        <v>369.6</v>
      </c>
      <c r="E40" s="15" t="n">
        <f aca="false">IF($D$56=0,0,D40/$D$56)</f>
        <v>0.0152279307277476</v>
      </c>
      <c r="F40" s="16" t="n">
        <v>1400.16</v>
      </c>
      <c r="G40" s="16" t="n">
        <f aca="false">IF(F40="","",D40-F40)</f>
        <v>-1030.56</v>
      </c>
      <c r="H40" s="15" t="n">
        <f aca="false">IF(OR(F40="",N(F40)=0),"",D40/F40-1)</f>
        <v>-0.736030167980802</v>
      </c>
    </row>
    <row r="41" customFormat="false" ht="15" hidden="false" customHeight="false" outlineLevel="0" collapsed="false">
      <c r="B41" s="12" t="s">
        <v>43</v>
      </c>
      <c r="C41" s="13" t="n">
        <f aca="false">COUNTIF('TOTAL AGOSTO'!$B$4:$B$2000,B41)</f>
        <v>8</v>
      </c>
      <c r="D41" s="14" t="n">
        <f aca="false">SUMIF('TOTAL AGOSTO'!$B$4:$B$2000,B41,'TOTAL AGOSTO'!$D$4:$D$2000)</f>
        <v>358.9</v>
      </c>
      <c r="E41" s="15" t="n">
        <f aca="false">IF($D$56=0,0,D41/$D$56)</f>
        <v>0.0147870788370904</v>
      </c>
      <c r="F41" s="16" t="n">
        <v>611.4</v>
      </c>
      <c r="G41" s="16" t="n">
        <f aca="false">IF(F41="","",D41-F41)</f>
        <v>-252.5</v>
      </c>
      <c r="H41" s="15" t="n">
        <f aca="false">IF(OR(F41="",N(F41)=0),"",D41/F41-1)</f>
        <v>-0.412986588158325</v>
      </c>
    </row>
    <row r="42" customFormat="false" ht="15" hidden="false" customHeight="false" outlineLevel="0" collapsed="false">
      <c r="B42" s="12" t="s">
        <v>44</v>
      </c>
      <c r="C42" s="13" t="n">
        <f aca="false">COUNTIF('TOTAL AGOSTO'!$B$4:$B$2000,B42)</f>
        <v>7</v>
      </c>
      <c r="D42" s="14" t="n">
        <f aca="false">SUMIF('TOTAL AGOSTO'!$B$4:$B$2000,B42,'TOTAL AGOSTO'!$D$4:$D$2000)</f>
        <v>320</v>
      </c>
      <c r="E42" s="15" t="n">
        <f aca="false">IF($D$56=0,0,D42/$D$56)</f>
        <v>0.0131843556084395</v>
      </c>
      <c r="F42" s="16" t="n">
        <v>584.97</v>
      </c>
      <c r="G42" s="16" t="n">
        <f aca="false">IF(F42="","",D42-F42)</f>
        <v>-264.97</v>
      </c>
      <c r="H42" s="15" t="n">
        <f aca="false">IF(OR(F42="",N(F42)=0),"",D42/F42-1)</f>
        <v>-0.45296339983247</v>
      </c>
    </row>
    <row r="43" customFormat="false" ht="15" hidden="false" customHeight="false" outlineLevel="0" collapsed="false">
      <c r="B43" s="12" t="s">
        <v>45</v>
      </c>
      <c r="C43" s="13" t="n">
        <f aca="false">COUNTIF('TOTAL AGOSTO'!$B$4:$B$2000,B43)</f>
        <v>2</v>
      </c>
      <c r="D43" s="14" t="n">
        <f aca="false">SUMIF('TOTAL AGOSTO'!$B$4:$B$2000,B43,'TOTAL AGOSTO'!$D$4:$D$2000)</f>
        <v>318</v>
      </c>
      <c r="E43" s="15" t="n">
        <f aca="false">IF($D$56=0,0,D43/$D$56)</f>
        <v>0.0131019533858867</v>
      </c>
      <c r="F43" s="16" t="n">
        <v>1295.5</v>
      </c>
      <c r="G43" s="16" t="n">
        <f aca="false">IF(F43="","",D43-F43)</f>
        <v>-977.5</v>
      </c>
      <c r="H43" s="15" t="n">
        <f aca="false">IF(OR(F43="",N(F43)=0),"",D43/F43-1)</f>
        <v>-0.754534928598997</v>
      </c>
    </row>
    <row r="44" customFormat="false" ht="15" hidden="false" customHeight="false" outlineLevel="0" collapsed="false">
      <c r="B44" s="12" t="s">
        <v>46</v>
      </c>
      <c r="C44" s="13" t="n">
        <f aca="false">COUNTIF('TOTAL AGOSTO'!$B$4:$B$2000,B44)</f>
        <v>1</v>
      </c>
      <c r="D44" s="14" t="n">
        <f aca="false">SUMIF('TOTAL AGOSTO'!$B$4:$B$2000,B44,'TOTAL AGOSTO'!$D$4:$D$2000)</f>
        <v>271.18</v>
      </c>
      <c r="E44" s="15" t="n">
        <f aca="false">IF($D$56=0,0,D44/$D$56)</f>
        <v>0.0111729173559269</v>
      </c>
      <c r="F44" s="16" t="n">
        <v>270.4</v>
      </c>
      <c r="G44" s="16" t="n">
        <f aca="false">IF(F44="","",D44-F44)</f>
        <v>0.78000000000003</v>
      </c>
      <c r="H44" s="15" t="n">
        <f aca="false">IF(OR(F44="",N(F44)=0),"",D44/F44-1)</f>
        <v>0.0028846153846156</v>
      </c>
    </row>
    <row r="45" customFormat="false" ht="15" hidden="false" customHeight="false" outlineLevel="0" collapsed="false">
      <c r="B45" s="12" t="s">
        <v>47</v>
      </c>
      <c r="C45" s="13" t="n">
        <f aca="false">COUNTIF('TOTAL AGOSTO'!$B$4:$B$2000,B45)</f>
        <v>1</v>
      </c>
      <c r="D45" s="14" t="n">
        <f aca="false">SUMIF('TOTAL AGOSTO'!$B$4:$B$2000,B45,'TOTAL AGOSTO'!$D$4:$D$2000)</f>
        <v>91.6</v>
      </c>
      <c r="E45" s="15" t="n">
        <f aca="false">IF($D$56=0,0,D45/$D$56)</f>
        <v>0.0037740217929158</v>
      </c>
      <c r="F45" s="16" t="n">
        <v>183.2</v>
      </c>
      <c r="G45" s="16" t="n">
        <f aca="false">IF(F45="","",D45-F45)</f>
        <v>-91.6</v>
      </c>
      <c r="H45" s="15" t="n">
        <f aca="false">IF(OR(F45="",N(F45)=0),"",D45/F45-1)</f>
        <v>-0.5</v>
      </c>
    </row>
    <row r="46" customFormat="false" ht="15" hidden="false" customHeight="false" outlineLevel="0" collapsed="false">
      <c r="B46" s="12" t="s">
        <v>48</v>
      </c>
      <c r="C46" s="13" t="n">
        <f aca="false">COUNTIF('TOTAL AGOSTO'!$B$4:$B$2000,B46)</f>
        <v>1</v>
      </c>
      <c r="D46" s="14" t="n">
        <f aca="false">SUMIF('TOTAL AGOSTO'!$B$4:$B$2000,B46,'TOTAL AGOSTO'!$D$4:$D$2000)</f>
        <v>84.48</v>
      </c>
      <c r="E46" s="15" t="n">
        <f aca="false">IF($D$56=0,0,D46/$D$56)</f>
        <v>0.00348066988062802</v>
      </c>
      <c r="F46" s="16" t="n">
        <v>193.7</v>
      </c>
      <c r="G46" s="16" t="n">
        <f aca="false">IF(F46="","",D46-F46)</f>
        <v>-109.22</v>
      </c>
      <c r="H46" s="15" t="n">
        <f aca="false">IF(OR(F46="",N(F46)=0),"",D46/F46-1)</f>
        <v>-0.563861641713991</v>
      </c>
    </row>
    <row r="47" customFormat="false" ht="15" hidden="false" customHeight="false" outlineLevel="0" collapsed="false">
      <c r="B47" s="12" t="s">
        <v>49</v>
      </c>
      <c r="C47" s="13" t="n">
        <f aca="false">COUNTIF('TOTAL AGOSTO'!$B$4:$B$2000,B47)</f>
        <v>0</v>
      </c>
      <c r="D47" s="14" t="n">
        <f aca="false">SUMIF('TOTAL AGOSTO'!$B$4:$B$2000,B47,'TOTAL AGOSTO'!$D$4:$D$2000)</f>
        <v>0</v>
      </c>
      <c r="E47" s="15" t="n">
        <f aca="false">IF($D$56=0,0,D47/$D$56)</f>
        <v>0</v>
      </c>
      <c r="F47" s="16" t="n">
        <v>748.5</v>
      </c>
      <c r="G47" s="16" t="n">
        <f aca="false">IF(F47="","",D47-F47)</f>
        <v>-748.5</v>
      </c>
      <c r="H47" s="15" t="n">
        <f aca="false">IF(OR(F47="",N(F47)=0),"",D47/F47-1)</f>
        <v>-1</v>
      </c>
    </row>
    <row r="48" customFormat="false" ht="15" hidden="false" customHeight="false" outlineLevel="0" collapsed="false">
      <c r="B48" s="12" t="s">
        <v>50</v>
      </c>
      <c r="C48" s="13" t="n">
        <f aca="false">COUNTIF('TOTAL AGOSTO'!$B$4:$B$2000,B48)</f>
        <v>0</v>
      </c>
      <c r="D48" s="14" t="n">
        <f aca="false">SUMIF('TOTAL AGOSTO'!$B$4:$B$2000,B48,'TOTAL AGOSTO'!$D$4:$D$2000)</f>
        <v>0</v>
      </c>
      <c r="E48" s="15" t="n">
        <f aca="false">IF($D$56=0,0,D48/$D$56)</f>
        <v>0</v>
      </c>
      <c r="F48" s="16" t="n">
        <v>444.1</v>
      </c>
      <c r="G48" s="16" t="n">
        <f aca="false">IF(F48="","",D48-F48)</f>
        <v>-444.1</v>
      </c>
      <c r="H48" s="15" t="n">
        <f aca="false">IF(OR(F48="",N(F48)=0),"",D48/F48-1)</f>
        <v>-1</v>
      </c>
    </row>
    <row r="49" customFormat="false" ht="15" hidden="false" customHeight="false" outlineLevel="0" collapsed="false">
      <c r="B49" s="12" t="s">
        <v>51</v>
      </c>
      <c r="C49" s="13" t="n">
        <f aca="false">COUNTIF('TOTAL AGOSTO'!$B$4:$B$2000,B49)</f>
        <v>0</v>
      </c>
      <c r="D49" s="14" t="n">
        <f aca="false">SUMIF('TOTAL AGOSTO'!$B$4:$B$2000,B49,'TOTAL AGOSTO'!$D$4:$D$2000)</f>
        <v>0</v>
      </c>
      <c r="E49" s="15" t="n">
        <f aca="false">IF($D$56=0,0,D49/$D$56)</f>
        <v>0</v>
      </c>
      <c r="F49" s="16" t="n">
        <v>339</v>
      </c>
      <c r="G49" s="16" t="n">
        <f aca="false">IF(F49="","",D49-F49)</f>
        <v>-339</v>
      </c>
      <c r="H49" s="15" t="n">
        <f aca="false">IF(OR(F49="",N(F49)=0),"",D49/F49-1)</f>
        <v>-1</v>
      </c>
    </row>
    <row r="50" customFormat="false" ht="15" hidden="false" customHeight="false" outlineLevel="0" collapsed="false">
      <c r="B50" s="12" t="s">
        <v>52</v>
      </c>
      <c r="C50" s="13" t="n">
        <f aca="false">COUNTIF('TOTAL AGOSTO'!$B$4:$B$2000,B50)</f>
        <v>0</v>
      </c>
      <c r="D50" s="14" t="n">
        <f aca="false">SUMIF('TOTAL AGOSTO'!$B$4:$B$2000,B50,'TOTAL AGOSTO'!$D$4:$D$2000)</f>
        <v>0</v>
      </c>
      <c r="E50" s="15" t="n">
        <f aca="false">IF($D$56=0,0,D50/$D$56)</f>
        <v>0</v>
      </c>
      <c r="F50" s="16" t="n">
        <v>280.3</v>
      </c>
      <c r="G50" s="16" t="n">
        <f aca="false">IF(F50="","",D50-F50)</f>
        <v>-280.3</v>
      </c>
      <c r="H50" s="15" t="n">
        <f aca="false">IF(OR(F50="",N(F50)=0),"",D50/F50-1)</f>
        <v>-1</v>
      </c>
    </row>
    <row r="51" customFormat="false" ht="15" hidden="false" customHeight="false" outlineLevel="0" collapsed="false">
      <c r="B51" s="12" t="s">
        <v>53</v>
      </c>
      <c r="C51" s="13" t="n">
        <f aca="false">COUNTIF('TOTAL AGOSTO'!$B$4:$B$2000,B51)</f>
        <v>0</v>
      </c>
      <c r="D51" s="14" t="n">
        <f aca="false">SUMIF('TOTAL AGOSTO'!$B$4:$B$2000,B51,'TOTAL AGOSTO'!$D$4:$D$2000)</f>
        <v>0</v>
      </c>
      <c r="E51" s="15" t="n">
        <f aca="false">IF($D$56=0,0,D51/$D$56)</f>
        <v>0</v>
      </c>
      <c r="F51" s="16" t="n">
        <v>240.66</v>
      </c>
      <c r="G51" s="16" t="n">
        <f aca="false">IF(F51="","",D51-F51)</f>
        <v>-240.66</v>
      </c>
      <c r="H51" s="15" t="n">
        <f aca="false">IF(OR(F51="",N(F51)=0),"",D51/F51-1)</f>
        <v>-1</v>
      </c>
    </row>
    <row r="52" customFormat="false" ht="15" hidden="false" customHeight="false" outlineLevel="0" collapsed="false">
      <c r="B52" s="12" t="s">
        <v>54</v>
      </c>
      <c r="C52" s="13" t="n">
        <f aca="false">COUNTIF('TOTAL AGOSTO'!$B$4:$B$2000,B52)</f>
        <v>0</v>
      </c>
      <c r="D52" s="14" t="n">
        <f aca="false">SUMIF('TOTAL AGOSTO'!$B$4:$B$2000,B52,'TOTAL AGOSTO'!$D$4:$D$2000)</f>
        <v>0</v>
      </c>
      <c r="E52" s="15" t="n">
        <f aca="false">IF($D$56=0,0,D52/$D$56)</f>
        <v>0</v>
      </c>
      <c r="F52" s="16" t="n">
        <v>227.89</v>
      </c>
      <c r="G52" s="16" t="n">
        <f aca="false">IF(F52="","",D52-F52)</f>
        <v>-227.89</v>
      </c>
      <c r="H52" s="15" t="n">
        <f aca="false">IF(OR(F52="",N(F52)=0),"",D52/F52-1)</f>
        <v>-1</v>
      </c>
    </row>
    <row r="53" customFormat="false" ht="15" hidden="false" customHeight="false" outlineLevel="0" collapsed="false">
      <c r="B53" s="12" t="s">
        <v>55</v>
      </c>
      <c r="C53" s="13" t="n">
        <f aca="false">COUNTIF('TOTAL AGOSTO'!$B$4:$B$2000,B53)</f>
        <v>0</v>
      </c>
      <c r="D53" s="14" t="n">
        <f aca="false">SUMIF('TOTAL AGOSTO'!$B$4:$B$2000,B53,'TOTAL AGOSTO'!$D$4:$D$2000)</f>
        <v>0</v>
      </c>
      <c r="E53" s="15" t="n">
        <f aca="false">IF($D$56=0,0,D53/$D$56)</f>
        <v>0</v>
      </c>
      <c r="F53" s="16" t="n">
        <v>202.8</v>
      </c>
      <c r="G53" s="16" t="n">
        <f aca="false">IF(F53="","",D53-F53)</f>
        <v>-202.8</v>
      </c>
      <c r="H53" s="15" t="n">
        <f aca="false">IF(OR(F53="",N(F53)=0),"",D53/F53-1)</f>
        <v>-1</v>
      </c>
    </row>
    <row r="54" customFormat="false" ht="15" hidden="false" customHeight="false" outlineLevel="0" collapsed="false">
      <c r="B54" s="12" t="s">
        <v>56</v>
      </c>
      <c r="C54" s="13" t="n">
        <f aca="false">COUNTIF('TOTAL AGOSTO'!$B$4:$B$2000,B54)</f>
        <v>0</v>
      </c>
      <c r="D54" s="14" t="n">
        <f aca="false">SUMIF('TOTAL AGOSTO'!$B$4:$B$2000,B54,'TOTAL AGOSTO'!$D$4:$D$2000)</f>
        <v>0</v>
      </c>
      <c r="E54" s="15" t="n">
        <f aca="false">IF($D$56=0,0,D54/$D$56)</f>
        <v>0</v>
      </c>
      <c r="F54" s="16" t="n">
        <v>171</v>
      </c>
      <c r="G54" s="16" t="n">
        <f aca="false">IF(F54="","",D54-F54)</f>
        <v>-171</v>
      </c>
      <c r="H54" s="15" t="n">
        <f aca="false">IF(OR(F54="",N(F54)=0),"",D54/F54-1)</f>
        <v>-1</v>
      </c>
    </row>
    <row r="55" customFormat="false" ht="15" hidden="false" customHeight="false" outlineLevel="0" collapsed="false">
      <c r="B55" s="12" t="s">
        <v>57</v>
      </c>
      <c r="C55" s="13" t="n">
        <f aca="false">COUNTIF('TOTAL AGOSTO'!$B$4:$B$2000,B55)</f>
        <v>0</v>
      </c>
      <c r="D55" s="14" t="n">
        <f aca="false">SUMIF('TOTAL AGOSTO'!$B$4:$B$2000,B55,'TOTAL AGOSTO'!$D$4:$D$2000)</f>
        <v>0</v>
      </c>
      <c r="E55" s="15" t="n">
        <f aca="false">IF($D$56=0,0,D55/$D$56)</f>
        <v>0</v>
      </c>
      <c r="F55" s="16" t="n">
        <v>158.99</v>
      </c>
      <c r="G55" s="16" t="n">
        <f aca="false">IF(F55="","",D55-F55)</f>
        <v>-158.99</v>
      </c>
      <c r="H55" s="15" t="n">
        <f aca="false">IF(OR(F55="",N(F55)=0),"",D55/F55-1)</f>
        <v>-1</v>
      </c>
    </row>
    <row r="56" customFormat="false" ht="15" hidden="false" customHeight="false" outlineLevel="0" collapsed="false">
      <c r="B56" s="17" t="s">
        <v>58</v>
      </c>
      <c r="C56" s="18" t="n">
        <f aca="false">SUM(C18:C55)</f>
        <v>131</v>
      </c>
      <c r="D56" s="19" t="n">
        <f aca="false">SUM(D18:D55)</f>
        <v>24271.19</v>
      </c>
      <c r="E56" s="20" t="n">
        <f aca="false">SUM(E18:E55)</f>
        <v>1</v>
      </c>
      <c r="F56" s="19" t="n">
        <f aca="false">SUM(F18:F55)</f>
        <v>63628.05</v>
      </c>
      <c r="G56" s="19" t="n">
        <f aca="false">D56-F56</f>
        <v>-39356.86</v>
      </c>
      <c r="H56" s="20" t="n">
        <f aca="false">IF(F56=0,"",D56/F56-1)</f>
        <v>-0.618545751441385</v>
      </c>
    </row>
    <row r="57" customFormat="false" ht="15" hidden="false" customHeight="false" outlineLevel="0" collapsed="false">
      <c r="B57" s="3" t="s">
        <v>59</v>
      </c>
    </row>
  </sheetData>
  <mergeCells count="18">
    <mergeCell ref="B6:C6"/>
    <mergeCell ref="D6:E6"/>
    <mergeCell ref="F6:G6"/>
    <mergeCell ref="B7:C7"/>
    <mergeCell ref="D7:E7"/>
    <mergeCell ref="F7:G7"/>
    <mergeCell ref="B9:C9"/>
    <mergeCell ref="D9:E9"/>
    <mergeCell ref="F9:G9"/>
    <mergeCell ref="B10:C10"/>
    <mergeCell ref="D10:E10"/>
    <mergeCell ref="F10:G10"/>
    <mergeCell ref="B12:C12"/>
    <mergeCell ref="D12:E12"/>
    <mergeCell ref="F12:G12"/>
    <mergeCell ref="B13:C13"/>
    <mergeCell ref="D13:E13"/>
    <mergeCell ref="F13:G13"/>
  </mergeCells>
  <conditionalFormatting sqref="F10">
    <cfRule type="cellIs" priority="2" operator="greaterThan" aboveAverage="0" equalAverage="0" bottom="0" percent="0" rank="0" text="" dxfId="0">
      <formula>0</formula>
    </cfRule>
  </conditionalFormatting>
  <conditionalFormatting sqref="B18:H55">
    <cfRule type="expression" priority="3" aboveAverage="0" equalAverage="0" bottom="0" percent="0" rank="0" text="" dxfId="1">
      <formula>$D18=0</formula>
    </cfRule>
  </conditionalFormatting>
  <conditionalFormatting sqref="D18:D55">
    <cfRule type="dataBar" priority="4">
      <dataBar showValue="1" minLength="10" maxLength="90">
        <cfvo type="num" val="0"/>
        <cfvo type="max" val="0"/>
        <color rgb="FFF4B183"/>
      </dataBar>
      <extLst>
        <ext xmlns:x14="http://schemas.microsoft.com/office/spreadsheetml/2009/9/main" uri="{B025F937-C7B1-47D3-B67F-A62EFF666E3E}">
          <x14:id>{5E69BF77-FDAD-4DDD-B219-40ABDF44D043}</x14:id>
        </ext>
      </extLst>
    </cfRule>
  </conditionalFormatting>
  <conditionalFormatting sqref="G18:H55">
    <cfRule type="expression" priority="5" aboveAverage="0" equalAverage="0" bottom="0" percent="0" rank="0" text="" dxfId="2">
      <formula>AND(ISNUMBER($G18),$G18&gt;0.005)</formula>
    </cfRule>
    <cfRule type="expression" priority="6" aboveAverage="0" equalAverage="0" bottom="0" percent="0" rank="0" text="" dxfId="3">
      <formula>AND(ISNUMBER($G18),$G18&lt;-0.005)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69BF77-FDAD-4DDD-B219-40ABDF44D043}">
            <x14:dataBar minLength="10" maxLength="90" axisPosition="none" gradient="true">
              <x14:cfvo type="num">
                <xm:f>0</xm:f>
              </x14:cfvo>
              <x14:cfvo type="max"/>
              <x14:negativeFillColor rgb="FFF4B183"/>
              <x14:axisColor rgb="FF000000"/>
            </x14:dataBar>
          </x14:cfRule>
          <xm:sqref>D18:D55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M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2" min="12" style="0" width="3"/>
    <col collapsed="false" customWidth="true" hidden="false" outlineLevel="0" max="13" min="13" style="0" width="20"/>
  </cols>
  <sheetData>
    <row r="1" customFormat="false" ht="17.35" hidden="false" customHeight="false" outlineLevel="0" collapsed="false">
      <c r="B1" s="21" t="s">
        <v>60</v>
      </c>
    </row>
    <row r="2" customFormat="false" ht="15" hidden="false" customHeight="false" outlineLevel="0" collapsed="false">
      <c r="B2" s="10" t="s">
        <v>13</v>
      </c>
      <c r="C2" s="10" t="s">
        <v>61</v>
      </c>
      <c r="D2" s="10" t="s">
        <v>62</v>
      </c>
      <c r="E2" s="10" t="s">
        <v>63</v>
      </c>
      <c r="F2" s="10" t="s">
        <v>58</v>
      </c>
      <c r="H2" s="11" t="s">
        <v>13</v>
      </c>
      <c r="I2" s="11" t="s">
        <v>62</v>
      </c>
      <c r="J2" s="11" t="s">
        <v>4</v>
      </c>
      <c r="K2" s="11" t="s">
        <v>64</v>
      </c>
      <c r="M2" s="11" t="s">
        <v>65</v>
      </c>
    </row>
    <row r="4" customFormat="false" ht="15" hidden="false" customHeight="false" outlineLevel="0" collapsed="false">
      <c r="B4" s="22" t="s">
        <v>25</v>
      </c>
      <c r="C4" s="23" t="s">
        <v>66</v>
      </c>
      <c r="D4" s="16" t="n">
        <v>300.55</v>
      </c>
      <c r="E4" s="24" t="n">
        <v>0.1</v>
      </c>
      <c r="F4" s="14" t="n">
        <f aca="false">D4+(D4*E4)</f>
        <v>330.605</v>
      </c>
      <c r="H4" s="12" t="s">
        <v>25</v>
      </c>
      <c r="I4" s="16" t="n">
        <f aca="false">SUMIF($B$4:$B$2000,H4,$D$4:$D$2000)</f>
        <v>1125.19</v>
      </c>
      <c r="J4" s="16" t="n">
        <f aca="false">K4-I4</f>
        <v>112.519</v>
      </c>
      <c r="K4" s="14" t="n">
        <f aca="false">SUMIF($B$4:$B$2000,H4,$F$4:$F$2000)</f>
        <v>1237.709</v>
      </c>
      <c r="M4" s="25" t="n">
        <f aca="false">K33</f>
        <v>27216.4162</v>
      </c>
    </row>
    <row r="5" customFormat="false" ht="15" hidden="false" customHeight="false" outlineLevel="0" collapsed="false">
      <c r="B5" s="26" t="s">
        <v>25</v>
      </c>
      <c r="C5" s="27" t="s">
        <v>67</v>
      </c>
      <c r="D5" s="28" t="n">
        <v>35.85</v>
      </c>
      <c r="E5" s="29" t="n">
        <v>0.1</v>
      </c>
      <c r="F5" s="30" t="n">
        <f aca="false">D5+(D5*E5)</f>
        <v>39.435</v>
      </c>
      <c r="H5" s="12" t="s">
        <v>24</v>
      </c>
      <c r="I5" s="16" t="n">
        <f aca="false">SUMIF($B$4:$B$2000,H5,$D$4:$D$2000)</f>
        <v>1199.46</v>
      </c>
      <c r="J5" s="16" t="n">
        <f aca="false">K5-I5</f>
        <v>119.946</v>
      </c>
      <c r="K5" s="14" t="n">
        <f aca="false">SUMIF($B$4:$B$2000,H5,$F$4:$F$2000)</f>
        <v>1319.406</v>
      </c>
    </row>
    <row r="6" customFormat="false" ht="15" hidden="false" customHeight="false" outlineLevel="0" collapsed="false">
      <c r="B6" s="22" t="s">
        <v>25</v>
      </c>
      <c r="C6" s="23" t="s">
        <v>68</v>
      </c>
      <c r="D6" s="16" t="n">
        <v>84</v>
      </c>
      <c r="E6" s="24" t="n">
        <v>0.1</v>
      </c>
      <c r="F6" s="14" t="n">
        <f aca="false">D6+(D6*E6)</f>
        <v>92.4</v>
      </c>
      <c r="H6" s="12" t="s">
        <v>33</v>
      </c>
      <c r="I6" s="16" t="n">
        <f aca="false">SUMIF($B$4:$B$2000,H6,$D$4:$D$2000)</f>
        <v>640.26</v>
      </c>
      <c r="J6" s="16" t="n">
        <f aca="false">K6-I6</f>
        <v>64.0260000000001</v>
      </c>
      <c r="K6" s="14" t="n">
        <f aca="false">SUMIF($B$4:$B$2000,H6,$F$4:$F$2000)</f>
        <v>704.286</v>
      </c>
    </row>
    <row r="7" customFormat="false" ht="15" hidden="false" customHeight="false" outlineLevel="0" collapsed="false">
      <c r="B7" s="26" t="s">
        <v>25</v>
      </c>
      <c r="C7" s="27" t="s">
        <v>69</v>
      </c>
      <c r="D7" s="28" t="n">
        <v>226.6</v>
      </c>
      <c r="E7" s="29" t="n">
        <v>0.1</v>
      </c>
      <c r="F7" s="30" t="n">
        <f aca="false">D7+(D7*E7)</f>
        <v>249.26</v>
      </c>
      <c r="H7" s="12" t="s">
        <v>37</v>
      </c>
      <c r="I7" s="16" t="n">
        <f aca="false">SUMIF($B$4:$B$2000,H7,$D$4:$D$2000)</f>
        <v>457.72</v>
      </c>
      <c r="J7" s="16" t="n">
        <f aca="false">K7-I7</f>
        <v>92.2755999999999</v>
      </c>
      <c r="K7" s="14" t="n">
        <f aca="false">SUMIF($B$4:$B$2000,H7,$F$4:$F$2000)</f>
        <v>549.9956</v>
      </c>
    </row>
    <row r="8" customFormat="false" ht="15" hidden="false" customHeight="false" outlineLevel="0" collapsed="false">
      <c r="B8" s="22" t="s">
        <v>25</v>
      </c>
      <c r="C8" s="23" t="s">
        <v>70</v>
      </c>
      <c r="D8" s="16" t="n">
        <v>100.8</v>
      </c>
      <c r="E8" s="24" t="n">
        <v>0.1</v>
      </c>
      <c r="F8" s="14" t="n">
        <f aca="false">D8+(D8*E8)</f>
        <v>110.88</v>
      </c>
      <c r="H8" s="12" t="s">
        <v>40</v>
      </c>
      <c r="I8" s="16" t="n">
        <f aca="false">SUMIF($B$4:$B$2000,H8,$D$4:$D$2000)</f>
        <v>382.59</v>
      </c>
      <c r="J8" s="16" t="n">
        <f aca="false">K8-I8</f>
        <v>38.259</v>
      </c>
      <c r="K8" s="14" t="n">
        <f aca="false">SUMIF($B$4:$B$2000,H8,$F$4:$F$2000)</f>
        <v>420.849</v>
      </c>
    </row>
    <row r="9" customFormat="false" ht="15" hidden="false" customHeight="false" outlineLevel="0" collapsed="false">
      <c r="B9" s="26" t="s">
        <v>25</v>
      </c>
      <c r="C9" s="27" t="s">
        <v>71</v>
      </c>
      <c r="D9" s="28" t="n">
        <v>34.3</v>
      </c>
      <c r="E9" s="29" t="n">
        <v>0.1</v>
      </c>
      <c r="F9" s="30" t="n">
        <f aca="false">D9+(D9*E9)</f>
        <v>37.73</v>
      </c>
      <c r="H9" s="12" t="s">
        <v>26</v>
      </c>
      <c r="I9" s="16" t="n">
        <f aca="false">SUMIF($B$4:$B$2000,H9,$D$4:$D$2000)</f>
        <v>1061.59</v>
      </c>
      <c r="J9" s="16" t="n">
        <f aca="false">K9-I9</f>
        <v>106.159</v>
      </c>
      <c r="K9" s="14" t="n">
        <f aca="false">SUMIF($B$4:$B$2000,H9,$F$4:$F$2000)</f>
        <v>1167.749</v>
      </c>
    </row>
    <row r="10" customFormat="false" ht="15" hidden="false" customHeight="false" outlineLevel="0" collapsed="false">
      <c r="B10" s="22" t="s">
        <v>25</v>
      </c>
      <c r="C10" s="23" t="s">
        <v>72</v>
      </c>
      <c r="D10" s="16" t="n">
        <v>0</v>
      </c>
      <c r="E10" s="24" t="n">
        <v>0.1</v>
      </c>
      <c r="F10" s="14" t="n">
        <f aca="false">D10+(D10*E10)</f>
        <v>0</v>
      </c>
      <c r="H10" s="12" t="s">
        <v>28</v>
      </c>
      <c r="I10" s="16" t="n">
        <f aca="false">SUMIF($B$4:$B$2000,H10,$D$4:$D$2000)</f>
        <v>890.28</v>
      </c>
      <c r="J10" s="16" t="n">
        <f aca="false">K10-I10</f>
        <v>89.028</v>
      </c>
      <c r="K10" s="14" t="n">
        <f aca="false">SUMIF($B$4:$B$2000,H10,$F$4:$F$2000)</f>
        <v>979.308</v>
      </c>
    </row>
    <row r="11" customFormat="false" ht="15" hidden="false" customHeight="false" outlineLevel="0" collapsed="false">
      <c r="B11" s="26" t="s">
        <v>25</v>
      </c>
      <c r="C11" s="27" t="s">
        <v>73</v>
      </c>
      <c r="D11" s="28" t="n">
        <v>29.4</v>
      </c>
      <c r="E11" s="29" t="n">
        <v>0.1</v>
      </c>
      <c r="F11" s="30" t="n">
        <f aca="false">D11+(D11*E11)</f>
        <v>32.34</v>
      </c>
      <c r="H11" s="12" t="s">
        <v>30</v>
      </c>
      <c r="I11" s="16" t="n">
        <f aca="false">SUMIF($B$4:$B$2000,H11,$D$4:$D$2000)</f>
        <v>772</v>
      </c>
      <c r="J11" s="16" t="n">
        <f aca="false">K11-I11</f>
        <v>77.2000000000001</v>
      </c>
      <c r="K11" s="14" t="n">
        <f aca="false">SUMIF($B$4:$B$2000,H11,$F$4:$F$2000)</f>
        <v>849.2</v>
      </c>
    </row>
    <row r="12" customFormat="false" ht="15" hidden="false" customHeight="false" outlineLevel="0" collapsed="false">
      <c r="B12" s="22" t="s">
        <v>25</v>
      </c>
      <c r="C12" s="23" t="s">
        <v>74</v>
      </c>
      <c r="D12" s="16" t="n">
        <v>185.49</v>
      </c>
      <c r="E12" s="24" t="n">
        <v>0.1</v>
      </c>
      <c r="F12" s="14" t="n">
        <f aca="false">D12+(D12*E12)</f>
        <v>204.039</v>
      </c>
      <c r="H12" s="12" t="s">
        <v>41</v>
      </c>
      <c r="I12" s="16" t="n">
        <f aca="false">SUMIF($B$4:$B$2000,H12,$D$4:$D$2000)</f>
        <v>381.21</v>
      </c>
      <c r="J12" s="16" t="n">
        <f aca="false">K12-I12</f>
        <v>20.5338</v>
      </c>
      <c r="K12" s="14" t="n">
        <f aca="false">SUMIF($B$4:$B$2000,H12,$F$4:$F$2000)</f>
        <v>401.7438</v>
      </c>
    </row>
    <row r="13" customFormat="false" ht="15" hidden="false" customHeight="false" outlineLevel="0" collapsed="false">
      <c r="B13" s="26" t="s">
        <v>25</v>
      </c>
      <c r="C13" s="27" t="s">
        <v>75</v>
      </c>
      <c r="D13" s="28" t="n">
        <v>128.2</v>
      </c>
      <c r="E13" s="29" t="n">
        <v>0.1</v>
      </c>
      <c r="F13" s="30" t="n">
        <f aca="false">D13+(D13*E13)</f>
        <v>141.02</v>
      </c>
      <c r="H13" s="12" t="s">
        <v>45</v>
      </c>
      <c r="I13" s="16" t="n">
        <f aca="false">SUMIF($B$4:$B$2000,H13,$D$4:$D$2000)</f>
        <v>318</v>
      </c>
      <c r="J13" s="16" t="n">
        <f aca="false">K13-I13</f>
        <v>31.8</v>
      </c>
      <c r="K13" s="14" t="n">
        <f aca="false">SUMIF($B$4:$B$2000,H13,$F$4:$F$2000)</f>
        <v>349.8</v>
      </c>
    </row>
    <row r="14" customFormat="false" ht="15" hidden="false" customHeight="false" outlineLevel="0" collapsed="false">
      <c r="B14" s="22" t="s">
        <v>24</v>
      </c>
      <c r="C14" s="23" t="s">
        <v>76</v>
      </c>
      <c r="D14" s="16" t="n">
        <v>228.11</v>
      </c>
      <c r="E14" s="24" t="n">
        <v>0.1</v>
      </c>
      <c r="F14" s="14" t="n">
        <f aca="false">D14+(D14*E14)</f>
        <v>250.921</v>
      </c>
      <c r="H14" s="12" t="s">
        <v>23</v>
      </c>
      <c r="I14" s="16" t="n">
        <f aca="false">SUMIF($B$4:$B$2000,H14,$D$4:$D$2000)</f>
        <v>1320.36</v>
      </c>
      <c r="J14" s="16" t="n">
        <f aca="false">K14-I14</f>
        <v>277.2756</v>
      </c>
      <c r="K14" s="14" t="n">
        <f aca="false">SUMIF($B$4:$B$2000,H14,$F$4:$F$2000)</f>
        <v>1597.6356</v>
      </c>
    </row>
    <row r="15" customFormat="false" ht="15" hidden="false" customHeight="false" outlineLevel="0" collapsed="false">
      <c r="B15" s="26" t="s">
        <v>24</v>
      </c>
      <c r="C15" s="27" t="s">
        <v>77</v>
      </c>
      <c r="D15" s="28" t="n">
        <v>522.68</v>
      </c>
      <c r="E15" s="29" t="n">
        <v>0.1</v>
      </c>
      <c r="F15" s="30" t="n">
        <f aca="false">D15+(D15*E15)</f>
        <v>574.948</v>
      </c>
      <c r="H15" s="12" t="s">
        <v>34</v>
      </c>
      <c r="I15" s="16" t="n">
        <f aca="false">SUMIF($B$4:$B$2000,H15,$D$4:$D$2000)</f>
        <v>604.05</v>
      </c>
      <c r="J15" s="16" t="n">
        <f aca="false">K15-I15</f>
        <v>120.9545</v>
      </c>
      <c r="K15" s="14" t="n">
        <f aca="false">SUMIF($B$4:$B$2000,H15,$F$4:$F$2000)</f>
        <v>725.0045</v>
      </c>
    </row>
    <row r="16" customFormat="false" ht="15" hidden="false" customHeight="false" outlineLevel="0" collapsed="false">
      <c r="B16" s="22" t="s">
        <v>24</v>
      </c>
      <c r="C16" s="23" t="s">
        <v>78</v>
      </c>
      <c r="D16" s="16" t="n">
        <v>448.67</v>
      </c>
      <c r="E16" s="24" t="n">
        <v>0.1</v>
      </c>
      <c r="F16" s="14" t="n">
        <f aca="false">D16+(D16*E16)</f>
        <v>493.537</v>
      </c>
      <c r="H16" s="12" t="s">
        <v>38</v>
      </c>
      <c r="I16" s="16" t="n">
        <f aca="false">SUMIF($B$4:$B$2000,H16,$D$4:$D$2000)</f>
        <v>432</v>
      </c>
      <c r="J16" s="16" t="n">
        <f aca="false">K16-I16</f>
        <v>43.2</v>
      </c>
      <c r="K16" s="14" t="n">
        <f aca="false">SUMIF($B$4:$B$2000,H16,$F$4:$F$2000)</f>
        <v>475.2</v>
      </c>
    </row>
    <row r="17" customFormat="false" ht="15" hidden="false" customHeight="false" outlineLevel="0" collapsed="false">
      <c r="B17" s="26" t="s">
        <v>33</v>
      </c>
      <c r="C17" s="27" t="s">
        <v>79</v>
      </c>
      <c r="D17" s="28" t="n">
        <v>380.88</v>
      </c>
      <c r="E17" s="29" t="n">
        <v>0.1</v>
      </c>
      <c r="F17" s="30" t="n">
        <f aca="false">D17+(D17*E17)</f>
        <v>418.968</v>
      </c>
      <c r="H17" s="12" t="s">
        <v>48</v>
      </c>
      <c r="I17" s="16" t="n">
        <f aca="false">SUMIF($B$4:$B$2000,H17,$D$4:$D$2000)</f>
        <v>84.48</v>
      </c>
      <c r="J17" s="16" t="n">
        <f aca="false">K17-I17</f>
        <v>8.44799999999999</v>
      </c>
      <c r="K17" s="14" t="n">
        <f aca="false">SUMIF($B$4:$B$2000,H17,$F$4:$F$2000)</f>
        <v>92.928</v>
      </c>
    </row>
    <row r="18" customFormat="false" ht="15" hidden="false" customHeight="false" outlineLevel="0" collapsed="false">
      <c r="B18" s="22" t="s">
        <v>33</v>
      </c>
      <c r="C18" s="23" t="s">
        <v>80</v>
      </c>
      <c r="D18" s="16" t="n">
        <v>259.38</v>
      </c>
      <c r="E18" s="24" t="n">
        <v>0.1</v>
      </c>
      <c r="F18" s="14" t="n">
        <f aca="false">D18+(D18*E18)</f>
        <v>285.318</v>
      </c>
      <c r="H18" s="12" t="s">
        <v>47</v>
      </c>
      <c r="I18" s="16" t="n">
        <f aca="false">SUMIF($B$4:$B$2000,H18,$D$4:$D$2000)</f>
        <v>91.6</v>
      </c>
      <c r="J18" s="16" t="n">
        <f aca="false">K18-I18</f>
        <v>9.16</v>
      </c>
      <c r="K18" s="14" t="n">
        <f aca="false">SUMIF($B$4:$B$2000,H18,$F$4:$F$2000)</f>
        <v>100.76</v>
      </c>
    </row>
    <row r="19" customFormat="false" ht="15" hidden="false" customHeight="false" outlineLevel="0" collapsed="false">
      <c r="B19" s="26" t="s">
        <v>37</v>
      </c>
      <c r="C19" s="27" t="s">
        <v>81</v>
      </c>
      <c r="D19" s="28" t="n">
        <v>238.09</v>
      </c>
      <c r="E19" s="29" t="n">
        <v>0.21</v>
      </c>
      <c r="F19" s="30" t="n">
        <f aca="false">D19+(D19*E19)</f>
        <v>288.0889</v>
      </c>
      <c r="H19" s="12" t="s">
        <v>36</v>
      </c>
      <c r="I19" s="16" t="n">
        <f aca="false">SUMIF($B$4:$B$2000,H19,$D$4:$D$2000)</f>
        <v>516</v>
      </c>
      <c r="J19" s="16" t="n">
        <f aca="false">K19-I19</f>
        <v>53.25</v>
      </c>
      <c r="K19" s="14" t="n">
        <f aca="false">SUMIF($B$4:$B$2000,H19,$F$4:$F$2000)</f>
        <v>569.25</v>
      </c>
    </row>
    <row r="20" customFormat="false" ht="15" hidden="false" customHeight="false" outlineLevel="0" collapsed="false">
      <c r="B20" s="22" t="s">
        <v>37</v>
      </c>
      <c r="C20" s="23" t="s">
        <v>82</v>
      </c>
      <c r="D20" s="16" t="n">
        <v>223.07</v>
      </c>
      <c r="E20" s="24" t="n">
        <v>0.21</v>
      </c>
      <c r="F20" s="14" t="n">
        <f aca="false">D20+(D20*E20)</f>
        <v>269.9147</v>
      </c>
      <c r="H20" s="12" t="s">
        <v>27</v>
      </c>
      <c r="I20" s="16" t="n">
        <f aca="false">SUMIF($B$4:$B$2000,H20,$D$4:$D$2000)</f>
        <v>930.8</v>
      </c>
      <c r="J20" s="16" t="n">
        <f aca="false">K20-I20</f>
        <v>50.8969999999999</v>
      </c>
      <c r="K20" s="14" t="n">
        <f aca="false">SUMIF($B$4:$B$2000,H20,$F$4:$F$2000)</f>
        <v>981.697</v>
      </c>
    </row>
    <row r="21" customFormat="false" ht="15" hidden="false" customHeight="false" outlineLevel="0" collapsed="false">
      <c r="B21" s="26" t="s">
        <v>37</v>
      </c>
      <c r="C21" s="27" t="s">
        <v>82</v>
      </c>
      <c r="D21" s="28" t="n">
        <v>34.96</v>
      </c>
      <c r="E21" s="29" t="n">
        <v>0.1</v>
      </c>
      <c r="F21" s="30" t="n">
        <f aca="false">D21+(D21*E21)</f>
        <v>38.456</v>
      </c>
      <c r="H21" s="12" t="s">
        <v>39</v>
      </c>
      <c r="I21" s="16" t="n">
        <f aca="false">SUMIF($B$4:$B$2000,H21,$D$4:$D$2000)</f>
        <v>425</v>
      </c>
      <c r="J21" s="16" t="n">
        <f aca="false">K21-I21</f>
        <v>42.5</v>
      </c>
      <c r="K21" s="14" t="n">
        <f aca="false">SUMIF($B$4:$B$2000,H21,$F$4:$F$2000)</f>
        <v>467.5</v>
      </c>
    </row>
    <row r="22" customFormat="false" ht="15" hidden="false" customHeight="false" outlineLevel="0" collapsed="false">
      <c r="B22" s="22" t="s">
        <v>37</v>
      </c>
      <c r="C22" s="23" t="s">
        <v>83</v>
      </c>
      <c r="D22" s="16" t="n">
        <v>-38.4</v>
      </c>
      <c r="E22" s="24" t="n">
        <v>0.21</v>
      </c>
      <c r="F22" s="14" t="n">
        <f aca="false">D22+(D22*E22)</f>
        <v>-46.464</v>
      </c>
      <c r="H22" s="12" t="s">
        <v>22</v>
      </c>
      <c r="I22" s="16" t="n">
        <f aca="false">SUMIF($B$4:$B$2000,H22,$D$4:$D$2000)</f>
        <v>1617.8</v>
      </c>
      <c r="J22" s="16" t="n">
        <f aca="false">K22-I22</f>
        <v>161.78</v>
      </c>
      <c r="K22" s="14" t="n">
        <f aca="false">SUMIF($B$4:$B$2000,H22,$F$4:$F$2000)</f>
        <v>1779.58</v>
      </c>
    </row>
    <row r="23" customFormat="false" ht="15" hidden="false" customHeight="false" outlineLevel="0" collapsed="false">
      <c r="B23" s="26" t="s">
        <v>40</v>
      </c>
      <c r="C23" s="27" t="s">
        <v>84</v>
      </c>
      <c r="D23" s="28" t="n">
        <v>382.59</v>
      </c>
      <c r="E23" s="29" t="n">
        <v>0.1</v>
      </c>
      <c r="F23" s="30" t="n">
        <f aca="false">D23+(D23*E23)</f>
        <v>420.849</v>
      </c>
      <c r="H23" s="12" t="s">
        <v>21</v>
      </c>
      <c r="I23" s="16" t="n">
        <f aca="false">SUMIF($B$4:$B$2000,H23,$D$4:$D$2000)</f>
        <v>1920.54</v>
      </c>
      <c r="J23" s="16" t="n">
        <f aca="false">K23-I23</f>
        <v>396.1326</v>
      </c>
      <c r="K23" s="14" t="n">
        <f aca="false">SUMIF($B$4:$B$2000,H23,$F$4:$F$2000)</f>
        <v>2316.6726</v>
      </c>
    </row>
    <row r="24" customFormat="false" ht="15" hidden="false" customHeight="false" outlineLevel="0" collapsed="false">
      <c r="B24" s="22" t="s">
        <v>26</v>
      </c>
      <c r="C24" s="23" t="s">
        <v>85</v>
      </c>
      <c r="D24" s="16" t="n">
        <v>859.89</v>
      </c>
      <c r="E24" s="24" t="n">
        <v>0.1</v>
      </c>
      <c r="F24" s="14" t="n">
        <f aca="false">D24+(D24*E24)</f>
        <v>945.879</v>
      </c>
      <c r="H24" s="12" t="s">
        <v>43</v>
      </c>
      <c r="I24" s="16" t="n">
        <f aca="false">SUMIF($B$4:$B$2000,H24,$D$4:$D$2000)</f>
        <v>358.9</v>
      </c>
      <c r="J24" s="16" t="n">
        <f aca="false">K24-I24</f>
        <v>14.356</v>
      </c>
      <c r="K24" s="14" t="n">
        <f aca="false">SUMIF($B$4:$B$2000,H24,$F$4:$F$2000)</f>
        <v>373.256</v>
      </c>
    </row>
    <row r="25" customFormat="false" ht="15" hidden="false" customHeight="false" outlineLevel="0" collapsed="false">
      <c r="B25" s="26" t="s">
        <v>26</v>
      </c>
      <c r="C25" s="27" t="s">
        <v>86</v>
      </c>
      <c r="D25" s="28" t="n">
        <v>201.7</v>
      </c>
      <c r="E25" s="29" t="n">
        <v>0.1</v>
      </c>
      <c r="F25" s="30" t="n">
        <f aca="false">D25+(D25*E25)</f>
        <v>221.87</v>
      </c>
      <c r="H25" s="12" t="s">
        <v>42</v>
      </c>
      <c r="I25" s="16" t="n">
        <f aca="false">SUMIF($B$4:$B$2000,H25,$D$4:$D$2000)</f>
        <v>369.6</v>
      </c>
      <c r="J25" s="16" t="n">
        <f aca="false">K25-I25</f>
        <v>36.9599999999999</v>
      </c>
      <c r="K25" s="14" t="n">
        <f aca="false">SUMIF($B$4:$B$2000,H25,$F$4:$F$2000)</f>
        <v>406.56</v>
      </c>
    </row>
    <row r="26" customFormat="false" ht="15" hidden="false" customHeight="false" outlineLevel="0" collapsed="false">
      <c r="B26" s="22" t="s">
        <v>28</v>
      </c>
      <c r="C26" s="23" t="s">
        <v>87</v>
      </c>
      <c r="D26" s="16" t="n">
        <v>45</v>
      </c>
      <c r="E26" s="24" t="n">
        <v>0.1</v>
      </c>
      <c r="F26" s="14" t="n">
        <f aca="false">D26+(D26*E26)</f>
        <v>49.5</v>
      </c>
      <c r="H26" s="12" t="s">
        <v>20</v>
      </c>
      <c r="I26" s="16" t="n">
        <f aca="false">SUMIF($B$4:$B$2000,H26,$D$4:$D$2000)</f>
        <v>5112.89</v>
      </c>
      <c r="J26" s="16" t="n">
        <f aca="false">K26-I26</f>
        <v>511.289</v>
      </c>
      <c r="K26" s="14" t="n">
        <f aca="false">SUMIF($B$4:$B$2000,H26,$F$4:$F$2000)</f>
        <v>5624.179</v>
      </c>
    </row>
    <row r="27" customFormat="false" ht="15" hidden="false" customHeight="false" outlineLevel="0" collapsed="false">
      <c r="B27" s="26" t="s">
        <v>28</v>
      </c>
      <c r="C27" s="27" t="s">
        <v>88</v>
      </c>
      <c r="D27" s="28" t="n">
        <v>285.02</v>
      </c>
      <c r="E27" s="29" t="n">
        <v>0.1</v>
      </c>
      <c r="F27" s="30" t="n">
        <f aca="false">D27+(D27*E27)</f>
        <v>313.522</v>
      </c>
      <c r="H27" s="12" t="s">
        <v>35</v>
      </c>
      <c r="I27" s="16" t="n">
        <f aca="false">SUMIF($B$4:$B$2000,H27,$D$4:$D$2000)</f>
        <v>519.69</v>
      </c>
      <c r="J27" s="16" t="n">
        <f aca="false">K27-I27</f>
        <v>51.9689999999999</v>
      </c>
      <c r="K27" s="14" t="n">
        <f aca="false">SUMIF($B$4:$B$2000,H27,$F$4:$F$2000)</f>
        <v>571.659</v>
      </c>
    </row>
    <row r="28" customFormat="false" ht="15" hidden="false" customHeight="false" outlineLevel="0" collapsed="false">
      <c r="B28" s="22" t="s">
        <v>28</v>
      </c>
      <c r="C28" s="23" t="s">
        <v>89</v>
      </c>
      <c r="D28" s="16" t="n">
        <v>111.68</v>
      </c>
      <c r="E28" s="24" t="n">
        <v>0.1</v>
      </c>
      <c r="F28" s="14" t="n">
        <f aca="false">D28+(D28*E28)</f>
        <v>122.848</v>
      </c>
      <c r="H28" s="12" t="s">
        <v>32</v>
      </c>
      <c r="I28" s="16" t="n">
        <f aca="false">SUMIF($B$4:$B$2000,H28,$D$4:$D$2000)</f>
        <v>654.19</v>
      </c>
      <c r="J28" s="16" t="n">
        <f aca="false">K28-I28</f>
        <v>65.4189999999999</v>
      </c>
      <c r="K28" s="14" t="n">
        <f aca="false">SUMIF($B$4:$B$2000,H28,$F$4:$F$2000)</f>
        <v>719.609</v>
      </c>
    </row>
    <row r="29" customFormat="false" ht="15" hidden="false" customHeight="false" outlineLevel="0" collapsed="false">
      <c r="B29" s="26" t="s">
        <v>28</v>
      </c>
      <c r="C29" s="27" t="s">
        <v>90</v>
      </c>
      <c r="D29" s="28" t="n">
        <v>27.28</v>
      </c>
      <c r="E29" s="29" t="n">
        <v>0.1</v>
      </c>
      <c r="F29" s="30" t="n">
        <f aca="false">D29+(D29*E29)</f>
        <v>30.008</v>
      </c>
      <c r="H29" s="12" t="s">
        <v>31</v>
      </c>
      <c r="I29" s="16" t="n">
        <f aca="false">SUMIF($B$4:$B$2000,H29,$D$4:$D$2000)</f>
        <v>712.94</v>
      </c>
      <c r="J29" s="16" t="n">
        <f aca="false">K29-I29</f>
        <v>149.7174</v>
      </c>
      <c r="K29" s="14" t="n">
        <f aca="false">SUMIF($B$4:$B$2000,H29,$F$4:$F$2000)</f>
        <v>862.6574</v>
      </c>
    </row>
    <row r="30" customFormat="false" ht="15" hidden="false" customHeight="false" outlineLevel="0" collapsed="false">
      <c r="B30" s="22" t="s">
        <v>28</v>
      </c>
      <c r="C30" s="23" t="s">
        <v>91</v>
      </c>
      <c r="D30" s="16" t="n">
        <v>67.32</v>
      </c>
      <c r="E30" s="24" t="n">
        <v>0.1</v>
      </c>
      <c r="F30" s="14" t="n">
        <f aca="false">D30+(D30*E30)</f>
        <v>74.052</v>
      </c>
      <c r="H30" s="12" t="s">
        <v>44</v>
      </c>
      <c r="I30" s="16" t="n">
        <f aca="false">SUMIF($B$4:$B$2000,H30,$D$4:$D$2000)</f>
        <v>320</v>
      </c>
      <c r="J30" s="16" t="n">
        <f aca="false">K30-I30</f>
        <v>12.8</v>
      </c>
      <c r="K30" s="14" t="n">
        <f aca="false">SUMIF($B$4:$B$2000,H30,$F$4:$F$2000)</f>
        <v>332.8</v>
      </c>
    </row>
    <row r="31" customFormat="false" ht="15" hidden="false" customHeight="false" outlineLevel="0" collapsed="false">
      <c r="B31" s="26" t="s">
        <v>28</v>
      </c>
      <c r="C31" s="27" t="s">
        <v>92</v>
      </c>
      <c r="D31" s="28" t="n">
        <v>45</v>
      </c>
      <c r="E31" s="29" t="n">
        <v>0.1</v>
      </c>
      <c r="F31" s="30" t="n">
        <f aca="false">D31+(D31*E31)</f>
        <v>49.5</v>
      </c>
      <c r="H31" s="12" t="s">
        <v>46</v>
      </c>
      <c r="I31" s="16" t="n">
        <f aca="false">SUMIF($B$4:$B$2000,H31,$D$4:$D$2000)</f>
        <v>271.18</v>
      </c>
      <c r="J31" s="16" t="n">
        <f aca="false">K31-I31</f>
        <v>27.118</v>
      </c>
      <c r="K31" s="14" t="n">
        <f aca="false">SUMIF($B$4:$B$2000,H31,$F$4:$F$2000)</f>
        <v>298.298</v>
      </c>
    </row>
    <row r="32" customFormat="false" ht="15" hidden="false" customHeight="false" outlineLevel="0" collapsed="false">
      <c r="B32" s="22" t="s">
        <v>28</v>
      </c>
      <c r="C32" s="23" t="s">
        <v>93</v>
      </c>
      <c r="D32" s="16" t="n">
        <v>104.84</v>
      </c>
      <c r="E32" s="24" t="n">
        <v>0.1</v>
      </c>
      <c r="F32" s="14" t="n">
        <f aca="false">D32+(D32*E32)</f>
        <v>115.324</v>
      </c>
      <c r="H32" s="12" t="s">
        <v>29</v>
      </c>
      <c r="I32" s="16" t="n">
        <f aca="false">SUMIF($B$4:$B$2000,H32,$D$4:$D$2000)</f>
        <v>780.87</v>
      </c>
      <c r="J32" s="16" t="n">
        <f aca="false">K32-I32</f>
        <v>160.2537</v>
      </c>
      <c r="K32" s="14" t="n">
        <f aca="false">SUMIF($B$4:$B$2000,H32,$F$4:$F$2000)</f>
        <v>941.1237</v>
      </c>
    </row>
    <row r="33" customFormat="false" ht="15" hidden="false" customHeight="false" outlineLevel="0" collapsed="false">
      <c r="B33" s="26" t="s">
        <v>28</v>
      </c>
      <c r="C33" s="27" t="s">
        <v>94</v>
      </c>
      <c r="D33" s="28" t="n">
        <v>60.72</v>
      </c>
      <c r="E33" s="29" t="n">
        <v>0.1</v>
      </c>
      <c r="F33" s="30" t="n">
        <f aca="false">D33+(D33*E33)</f>
        <v>66.792</v>
      </c>
      <c r="H33" s="31" t="s">
        <v>58</v>
      </c>
      <c r="I33" s="31" t="n">
        <f aca="false">SUM(I4:I32)</f>
        <v>24271.19</v>
      </c>
      <c r="J33" s="31" t="n">
        <f aca="false">SUM(J4:J32)</f>
        <v>2945.2262</v>
      </c>
      <c r="K33" s="31" t="n">
        <f aca="false">SUM(K4:K32)</f>
        <v>27216.4162</v>
      </c>
    </row>
    <row r="34" customFormat="false" ht="15" hidden="false" customHeight="false" outlineLevel="0" collapsed="false">
      <c r="B34" s="22" t="s">
        <v>28</v>
      </c>
      <c r="C34" s="23" t="s">
        <v>95</v>
      </c>
      <c r="D34" s="16" t="n">
        <v>143.42</v>
      </c>
      <c r="E34" s="24" t="n">
        <v>0.1</v>
      </c>
      <c r="F34" s="14" t="n">
        <f aca="false">D34+(D34*E34)</f>
        <v>157.762</v>
      </c>
    </row>
    <row r="35" customFormat="false" ht="15" hidden="false" customHeight="false" outlineLevel="0" collapsed="false">
      <c r="B35" s="26" t="s">
        <v>30</v>
      </c>
      <c r="C35" s="27" t="s">
        <v>96</v>
      </c>
      <c r="D35" s="28" t="n">
        <v>-229.6</v>
      </c>
      <c r="E35" s="29" t="n">
        <v>0.1</v>
      </c>
      <c r="F35" s="30" t="n">
        <f aca="false">D35+(D35*E35)</f>
        <v>-252.56</v>
      </c>
    </row>
    <row r="36" customFormat="false" ht="15" hidden="false" customHeight="false" outlineLevel="0" collapsed="false">
      <c r="B36" s="22" t="s">
        <v>30</v>
      </c>
      <c r="C36" s="23" t="s">
        <v>97</v>
      </c>
      <c r="D36" s="16" t="n">
        <v>119.6</v>
      </c>
      <c r="E36" s="24" t="n">
        <v>0.1</v>
      </c>
      <c r="F36" s="14" t="n">
        <f aca="false">D36+(D36*E36)</f>
        <v>131.56</v>
      </c>
    </row>
    <row r="37" customFormat="false" ht="15" hidden="false" customHeight="false" outlineLevel="0" collapsed="false">
      <c r="B37" s="26" t="s">
        <v>30</v>
      </c>
      <c r="C37" s="27" t="s">
        <v>98</v>
      </c>
      <c r="D37" s="28" t="n">
        <v>78</v>
      </c>
      <c r="E37" s="29" t="n">
        <v>0.1</v>
      </c>
      <c r="F37" s="30" t="n">
        <f aca="false">D37+(D37*E37)</f>
        <v>85.8</v>
      </c>
    </row>
    <row r="38" customFormat="false" ht="15" hidden="false" customHeight="false" outlineLevel="0" collapsed="false">
      <c r="B38" s="22" t="s">
        <v>30</v>
      </c>
      <c r="C38" s="23" t="s">
        <v>99</v>
      </c>
      <c r="D38" s="16" t="n">
        <v>78</v>
      </c>
      <c r="E38" s="24" t="n">
        <v>0.1</v>
      </c>
      <c r="F38" s="14" t="n">
        <f aca="false">D38+(D38*E38)</f>
        <v>85.8</v>
      </c>
    </row>
    <row r="39" customFormat="false" ht="15" hidden="false" customHeight="false" outlineLevel="0" collapsed="false">
      <c r="B39" s="26" t="s">
        <v>30</v>
      </c>
      <c r="C39" s="27" t="s">
        <v>100</v>
      </c>
      <c r="D39" s="28" t="n">
        <v>78</v>
      </c>
      <c r="E39" s="29" t="n">
        <v>0.1</v>
      </c>
      <c r="F39" s="30" t="n">
        <f aca="false">D39+(D39*E39)</f>
        <v>85.8</v>
      </c>
    </row>
    <row r="40" customFormat="false" ht="15" hidden="false" customHeight="false" outlineLevel="0" collapsed="false">
      <c r="B40" s="22" t="s">
        <v>30</v>
      </c>
      <c r="C40" s="23" t="s">
        <v>101</v>
      </c>
      <c r="D40" s="16" t="n">
        <v>78</v>
      </c>
      <c r="E40" s="24" t="n">
        <v>0.1</v>
      </c>
      <c r="F40" s="14" t="n">
        <f aca="false">D40+(D40*E40)</f>
        <v>85.8</v>
      </c>
    </row>
    <row r="41" customFormat="false" ht="15" hidden="false" customHeight="false" outlineLevel="0" collapsed="false">
      <c r="B41" s="26" t="s">
        <v>30</v>
      </c>
      <c r="C41" s="27" t="s">
        <v>102</v>
      </c>
      <c r="D41" s="28" t="n">
        <v>78</v>
      </c>
      <c r="E41" s="29" t="n">
        <v>0.1</v>
      </c>
      <c r="F41" s="30" t="n">
        <f aca="false">D41+(D41*E41)</f>
        <v>85.8</v>
      </c>
    </row>
    <row r="42" customFormat="false" ht="15" hidden="false" customHeight="false" outlineLevel="0" collapsed="false">
      <c r="B42" s="22" t="s">
        <v>30</v>
      </c>
      <c r="C42" s="23" t="s">
        <v>103</v>
      </c>
      <c r="D42" s="16" t="n">
        <v>168</v>
      </c>
      <c r="E42" s="24" t="n">
        <v>0.1</v>
      </c>
      <c r="F42" s="14" t="n">
        <f aca="false">D42+(D42*E42)</f>
        <v>184.8</v>
      </c>
    </row>
    <row r="43" customFormat="false" ht="15" hidden="false" customHeight="false" outlineLevel="0" collapsed="false">
      <c r="B43" s="26" t="s">
        <v>30</v>
      </c>
      <c r="C43" s="27" t="s">
        <v>104</v>
      </c>
      <c r="D43" s="28" t="n">
        <v>78</v>
      </c>
      <c r="E43" s="29" t="n">
        <v>0.1</v>
      </c>
      <c r="F43" s="30" t="n">
        <f aca="false">D43+(D43*E43)</f>
        <v>85.8</v>
      </c>
    </row>
    <row r="44" customFormat="false" ht="15" hidden="false" customHeight="false" outlineLevel="0" collapsed="false">
      <c r="B44" s="22" t="s">
        <v>30</v>
      </c>
      <c r="C44" s="23" t="s">
        <v>105</v>
      </c>
      <c r="D44" s="16" t="n">
        <v>246</v>
      </c>
      <c r="E44" s="24" t="n">
        <v>0.1</v>
      </c>
      <c r="F44" s="14" t="n">
        <f aca="false">D44+(D44*E44)</f>
        <v>270.6</v>
      </c>
    </row>
    <row r="45" customFormat="false" ht="15" hidden="false" customHeight="false" outlineLevel="0" collapsed="false">
      <c r="B45" s="26" t="s">
        <v>41</v>
      </c>
      <c r="C45" s="27" t="s">
        <v>106</v>
      </c>
      <c r="D45" s="28" t="n">
        <v>88.09</v>
      </c>
      <c r="E45" s="29" t="n">
        <v>0.1</v>
      </c>
      <c r="F45" s="30" t="n">
        <f aca="false">D45+(D45*E45)</f>
        <v>96.899</v>
      </c>
    </row>
    <row r="46" customFormat="false" ht="15" hidden="false" customHeight="false" outlineLevel="0" collapsed="false">
      <c r="B46" s="22" t="s">
        <v>41</v>
      </c>
      <c r="C46" s="23" t="s">
        <v>106</v>
      </c>
      <c r="D46" s="16" t="n">
        <v>40.69</v>
      </c>
      <c r="E46" s="24" t="n">
        <v>0.04</v>
      </c>
      <c r="F46" s="14" t="n">
        <f aca="false">D46+(D46*E46)</f>
        <v>42.3176</v>
      </c>
    </row>
    <row r="47" customFormat="false" ht="15" hidden="false" customHeight="false" outlineLevel="0" collapsed="false">
      <c r="B47" s="26" t="s">
        <v>41</v>
      </c>
      <c r="C47" s="27" t="s">
        <v>107</v>
      </c>
      <c r="D47" s="28" t="n">
        <v>35.46</v>
      </c>
      <c r="E47" s="29" t="n">
        <v>0.04</v>
      </c>
      <c r="F47" s="30" t="n">
        <f aca="false">D47+(D47*E47)</f>
        <v>36.8784</v>
      </c>
    </row>
    <row r="48" customFormat="false" ht="15" hidden="false" customHeight="false" outlineLevel="0" collapsed="false">
      <c r="B48" s="22" t="s">
        <v>41</v>
      </c>
      <c r="C48" s="23" t="s">
        <v>108</v>
      </c>
      <c r="D48" s="16" t="n">
        <v>76.15</v>
      </c>
      <c r="E48" s="24" t="n">
        <v>0.04</v>
      </c>
      <c r="F48" s="14" t="n">
        <f aca="false">D48+(D48*E48)</f>
        <v>79.196</v>
      </c>
    </row>
    <row r="49" customFormat="false" ht="15" hidden="false" customHeight="false" outlineLevel="0" collapsed="false">
      <c r="B49" s="26" t="s">
        <v>41</v>
      </c>
      <c r="C49" s="27" t="s">
        <v>109</v>
      </c>
      <c r="D49" s="28" t="n">
        <v>53.19</v>
      </c>
      <c r="E49" s="29" t="n">
        <v>0.04</v>
      </c>
      <c r="F49" s="30" t="n">
        <f aca="false">D49+(D49*E49)</f>
        <v>55.3176</v>
      </c>
    </row>
    <row r="50" customFormat="false" ht="15" hidden="false" customHeight="false" outlineLevel="0" collapsed="false">
      <c r="B50" s="22" t="s">
        <v>41</v>
      </c>
      <c r="C50" s="23" t="s">
        <v>110</v>
      </c>
      <c r="D50" s="16" t="n">
        <v>87.63</v>
      </c>
      <c r="E50" s="24" t="n">
        <v>0.04</v>
      </c>
      <c r="F50" s="14" t="n">
        <f aca="false">D50+(D50*E50)</f>
        <v>91.1352</v>
      </c>
    </row>
    <row r="51" customFormat="false" ht="15" hidden="false" customHeight="false" outlineLevel="0" collapsed="false">
      <c r="B51" s="26" t="s">
        <v>45</v>
      </c>
      <c r="C51" s="27" t="s">
        <v>111</v>
      </c>
      <c r="D51" s="28" t="n">
        <v>83</v>
      </c>
      <c r="E51" s="29" t="n">
        <v>0.1</v>
      </c>
      <c r="F51" s="30" t="n">
        <f aca="false">D51+(D51*E51)</f>
        <v>91.3</v>
      </c>
    </row>
    <row r="52" customFormat="false" ht="15" hidden="false" customHeight="false" outlineLevel="0" collapsed="false">
      <c r="B52" s="22" t="s">
        <v>45</v>
      </c>
      <c r="C52" s="23" t="s">
        <v>112</v>
      </c>
      <c r="D52" s="16" t="n">
        <v>235</v>
      </c>
      <c r="E52" s="24" t="n">
        <v>0.1</v>
      </c>
      <c r="F52" s="14" t="n">
        <f aca="false">D52+(D52*E52)</f>
        <v>258.5</v>
      </c>
    </row>
    <row r="53" customFormat="false" ht="15" hidden="false" customHeight="false" outlineLevel="0" collapsed="false">
      <c r="B53" s="26" t="s">
        <v>23</v>
      </c>
      <c r="C53" s="27" t="s">
        <v>113</v>
      </c>
      <c r="D53" s="28" t="n">
        <v>795.12</v>
      </c>
      <c r="E53" s="29" t="n">
        <v>0.21</v>
      </c>
      <c r="F53" s="30" t="n">
        <f aca="false">D53+(D53*E53)</f>
        <v>962.0952</v>
      </c>
    </row>
    <row r="54" customFormat="false" ht="15" hidden="false" customHeight="false" outlineLevel="0" collapsed="false">
      <c r="B54" s="22" t="s">
        <v>23</v>
      </c>
      <c r="C54" s="23" t="s">
        <v>114</v>
      </c>
      <c r="D54" s="16" t="n">
        <v>356.52</v>
      </c>
      <c r="E54" s="24" t="n">
        <v>0.21</v>
      </c>
      <c r="F54" s="14" t="n">
        <f aca="false">D54+(D54*E54)</f>
        <v>431.3892</v>
      </c>
    </row>
    <row r="55" customFormat="false" ht="15" hidden="false" customHeight="false" outlineLevel="0" collapsed="false">
      <c r="B55" s="26" t="s">
        <v>23</v>
      </c>
      <c r="C55" s="27" t="s">
        <v>115</v>
      </c>
      <c r="D55" s="28" t="n">
        <v>168.72</v>
      </c>
      <c r="E55" s="29" t="n">
        <v>0.21</v>
      </c>
      <c r="F55" s="30" t="n">
        <f aca="false">D55+(D55*E55)</f>
        <v>204.1512</v>
      </c>
    </row>
    <row r="56" customFormat="false" ht="15" hidden="false" customHeight="false" outlineLevel="0" collapsed="false">
      <c r="B56" s="22" t="s">
        <v>34</v>
      </c>
      <c r="C56" s="23" t="s">
        <v>116</v>
      </c>
      <c r="D56" s="16" t="n">
        <v>117.55</v>
      </c>
      <c r="E56" s="24" t="n">
        <v>0.21</v>
      </c>
      <c r="F56" s="14" t="n">
        <f aca="false">D56+(D56*E56)</f>
        <v>142.2355</v>
      </c>
    </row>
    <row r="57" customFormat="false" ht="15" hidden="false" customHeight="false" outlineLevel="0" collapsed="false">
      <c r="B57" s="26" t="s">
        <v>34</v>
      </c>
      <c r="C57" s="27" t="s">
        <v>117</v>
      </c>
      <c r="D57" s="28" t="n">
        <v>283.84</v>
      </c>
      <c r="E57" s="29" t="n">
        <v>0.21</v>
      </c>
      <c r="F57" s="30" t="n">
        <f aca="false">D57+(D57*E57)</f>
        <v>343.4464</v>
      </c>
    </row>
    <row r="58" customFormat="false" ht="15" hidden="false" customHeight="false" outlineLevel="0" collapsed="false">
      <c r="B58" s="22" t="s">
        <v>34</v>
      </c>
      <c r="C58" s="23" t="s">
        <v>118</v>
      </c>
      <c r="D58" s="16" t="n">
        <v>53.6</v>
      </c>
      <c r="E58" s="24" t="n">
        <v>0.1</v>
      </c>
      <c r="F58" s="14" t="n">
        <f aca="false">D58+(D58*E58)</f>
        <v>58.96</v>
      </c>
    </row>
    <row r="59" customFormat="false" ht="15" hidden="false" customHeight="false" outlineLevel="0" collapsed="false">
      <c r="B59" s="26" t="s">
        <v>34</v>
      </c>
      <c r="C59" s="27" t="s">
        <v>118</v>
      </c>
      <c r="D59" s="28" t="n">
        <v>1</v>
      </c>
      <c r="E59" s="29" t="n">
        <v>0.21</v>
      </c>
      <c r="F59" s="30" t="n">
        <f aca="false">D59+(D59*E59)</f>
        <v>1.21</v>
      </c>
    </row>
    <row r="60" customFormat="false" ht="15" hidden="false" customHeight="false" outlineLevel="0" collapsed="false">
      <c r="B60" s="22" t="s">
        <v>34</v>
      </c>
      <c r="C60" s="23" t="s">
        <v>119</v>
      </c>
      <c r="D60" s="16" t="n">
        <v>148.06</v>
      </c>
      <c r="E60" s="24" t="n">
        <v>0.21</v>
      </c>
      <c r="F60" s="14" t="n">
        <f aca="false">D60+(D60*E60)</f>
        <v>179.1526</v>
      </c>
    </row>
    <row r="61" customFormat="false" ht="15" hidden="false" customHeight="false" outlineLevel="0" collapsed="false">
      <c r="B61" s="26" t="s">
        <v>38</v>
      </c>
      <c r="C61" s="27" t="s">
        <v>120</v>
      </c>
      <c r="D61" s="28" t="n">
        <v>216</v>
      </c>
      <c r="E61" s="29" t="n">
        <v>0.1</v>
      </c>
      <c r="F61" s="30" t="n">
        <f aca="false">D61+(D61*E61)</f>
        <v>237.6</v>
      </c>
    </row>
    <row r="62" customFormat="false" ht="15" hidden="false" customHeight="false" outlineLevel="0" collapsed="false">
      <c r="B62" s="22" t="s">
        <v>38</v>
      </c>
      <c r="C62" s="23" t="s">
        <v>121</v>
      </c>
      <c r="D62" s="16" t="n">
        <v>216</v>
      </c>
      <c r="E62" s="24" t="n">
        <v>0.1</v>
      </c>
      <c r="F62" s="14" t="n">
        <f aca="false">D62+(D62*E62)</f>
        <v>237.6</v>
      </c>
    </row>
    <row r="63" customFormat="false" ht="15" hidden="false" customHeight="false" outlineLevel="0" collapsed="false">
      <c r="B63" s="26" t="s">
        <v>48</v>
      </c>
      <c r="C63" s="27" t="s">
        <v>122</v>
      </c>
      <c r="D63" s="28" t="n">
        <v>84.48</v>
      </c>
      <c r="E63" s="29" t="n">
        <v>0.1</v>
      </c>
      <c r="F63" s="30" t="n">
        <f aca="false">D63+(D63*E63)</f>
        <v>92.928</v>
      </c>
    </row>
    <row r="64" customFormat="false" ht="15" hidden="false" customHeight="false" outlineLevel="0" collapsed="false">
      <c r="B64" s="22" t="s">
        <v>47</v>
      </c>
      <c r="C64" s="23" t="s">
        <v>123</v>
      </c>
      <c r="D64" s="16" t="n">
        <v>91.6</v>
      </c>
      <c r="E64" s="24" t="n">
        <v>0.1</v>
      </c>
      <c r="F64" s="14" t="n">
        <f aca="false">D64+(D64*E64)</f>
        <v>100.76</v>
      </c>
    </row>
    <row r="65" customFormat="false" ht="15" hidden="false" customHeight="false" outlineLevel="0" collapsed="false">
      <c r="B65" s="26" t="s">
        <v>36</v>
      </c>
      <c r="C65" s="27" t="s">
        <v>124</v>
      </c>
      <c r="D65" s="28" t="n">
        <v>501</v>
      </c>
      <c r="E65" s="29" t="n">
        <v>0.1</v>
      </c>
      <c r="F65" s="30" t="n">
        <f aca="false">D65+(D65*E65)</f>
        <v>551.1</v>
      </c>
    </row>
    <row r="66" customFormat="false" ht="15" hidden="false" customHeight="false" outlineLevel="0" collapsed="false">
      <c r="B66" s="22" t="s">
        <v>36</v>
      </c>
      <c r="C66" s="23" t="s">
        <v>124</v>
      </c>
      <c r="D66" s="16" t="n">
        <v>15</v>
      </c>
      <c r="E66" s="24" t="n">
        <v>0.21</v>
      </c>
      <c r="F66" s="14" t="n">
        <f aca="false">D66+(D66*E66)</f>
        <v>18.15</v>
      </c>
    </row>
    <row r="67" customFormat="false" ht="15" hidden="false" customHeight="false" outlineLevel="0" collapsed="false">
      <c r="B67" s="26" t="s">
        <v>27</v>
      </c>
      <c r="C67" s="27" t="s">
        <v>125</v>
      </c>
      <c r="D67" s="28" t="n">
        <v>91.9</v>
      </c>
      <c r="E67" s="29" t="n">
        <v>0.1</v>
      </c>
      <c r="F67" s="30" t="n">
        <f aca="false">D67+(D67*E67)</f>
        <v>101.09</v>
      </c>
    </row>
    <row r="68" customFormat="false" ht="15" hidden="false" customHeight="false" outlineLevel="0" collapsed="false">
      <c r="B68" s="22" t="s">
        <v>27</v>
      </c>
      <c r="C68" s="23" t="s">
        <v>125</v>
      </c>
      <c r="D68" s="16" t="n">
        <v>224.55</v>
      </c>
      <c r="E68" s="24" t="n">
        <v>0.04</v>
      </c>
      <c r="F68" s="14" t="n">
        <f aca="false">D68+(D68*E68)</f>
        <v>233.532</v>
      </c>
    </row>
    <row r="69" customFormat="false" ht="15" hidden="false" customHeight="false" outlineLevel="0" collapsed="false">
      <c r="B69" s="26" t="s">
        <v>27</v>
      </c>
      <c r="C69" s="27" t="s">
        <v>126</v>
      </c>
      <c r="D69" s="28" t="n">
        <v>44.95</v>
      </c>
      <c r="E69" s="29" t="n">
        <v>0.1</v>
      </c>
      <c r="F69" s="30" t="n">
        <f aca="false">D69+(D69*E69)</f>
        <v>49.445</v>
      </c>
    </row>
    <row r="70" customFormat="false" ht="15" hidden="false" customHeight="false" outlineLevel="0" collapsed="false">
      <c r="B70" s="22" t="s">
        <v>27</v>
      </c>
      <c r="C70" s="23" t="s">
        <v>126</v>
      </c>
      <c r="D70" s="16" t="n">
        <v>262.95</v>
      </c>
      <c r="E70" s="24" t="n">
        <v>0.04</v>
      </c>
      <c r="F70" s="14" t="n">
        <f aca="false">D70+(D70*E70)</f>
        <v>273.468</v>
      </c>
    </row>
    <row r="71" customFormat="false" ht="15" hidden="false" customHeight="false" outlineLevel="0" collapsed="false">
      <c r="B71" s="26" t="s">
        <v>27</v>
      </c>
      <c r="C71" s="27" t="s">
        <v>127</v>
      </c>
      <c r="D71" s="28" t="n">
        <v>44.95</v>
      </c>
      <c r="E71" s="29" t="n">
        <v>0.1</v>
      </c>
      <c r="F71" s="30" t="n">
        <f aca="false">D71+(D71*E71)</f>
        <v>49.445</v>
      </c>
    </row>
    <row r="72" customFormat="false" ht="15" hidden="false" customHeight="false" outlineLevel="0" collapsed="false">
      <c r="B72" s="22" t="s">
        <v>27</v>
      </c>
      <c r="C72" s="23" t="s">
        <v>127</v>
      </c>
      <c r="D72" s="16" t="n">
        <v>143.7</v>
      </c>
      <c r="E72" s="24" t="n">
        <v>0.04</v>
      </c>
      <c r="F72" s="14" t="n">
        <f aca="false">D72+(D72*E72)</f>
        <v>149.448</v>
      </c>
    </row>
    <row r="73" customFormat="false" ht="15" hidden="false" customHeight="false" outlineLevel="0" collapsed="false">
      <c r="B73" s="26" t="s">
        <v>27</v>
      </c>
      <c r="C73" s="27" t="s">
        <v>128</v>
      </c>
      <c r="D73" s="28" t="n">
        <v>45.95</v>
      </c>
      <c r="E73" s="29" t="n">
        <v>0.1</v>
      </c>
      <c r="F73" s="30" t="n">
        <f aca="false">D73+(D73*E73)</f>
        <v>50.545</v>
      </c>
    </row>
    <row r="74" customFormat="false" ht="15" hidden="false" customHeight="false" outlineLevel="0" collapsed="false">
      <c r="B74" s="22" t="s">
        <v>27</v>
      </c>
      <c r="C74" s="23" t="s">
        <v>128</v>
      </c>
      <c r="D74" s="16" t="n">
        <v>71.85</v>
      </c>
      <c r="E74" s="24" t="n">
        <v>0.04</v>
      </c>
      <c r="F74" s="14" t="n">
        <f aca="false">D74+(D74*E74)</f>
        <v>74.724</v>
      </c>
    </row>
    <row r="75" customFormat="false" ht="15" hidden="false" customHeight="false" outlineLevel="0" collapsed="false">
      <c r="B75" s="26" t="s">
        <v>39</v>
      </c>
      <c r="C75" s="27" t="s">
        <v>129</v>
      </c>
      <c r="D75" s="28" t="n">
        <v>425</v>
      </c>
      <c r="E75" s="29" t="n">
        <v>0.1</v>
      </c>
      <c r="F75" s="30" t="n">
        <f aca="false">D75+(D75*E75)</f>
        <v>467.5</v>
      </c>
    </row>
    <row r="76" customFormat="false" ht="15" hidden="false" customHeight="false" outlineLevel="0" collapsed="false">
      <c r="B76" s="22" t="s">
        <v>22</v>
      </c>
      <c r="C76" s="23" t="s">
        <v>130</v>
      </c>
      <c r="D76" s="16" t="n">
        <v>13.5</v>
      </c>
      <c r="E76" s="24" t="n">
        <v>0.1</v>
      </c>
      <c r="F76" s="14" t="n">
        <f aca="false">D76+(D76*E76)</f>
        <v>14.85</v>
      </c>
    </row>
    <row r="77" customFormat="false" ht="15" hidden="false" customHeight="false" outlineLevel="0" collapsed="false">
      <c r="B77" s="26" t="s">
        <v>22</v>
      </c>
      <c r="C77" s="27" t="s">
        <v>131</v>
      </c>
      <c r="D77" s="28" t="n">
        <v>113.5</v>
      </c>
      <c r="E77" s="29" t="n">
        <v>0.1</v>
      </c>
      <c r="F77" s="30" t="n">
        <f aca="false">D77+(D77*E77)</f>
        <v>124.85</v>
      </c>
    </row>
    <row r="78" customFormat="false" ht="15" hidden="false" customHeight="false" outlineLevel="0" collapsed="false">
      <c r="B78" s="22" t="s">
        <v>22</v>
      </c>
      <c r="C78" s="23" t="s">
        <v>132</v>
      </c>
      <c r="D78" s="16" t="n">
        <v>144</v>
      </c>
      <c r="E78" s="24" t="n">
        <v>0.1</v>
      </c>
      <c r="F78" s="14" t="n">
        <f aca="false">D78+(D78*E78)</f>
        <v>158.4</v>
      </c>
    </row>
    <row r="79" customFormat="false" ht="15" hidden="false" customHeight="false" outlineLevel="0" collapsed="false">
      <c r="B79" s="26" t="s">
        <v>22</v>
      </c>
      <c r="C79" s="27" t="s">
        <v>133</v>
      </c>
      <c r="D79" s="28" t="n">
        <v>69.5</v>
      </c>
      <c r="E79" s="29" t="n">
        <v>0.1</v>
      </c>
      <c r="F79" s="30" t="n">
        <f aca="false">D79+(D79*E79)</f>
        <v>76.45</v>
      </c>
    </row>
    <row r="80" customFormat="false" ht="15" hidden="false" customHeight="false" outlineLevel="0" collapsed="false">
      <c r="B80" s="22" t="s">
        <v>22</v>
      </c>
      <c r="C80" s="23" t="s">
        <v>134</v>
      </c>
      <c r="D80" s="16" t="n">
        <v>150</v>
      </c>
      <c r="E80" s="24" t="n">
        <v>0.1</v>
      </c>
      <c r="F80" s="14" t="n">
        <f aca="false">D80+(D80*E80)</f>
        <v>165</v>
      </c>
    </row>
    <row r="81" customFormat="false" ht="15" hidden="false" customHeight="false" outlineLevel="0" collapsed="false">
      <c r="B81" s="26" t="s">
        <v>22</v>
      </c>
      <c r="C81" s="27" t="s">
        <v>135</v>
      </c>
      <c r="D81" s="28" t="n">
        <v>206.8</v>
      </c>
      <c r="E81" s="29" t="n">
        <v>0.1</v>
      </c>
      <c r="F81" s="30" t="n">
        <f aca="false">D81+(D81*E81)</f>
        <v>227.48</v>
      </c>
    </row>
    <row r="82" customFormat="false" ht="15" hidden="false" customHeight="false" outlineLevel="0" collapsed="false">
      <c r="B82" s="22" t="s">
        <v>22</v>
      </c>
      <c r="C82" s="23" t="s">
        <v>136</v>
      </c>
      <c r="D82" s="16" t="n">
        <v>149</v>
      </c>
      <c r="E82" s="24" t="n">
        <v>0.1</v>
      </c>
      <c r="F82" s="14" t="n">
        <f aca="false">D82+(D82*E82)</f>
        <v>163.9</v>
      </c>
    </row>
    <row r="83" customFormat="false" ht="15" hidden="false" customHeight="false" outlineLevel="0" collapsed="false">
      <c r="B83" s="26" t="s">
        <v>22</v>
      </c>
      <c r="C83" s="27" t="s">
        <v>137</v>
      </c>
      <c r="D83" s="28" t="n">
        <v>166.5</v>
      </c>
      <c r="E83" s="29" t="n">
        <v>0.1</v>
      </c>
      <c r="F83" s="30" t="n">
        <f aca="false">D83+(D83*E83)</f>
        <v>183.15</v>
      </c>
    </row>
    <row r="84" customFormat="false" ht="15" hidden="false" customHeight="false" outlineLevel="0" collapsed="false">
      <c r="B84" s="22" t="s">
        <v>22</v>
      </c>
      <c r="C84" s="23" t="s">
        <v>138</v>
      </c>
      <c r="D84" s="16" t="n">
        <v>209</v>
      </c>
      <c r="E84" s="24" t="n">
        <v>0.1</v>
      </c>
      <c r="F84" s="14" t="n">
        <f aca="false">D84+(D84*E84)</f>
        <v>229.9</v>
      </c>
    </row>
    <row r="85" customFormat="false" ht="15" hidden="false" customHeight="false" outlineLevel="0" collapsed="false">
      <c r="B85" s="26" t="s">
        <v>22</v>
      </c>
      <c r="C85" s="27" t="s">
        <v>139</v>
      </c>
      <c r="D85" s="28" t="n">
        <v>148</v>
      </c>
      <c r="E85" s="29" t="n">
        <v>0.1</v>
      </c>
      <c r="F85" s="30" t="n">
        <f aca="false">D85+(D85*E85)</f>
        <v>162.8</v>
      </c>
    </row>
    <row r="86" customFormat="false" ht="15" hidden="false" customHeight="false" outlineLevel="0" collapsed="false">
      <c r="B86" s="22" t="s">
        <v>22</v>
      </c>
      <c r="C86" s="23" t="s">
        <v>140</v>
      </c>
      <c r="D86" s="16" t="n">
        <v>48</v>
      </c>
      <c r="E86" s="24" t="n">
        <v>0.1</v>
      </c>
      <c r="F86" s="14" t="n">
        <f aca="false">D86+(D86*E86)</f>
        <v>52.8</v>
      </c>
    </row>
    <row r="87" customFormat="false" ht="15" hidden="false" customHeight="false" outlineLevel="0" collapsed="false">
      <c r="B87" s="26" t="s">
        <v>22</v>
      </c>
      <c r="C87" s="27" t="s">
        <v>141</v>
      </c>
      <c r="D87" s="28" t="n">
        <v>200</v>
      </c>
      <c r="E87" s="29" t="n">
        <v>0.1</v>
      </c>
      <c r="F87" s="30" t="n">
        <f aca="false">D87+(D87*E87)</f>
        <v>220</v>
      </c>
    </row>
    <row r="88" customFormat="false" ht="15" hidden="false" customHeight="false" outlineLevel="0" collapsed="false">
      <c r="B88" s="22" t="s">
        <v>21</v>
      </c>
      <c r="C88" s="23" t="s">
        <v>142</v>
      </c>
      <c r="D88" s="16" t="n">
        <v>1306.8</v>
      </c>
      <c r="E88" s="24" t="n">
        <v>0.21</v>
      </c>
      <c r="F88" s="14" t="n">
        <f aca="false">D88+(D88*E88)</f>
        <v>1581.228</v>
      </c>
    </row>
    <row r="89" customFormat="false" ht="15" hidden="false" customHeight="false" outlineLevel="0" collapsed="false">
      <c r="B89" s="26" t="s">
        <v>21</v>
      </c>
      <c r="C89" s="27" t="s">
        <v>142</v>
      </c>
      <c r="D89" s="28" t="n">
        <v>65.28</v>
      </c>
      <c r="E89" s="29" t="n">
        <v>0.1</v>
      </c>
      <c r="F89" s="30" t="n">
        <f aca="false">D89+(D89*E89)</f>
        <v>71.808</v>
      </c>
    </row>
    <row r="90" customFormat="false" ht="15" hidden="false" customHeight="false" outlineLevel="0" collapsed="false">
      <c r="B90" s="22" t="s">
        <v>21</v>
      </c>
      <c r="C90" s="23" t="s">
        <v>143</v>
      </c>
      <c r="D90" s="16" t="n">
        <v>337.8</v>
      </c>
      <c r="E90" s="24" t="n">
        <v>0.21</v>
      </c>
      <c r="F90" s="14" t="n">
        <f aca="false">D90+(D90*E90)</f>
        <v>408.738</v>
      </c>
    </row>
    <row r="91" customFormat="false" ht="15" hidden="false" customHeight="false" outlineLevel="0" collapsed="false">
      <c r="B91" s="26" t="s">
        <v>21</v>
      </c>
      <c r="C91" s="27" t="s">
        <v>144</v>
      </c>
      <c r="D91" s="28" t="n">
        <v>210.66</v>
      </c>
      <c r="E91" s="29" t="n">
        <v>0.21</v>
      </c>
      <c r="F91" s="30" t="n">
        <f aca="false">D91+(D91*E91)</f>
        <v>254.8986</v>
      </c>
    </row>
    <row r="92" customFormat="false" ht="15" hidden="false" customHeight="false" outlineLevel="0" collapsed="false">
      <c r="B92" s="22" t="s">
        <v>43</v>
      </c>
      <c r="C92" s="23" t="s">
        <v>145</v>
      </c>
      <c r="D92" s="16" t="n">
        <v>45.25</v>
      </c>
      <c r="E92" s="24" t="n">
        <v>0.04</v>
      </c>
      <c r="F92" s="14" t="n">
        <f aca="false">D92+(D92*E92)</f>
        <v>47.06</v>
      </c>
    </row>
    <row r="93" customFormat="false" ht="15" hidden="false" customHeight="false" outlineLevel="0" collapsed="false">
      <c r="B93" s="26" t="s">
        <v>43</v>
      </c>
      <c r="C93" s="27" t="s">
        <v>146</v>
      </c>
      <c r="D93" s="28" t="n">
        <v>22</v>
      </c>
      <c r="E93" s="29" t="n">
        <v>0.04</v>
      </c>
      <c r="F93" s="30" t="n">
        <f aca="false">D93+(D93*E93)</f>
        <v>22.88</v>
      </c>
    </row>
    <row r="94" customFormat="false" ht="15" hidden="false" customHeight="false" outlineLevel="0" collapsed="false">
      <c r="B94" s="22" t="s">
        <v>43</v>
      </c>
      <c r="C94" s="23" t="s">
        <v>147</v>
      </c>
      <c r="D94" s="16" t="n">
        <v>67.25</v>
      </c>
      <c r="E94" s="24" t="n">
        <v>0.04</v>
      </c>
      <c r="F94" s="14" t="n">
        <f aca="false">D94+(D94*E94)</f>
        <v>69.94</v>
      </c>
    </row>
    <row r="95" customFormat="false" ht="15" hidden="false" customHeight="false" outlineLevel="0" collapsed="false">
      <c r="B95" s="26" t="s">
        <v>43</v>
      </c>
      <c r="C95" s="27" t="s">
        <v>148</v>
      </c>
      <c r="D95" s="28" t="n">
        <v>44</v>
      </c>
      <c r="E95" s="29" t="n">
        <v>0.04</v>
      </c>
      <c r="F95" s="30" t="n">
        <f aca="false">D95+(D95*E95)</f>
        <v>45.76</v>
      </c>
    </row>
    <row r="96" customFormat="false" ht="15" hidden="false" customHeight="false" outlineLevel="0" collapsed="false">
      <c r="B96" s="22" t="s">
        <v>43</v>
      </c>
      <c r="C96" s="23" t="s">
        <v>149</v>
      </c>
      <c r="D96" s="16" t="n">
        <v>48.4</v>
      </c>
      <c r="E96" s="24" t="n">
        <v>0.04</v>
      </c>
      <c r="F96" s="14" t="n">
        <f aca="false">D96+(D96*E96)</f>
        <v>50.336</v>
      </c>
    </row>
    <row r="97" customFormat="false" ht="15" hidden="false" customHeight="false" outlineLevel="0" collapsed="false">
      <c r="B97" s="26" t="s">
        <v>43</v>
      </c>
      <c r="C97" s="27" t="s">
        <v>150</v>
      </c>
      <c r="D97" s="28" t="n">
        <v>22</v>
      </c>
      <c r="E97" s="29" t="n">
        <v>0.04</v>
      </c>
      <c r="F97" s="30" t="n">
        <f aca="false">D97+(D97*E97)</f>
        <v>22.88</v>
      </c>
    </row>
    <row r="98" customFormat="false" ht="15" hidden="false" customHeight="false" outlineLevel="0" collapsed="false">
      <c r="B98" s="22" t="s">
        <v>43</v>
      </c>
      <c r="C98" s="23" t="s">
        <v>151</v>
      </c>
      <c r="D98" s="16" t="n">
        <v>44</v>
      </c>
      <c r="E98" s="24" t="n">
        <v>0.04</v>
      </c>
      <c r="F98" s="14" t="n">
        <f aca="false">D98+(D98*E98)</f>
        <v>45.76</v>
      </c>
    </row>
    <row r="99" customFormat="false" ht="15" hidden="false" customHeight="false" outlineLevel="0" collapsed="false">
      <c r="B99" s="26" t="s">
        <v>43</v>
      </c>
      <c r="C99" s="27" t="s">
        <v>152</v>
      </c>
      <c r="D99" s="28" t="n">
        <v>66</v>
      </c>
      <c r="E99" s="29" t="n">
        <v>0.04</v>
      </c>
      <c r="F99" s="30" t="n">
        <f aca="false">D99+(D99*E99)</f>
        <v>68.64</v>
      </c>
    </row>
    <row r="100" customFormat="false" ht="15" hidden="false" customHeight="false" outlineLevel="0" collapsed="false">
      <c r="B100" s="22" t="s">
        <v>42</v>
      </c>
      <c r="C100" s="23" t="s">
        <v>153</v>
      </c>
      <c r="D100" s="16" t="n">
        <v>192</v>
      </c>
      <c r="E100" s="24" t="n">
        <v>0.1</v>
      </c>
      <c r="F100" s="14" t="n">
        <f aca="false">D100+(D100*E100)</f>
        <v>211.2</v>
      </c>
    </row>
    <row r="101" customFormat="false" ht="15" hidden="false" customHeight="false" outlineLevel="0" collapsed="false">
      <c r="B101" s="26" t="s">
        <v>42</v>
      </c>
      <c r="C101" s="27" t="s">
        <v>154</v>
      </c>
      <c r="D101" s="28" t="n">
        <v>177.6</v>
      </c>
      <c r="E101" s="29" t="n">
        <v>0.1</v>
      </c>
      <c r="F101" s="30" t="n">
        <f aca="false">D101+(D101*E101)</f>
        <v>195.36</v>
      </c>
    </row>
    <row r="102" customFormat="false" ht="15" hidden="false" customHeight="false" outlineLevel="0" collapsed="false">
      <c r="B102" s="22" t="s">
        <v>20</v>
      </c>
      <c r="C102" s="23" t="s">
        <v>155</v>
      </c>
      <c r="D102" s="16" t="n">
        <v>132.8</v>
      </c>
      <c r="E102" s="24" t="n">
        <v>0.1</v>
      </c>
      <c r="F102" s="14" t="n">
        <f aca="false">D102+(D102*E102)</f>
        <v>146.08</v>
      </c>
    </row>
    <row r="103" customFormat="false" ht="15" hidden="false" customHeight="false" outlineLevel="0" collapsed="false">
      <c r="B103" s="26" t="s">
        <v>20</v>
      </c>
      <c r="C103" s="27" t="s">
        <v>156</v>
      </c>
      <c r="D103" s="28" t="n">
        <v>922.87</v>
      </c>
      <c r="E103" s="29" t="n">
        <v>0.1</v>
      </c>
      <c r="F103" s="30" t="n">
        <f aca="false">D103+(D103*E103)</f>
        <v>1015.157</v>
      </c>
    </row>
    <row r="104" customFormat="false" ht="15" hidden="false" customHeight="false" outlineLevel="0" collapsed="false">
      <c r="B104" s="22" t="s">
        <v>20</v>
      </c>
      <c r="C104" s="23" t="s">
        <v>157</v>
      </c>
      <c r="D104" s="16" t="n">
        <v>352.41</v>
      </c>
      <c r="E104" s="24" t="n">
        <v>0.1</v>
      </c>
      <c r="F104" s="14" t="n">
        <f aca="false">D104+(D104*E104)</f>
        <v>387.651</v>
      </c>
    </row>
    <row r="105" customFormat="false" ht="15" hidden="false" customHeight="false" outlineLevel="0" collapsed="false">
      <c r="B105" s="26" t="s">
        <v>20</v>
      </c>
      <c r="C105" s="27" t="s">
        <v>158</v>
      </c>
      <c r="D105" s="28" t="n">
        <v>195.8</v>
      </c>
      <c r="E105" s="29" t="n">
        <v>0.1</v>
      </c>
      <c r="F105" s="30" t="n">
        <f aca="false">D105+(D105*E105)</f>
        <v>215.38</v>
      </c>
    </row>
    <row r="106" customFormat="false" ht="15" hidden="false" customHeight="false" outlineLevel="0" collapsed="false">
      <c r="B106" s="22" t="s">
        <v>20</v>
      </c>
      <c r="C106" s="23" t="s">
        <v>159</v>
      </c>
      <c r="D106" s="16" t="n">
        <v>190.5</v>
      </c>
      <c r="E106" s="24" t="n">
        <v>0.1</v>
      </c>
      <c r="F106" s="14" t="n">
        <f aca="false">D106+(D106*E106)</f>
        <v>209.55</v>
      </c>
    </row>
    <row r="107" customFormat="false" ht="15" hidden="false" customHeight="false" outlineLevel="0" collapsed="false">
      <c r="B107" s="26" t="s">
        <v>20</v>
      </c>
      <c r="C107" s="27" t="s">
        <v>160</v>
      </c>
      <c r="D107" s="28" t="n">
        <v>602.81</v>
      </c>
      <c r="E107" s="29" t="n">
        <v>0.1</v>
      </c>
      <c r="F107" s="30" t="n">
        <f aca="false">D107+(D107*E107)</f>
        <v>663.091</v>
      </c>
    </row>
    <row r="108" customFormat="false" ht="15" hidden="false" customHeight="false" outlineLevel="0" collapsed="false">
      <c r="B108" s="22" t="s">
        <v>20</v>
      </c>
      <c r="C108" s="23" t="s">
        <v>161</v>
      </c>
      <c r="D108" s="16" t="n">
        <v>332</v>
      </c>
      <c r="E108" s="24" t="n">
        <v>0.1</v>
      </c>
      <c r="F108" s="14" t="n">
        <f aca="false">D108+(D108*E108)</f>
        <v>365.2</v>
      </c>
    </row>
    <row r="109" customFormat="false" ht="15" hidden="false" customHeight="false" outlineLevel="0" collapsed="false">
      <c r="B109" s="26" t="s">
        <v>20</v>
      </c>
      <c r="C109" s="27" t="s">
        <v>162</v>
      </c>
      <c r="D109" s="28" t="n">
        <v>194</v>
      </c>
      <c r="E109" s="29" t="n">
        <v>0.1</v>
      </c>
      <c r="F109" s="30" t="n">
        <f aca="false">D109+(D109*E109)</f>
        <v>213.4</v>
      </c>
    </row>
    <row r="110" customFormat="false" ht="15" hidden="false" customHeight="false" outlineLevel="0" collapsed="false">
      <c r="B110" s="22" t="s">
        <v>20</v>
      </c>
      <c r="C110" s="23" t="s">
        <v>163</v>
      </c>
      <c r="D110" s="16" t="n">
        <v>451.45</v>
      </c>
      <c r="E110" s="24" t="n">
        <v>0.1</v>
      </c>
      <c r="F110" s="14" t="n">
        <f aca="false">D110+(D110*E110)</f>
        <v>496.595</v>
      </c>
    </row>
    <row r="111" customFormat="false" ht="15" hidden="false" customHeight="false" outlineLevel="0" collapsed="false">
      <c r="B111" s="26" t="s">
        <v>20</v>
      </c>
      <c r="C111" s="27" t="s">
        <v>164</v>
      </c>
      <c r="D111" s="28" t="n">
        <v>304.77</v>
      </c>
      <c r="E111" s="29" t="n">
        <v>0.1</v>
      </c>
      <c r="F111" s="30" t="n">
        <f aca="false">D111+(D111*E111)</f>
        <v>335.247</v>
      </c>
    </row>
    <row r="112" customFormat="false" ht="15" hidden="false" customHeight="false" outlineLevel="0" collapsed="false">
      <c r="B112" s="22" t="s">
        <v>20</v>
      </c>
      <c r="C112" s="23" t="s">
        <v>165</v>
      </c>
      <c r="D112" s="16" t="n">
        <v>147.35</v>
      </c>
      <c r="E112" s="24" t="n">
        <v>0.1</v>
      </c>
      <c r="F112" s="14" t="n">
        <f aca="false">D112+(D112*E112)</f>
        <v>162.085</v>
      </c>
    </row>
    <row r="113" customFormat="false" ht="15" hidden="false" customHeight="false" outlineLevel="0" collapsed="false">
      <c r="B113" s="26" t="s">
        <v>20</v>
      </c>
      <c r="C113" s="27" t="s">
        <v>166</v>
      </c>
      <c r="D113" s="28" t="n">
        <v>457.53</v>
      </c>
      <c r="E113" s="29" t="n">
        <v>0.1</v>
      </c>
      <c r="F113" s="30" t="n">
        <f aca="false">D113+(D113*E113)</f>
        <v>503.283</v>
      </c>
    </row>
    <row r="114" customFormat="false" ht="15" hidden="false" customHeight="false" outlineLevel="0" collapsed="false">
      <c r="B114" s="22" t="s">
        <v>20</v>
      </c>
      <c r="C114" s="23" t="s">
        <v>167</v>
      </c>
      <c r="D114" s="16" t="n">
        <v>828.6</v>
      </c>
      <c r="E114" s="24" t="n">
        <v>0.1</v>
      </c>
      <c r="F114" s="14" t="n">
        <f aca="false">D114+(D114*E114)</f>
        <v>911.46</v>
      </c>
    </row>
    <row r="115" customFormat="false" ht="15" hidden="false" customHeight="false" outlineLevel="0" collapsed="false">
      <c r="B115" s="26" t="s">
        <v>35</v>
      </c>
      <c r="C115" s="27" t="s">
        <v>168</v>
      </c>
      <c r="D115" s="28" t="n">
        <v>48.42</v>
      </c>
      <c r="E115" s="29" t="n">
        <v>0.1</v>
      </c>
      <c r="F115" s="30" t="n">
        <f aca="false">D115+(D115*E115)</f>
        <v>53.262</v>
      </c>
    </row>
    <row r="116" customFormat="false" ht="15" hidden="false" customHeight="false" outlineLevel="0" collapsed="false">
      <c r="B116" s="22" t="s">
        <v>35</v>
      </c>
      <c r="C116" s="23" t="s">
        <v>169</v>
      </c>
      <c r="D116" s="16" t="n">
        <v>228.93</v>
      </c>
      <c r="E116" s="24" t="n">
        <v>0.1</v>
      </c>
      <c r="F116" s="14" t="n">
        <f aca="false">D116+(D116*E116)</f>
        <v>251.823</v>
      </c>
    </row>
    <row r="117" customFormat="false" ht="15" hidden="false" customHeight="false" outlineLevel="0" collapsed="false">
      <c r="B117" s="26" t="s">
        <v>35</v>
      </c>
      <c r="C117" s="27" t="s">
        <v>170</v>
      </c>
      <c r="D117" s="28" t="n">
        <v>209.59</v>
      </c>
      <c r="E117" s="29" t="n">
        <v>0.1</v>
      </c>
      <c r="F117" s="30" t="n">
        <f aca="false">D117+(D117*E117)</f>
        <v>230.549</v>
      </c>
    </row>
    <row r="118" customFormat="false" ht="15" hidden="false" customHeight="false" outlineLevel="0" collapsed="false">
      <c r="B118" s="22" t="s">
        <v>35</v>
      </c>
      <c r="C118" s="23" t="s">
        <v>171</v>
      </c>
      <c r="D118" s="16" t="n">
        <v>32.75</v>
      </c>
      <c r="E118" s="24" t="n">
        <v>0.1</v>
      </c>
      <c r="F118" s="14" t="n">
        <f aca="false">D118+(D118*E118)</f>
        <v>36.025</v>
      </c>
    </row>
    <row r="119" customFormat="false" ht="15" hidden="false" customHeight="false" outlineLevel="0" collapsed="false">
      <c r="B119" s="26" t="s">
        <v>32</v>
      </c>
      <c r="C119" s="27" t="s">
        <v>172</v>
      </c>
      <c r="D119" s="28" t="n">
        <v>263.59</v>
      </c>
      <c r="E119" s="29" t="n">
        <v>0.1</v>
      </c>
      <c r="F119" s="30" t="n">
        <f aca="false">D119+(D119*E119)</f>
        <v>289.949</v>
      </c>
    </row>
    <row r="120" customFormat="false" ht="15" hidden="false" customHeight="false" outlineLevel="0" collapsed="false">
      <c r="B120" s="22" t="s">
        <v>32</v>
      </c>
      <c r="C120" s="23" t="s">
        <v>173</v>
      </c>
      <c r="D120" s="16" t="n">
        <v>390.6</v>
      </c>
      <c r="E120" s="24" t="n">
        <v>0.1</v>
      </c>
      <c r="F120" s="14" t="n">
        <f aca="false">D120+(D120*E120)</f>
        <v>429.66</v>
      </c>
    </row>
    <row r="121" customFormat="false" ht="15" hidden="false" customHeight="false" outlineLevel="0" collapsed="false">
      <c r="B121" s="26" t="s">
        <v>31</v>
      </c>
      <c r="C121" s="27" t="s">
        <v>174</v>
      </c>
      <c r="D121" s="28" t="n">
        <v>225.69</v>
      </c>
      <c r="E121" s="29" t="n">
        <v>0.21</v>
      </c>
      <c r="F121" s="30" t="n">
        <f aca="false">D121+(D121*E121)</f>
        <v>273.0849</v>
      </c>
    </row>
    <row r="122" customFormat="false" ht="15" hidden="false" customHeight="false" outlineLevel="0" collapsed="false">
      <c r="B122" s="22" t="s">
        <v>31</v>
      </c>
      <c r="C122" s="23" t="s">
        <v>175</v>
      </c>
      <c r="D122" s="16" t="n">
        <v>487.25</v>
      </c>
      <c r="E122" s="24" t="n">
        <v>0.21</v>
      </c>
      <c r="F122" s="14" t="n">
        <f aca="false">D122+(D122*E122)</f>
        <v>589.5725</v>
      </c>
    </row>
    <row r="123" customFormat="false" ht="15" hidden="false" customHeight="false" outlineLevel="0" collapsed="false">
      <c r="B123" s="26" t="s">
        <v>44</v>
      </c>
      <c r="C123" s="27" t="s">
        <v>155</v>
      </c>
      <c r="D123" s="28" t="n">
        <v>66.15</v>
      </c>
      <c r="E123" s="29" t="n">
        <v>0.04</v>
      </c>
      <c r="F123" s="30" t="n">
        <f aca="false">D123+(D123*E123)</f>
        <v>68.796</v>
      </c>
    </row>
    <row r="124" customFormat="false" ht="15" hidden="false" customHeight="false" outlineLevel="0" collapsed="false">
      <c r="B124" s="22" t="s">
        <v>44</v>
      </c>
      <c r="C124" s="23" t="s">
        <v>176</v>
      </c>
      <c r="D124" s="16" t="n">
        <v>48.51</v>
      </c>
      <c r="E124" s="24" t="n">
        <v>0.04</v>
      </c>
      <c r="F124" s="14" t="n">
        <f aca="false">D124+(D124*E124)</f>
        <v>50.4504</v>
      </c>
    </row>
    <row r="125" customFormat="false" ht="15" hidden="false" customHeight="false" outlineLevel="0" collapsed="false">
      <c r="B125" s="26" t="s">
        <v>44</v>
      </c>
      <c r="C125" s="27" t="s">
        <v>159</v>
      </c>
      <c r="D125" s="28" t="n">
        <v>53.04</v>
      </c>
      <c r="E125" s="29" t="n">
        <v>0.04</v>
      </c>
      <c r="F125" s="30" t="n">
        <f aca="false">D125+(D125*E125)</f>
        <v>55.1616</v>
      </c>
    </row>
    <row r="126" customFormat="false" ht="15" hidden="false" customHeight="false" outlineLevel="0" collapsed="false">
      <c r="B126" s="22" t="s">
        <v>44</v>
      </c>
      <c r="C126" s="23" t="s">
        <v>177</v>
      </c>
      <c r="D126" s="16" t="n">
        <v>20.35</v>
      </c>
      <c r="E126" s="24" t="n">
        <v>0.04</v>
      </c>
      <c r="F126" s="14" t="n">
        <f aca="false">D126+(D126*E126)</f>
        <v>21.164</v>
      </c>
    </row>
    <row r="127" customFormat="false" ht="15" hidden="false" customHeight="false" outlineLevel="0" collapsed="false">
      <c r="B127" s="26" t="s">
        <v>44</v>
      </c>
      <c r="C127" s="27" t="s">
        <v>163</v>
      </c>
      <c r="D127" s="28" t="n">
        <v>52</v>
      </c>
      <c r="E127" s="29" t="n">
        <v>0.04</v>
      </c>
      <c r="F127" s="30" t="n">
        <f aca="false">D127+(D127*E127)</f>
        <v>54.08</v>
      </c>
    </row>
    <row r="128" customFormat="false" ht="15" hidden="false" customHeight="false" outlineLevel="0" collapsed="false">
      <c r="B128" s="22" t="s">
        <v>44</v>
      </c>
      <c r="C128" s="23" t="s">
        <v>165</v>
      </c>
      <c r="D128" s="16" t="n">
        <v>39</v>
      </c>
      <c r="E128" s="24" t="n">
        <v>0.04</v>
      </c>
      <c r="F128" s="14" t="n">
        <f aca="false">D128+(D128*E128)</f>
        <v>40.56</v>
      </c>
    </row>
    <row r="129" customFormat="false" ht="15" hidden="false" customHeight="false" outlineLevel="0" collapsed="false">
      <c r="B129" s="26" t="s">
        <v>44</v>
      </c>
      <c r="C129" s="27" t="s">
        <v>167</v>
      </c>
      <c r="D129" s="28" t="n">
        <v>40.95</v>
      </c>
      <c r="E129" s="29" t="n">
        <v>0.04</v>
      </c>
      <c r="F129" s="30" t="n">
        <f aca="false">D129+(D129*E129)</f>
        <v>42.588</v>
      </c>
    </row>
    <row r="130" customFormat="false" ht="15" hidden="false" customHeight="false" outlineLevel="0" collapsed="false">
      <c r="B130" s="22" t="s">
        <v>46</v>
      </c>
      <c r="C130" s="23" t="s">
        <v>178</v>
      </c>
      <c r="D130" s="16" t="n">
        <v>271.18</v>
      </c>
      <c r="E130" s="24" t="n">
        <v>0.1</v>
      </c>
      <c r="F130" s="14" t="n">
        <f aca="false">D130+(D130*E130)</f>
        <v>298.298</v>
      </c>
    </row>
    <row r="131" customFormat="false" ht="15" hidden="false" customHeight="false" outlineLevel="0" collapsed="false">
      <c r="B131" s="26" t="s">
        <v>29</v>
      </c>
      <c r="C131" s="27" t="s">
        <v>179</v>
      </c>
      <c r="D131" s="28" t="n">
        <v>4.38</v>
      </c>
      <c r="E131" s="29" t="n">
        <v>0.1</v>
      </c>
      <c r="F131" s="30" t="n">
        <f aca="false">D131+(D131*E131)</f>
        <v>4.818</v>
      </c>
    </row>
    <row r="132" customFormat="false" ht="15" hidden="false" customHeight="false" outlineLevel="0" collapsed="false">
      <c r="B132" s="22" t="s">
        <v>29</v>
      </c>
      <c r="C132" s="23" t="s">
        <v>179</v>
      </c>
      <c r="D132" s="16" t="n">
        <v>484.47</v>
      </c>
      <c r="E132" s="24" t="n">
        <v>0.21</v>
      </c>
      <c r="F132" s="14" t="n">
        <f aca="false">D132+(D132*E132)</f>
        <v>586.2087</v>
      </c>
    </row>
    <row r="133" customFormat="false" ht="15" hidden="false" customHeight="false" outlineLevel="0" collapsed="false">
      <c r="B133" s="26" t="s">
        <v>29</v>
      </c>
      <c r="C133" s="27" t="s">
        <v>180</v>
      </c>
      <c r="D133" s="28" t="n">
        <v>29.52</v>
      </c>
      <c r="E133" s="29" t="n">
        <v>0.1</v>
      </c>
      <c r="F133" s="30" t="n">
        <f aca="false">D133+(D133*E133)</f>
        <v>32.472</v>
      </c>
    </row>
    <row r="134" customFormat="false" ht="15" hidden="false" customHeight="false" outlineLevel="0" collapsed="false">
      <c r="B134" s="22" t="s">
        <v>29</v>
      </c>
      <c r="C134" s="23" t="s">
        <v>180</v>
      </c>
      <c r="D134" s="16" t="n">
        <v>262.5</v>
      </c>
      <c r="E134" s="24" t="n">
        <v>0.21</v>
      </c>
      <c r="F134" s="14" t="n">
        <f aca="false">D134+(D134*E134)</f>
        <v>317.625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2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7" min="5" style="0" width="15"/>
    <col collapsed="false" customWidth="true" hidden="false" outlineLevel="0" max="8" min="8" style="0" width="11"/>
    <col collapsed="false" customWidth="true" hidden="false" outlineLevel="0" max="9" min="9" style="0" width="60"/>
  </cols>
  <sheetData>
    <row r="2" customFormat="false" ht="17.35" hidden="false" customHeight="false" outlineLevel="0" collapsed="false">
      <c r="A2" s="32" t="s">
        <v>181</v>
      </c>
      <c r="B2" s="32"/>
      <c r="C2" s="32"/>
      <c r="D2" s="32"/>
      <c r="E2" s="32"/>
      <c r="F2" s="32"/>
      <c r="G2" s="32"/>
      <c r="H2" s="32"/>
      <c r="I2" s="32"/>
    </row>
    <row r="3" customFormat="false" ht="30" hidden="false" customHeight="true" outlineLevel="0" collapsed="false">
      <c r="A3" s="33" t="s">
        <v>182</v>
      </c>
      <c r="B3" s="33"/>
      <c r="C3" s="33"/>
      <c r="D3" s="33"/>
      <c r="E3" s="33"/>
      <c r="F3" s="33"/>
      <c r="G3" s="33"/>
      <c r="H3" s="33"/>
      <c r="I3" s="33"/>
    </row>
    <row r="5" customFormat="false" ht="45" hidden="false" customHeight="true" outlineLevel="0" collapsed="false">
      <c r="A5" s="10" t="s">
        <v>13</v>
      </c>
      <c r="B5" s="10" t="s">
        <v>183</v>
      </c>
      <c r="C5" s="10" t="s">
        <v>184</v>
      </c>
      <c r="D5" s="10" t="s">
        <v>185</v>
      </c>
      <c r="E5" s="10" t="s">
        <v>186</v>
      </c>
      <c r="F5" s="10" t="s">
        <v>187</v>
      </c>
      <c r="G5" s="10" t="s">
        <v>188</v>
      </c>
      <c r="H5" s="10" t="s">
        <v>189</v>
      </c>
      <c r="I5" s="10" t="s">
        <v>190</v>
      </c>
    </row>
    <row r="6" customFormat="false" ht="15" hidden="false" customHeight="false" outlineLevel="0" collapsed="false">
      <c r="A6" s="22" t="s">
        <v>25</v>
      </c>
      <c r="B6" s="34" t="s">
        <v>191</v>
      </c>
      <c r="C6" s="35" t="n">
        <f aca="false">SUM(_____AGMASFOOD!F6:F300)</f>
        <v>1122.98</v>
      </c>
      <c r="D6" s="35" t="n">
        <f aca="false">SUM(_____AGMASFOOD!I9:I300)</f>
        <v>1122.99</v>
      </c>
      <c r="E6" s="35" t="n">
        <v>1122.99</v>
      </c>
      <c r="F6" s="35" t="n">
        <f aca="false">IF(D6="","",ROUND(C6-D6,2))</f>
        <v>-0.01</v>
      </c>
      <c r="G6" s="35" t="n">
        <f aca="false">IF(D6="",ROUND(C6-E6,2),ROUND(D6-E6,2))</f>
        <v>0</v>
      </c>
      <c r="H6" s="36" t="str">
        <f aca="false">IF(AND(ABS(N(F6))&lt;=0.05,ABS(G6)&lt;=0.05),"OK","REVISAR")</f>
        <v>OK</v>
      </c>
      <c r="I6" s="22"/>
    </row>
    <row r="7" customFormat="false" ht="15" hidden="false" customHeight="false" outlineLevel="0" collapsed="false">
      <c r="A7" s="22" t="s">
        <v>25</v>
      </c>
      <c r="B7" s="37" t="s">
        <v>192</v>
      </c>
      <c r="C7" s="35" t="n">
        <f aca="false">SUM(_____AGMASFOOD!P6:P300)</f>
        <v>1125.185</v>
      </c>
      <c r="D7" s="35" t="n">
        <f aca="false">SUM(_____AGMASFOOD!S9:S300)</f>
        <v>1125.19</v>
      </c>
      <c r="E7" s="35" t="n">
        <f aca="false">SUMIF('TOTAL AGOSTO'!$B$4:$B$2000,"AGMASFOOD",'TOTAL AGOSTO'!$D$4:$D$2000)</f>
        <v>1125.19</v>
      </c>
      <c r="F7" s="35" t="n">
        <f aca="false">IF(D7="","",ROUND(C7-D7,2))</f>
        <v>-0.01</v>
      </c>
      <c r="G7" s="35" t="n">
        <f aca="false">IF(D7="",ROUND(C7-E7,2),ROUND(D7-E7,2))</f>
        <v>0</v>
      </c>
      <c r="H7" s="36" t="str">
        <f aca="false">IF(AND(ABS(N(F7))&lt;=0.05,ABS(G7)&lt;=0.05),"OK","REVISAR")</f>
        <v>OK</v>
      </c>
      <c r="I7" s="22"/>
    </row>
    <row r="8" customFormat="false" ht="15" hidden="false" customHeight="false" outlineLevel="0" collapsed="false">
      <c r="A8" s="22" t="s">
        <v>24</v>
      </c>
      <c r="B8" s="34" t="s">
        <v>191</v>
      </c>
      <c r="C8" s="35" t="n">
        <f aca="false">SUM(_____AGROFOOD!F6:F300)</f>
        <v>4059.71</v>
      </c>
      <c r="D8" s="35" t="n">
        <f aca="false">SUM(_____AGROFOOD!I9:I300)</f>
        <v>4059.72</v>
      </c>
      <c r="E8" s="35" t="n">
        <v>4059.72</v>
      </c>
      <c r="F8" s="35" t="n">
        <f aca="false">IF(D8="","",ROUND(C8-D8,2))</f>
        <v>-0.01</v>
      </c>
      <c r="G8" s="35" t="n">
        <f aca="false">IF(D8="",ROUND(C8-E8,2),ROUND(D8-E8,2))</f>
        <v>0</v>
      </c>
      <c r="H8" s="36" t="str">
        <f aca="false">IF(AND(ABS(N(F8))&lt;=0.05,ABS(G8)&lt;=0.05),"OK","REVISAR")</f>
        <v>OK</v>
      </c>
      <c r="I8" s="22"/>
    </row>
    <row r="9" customFormat="false" ht="15" hidden="false" customHeight="false" outlineLevel="0" collapsed="false">
      <c r="A9" s="22" t="s">
        <v>24</v>
      </c>
      <c r="B9" s="37" t="s">
        <v>192</v>
      </c>
      <c r="C9" s="35" t="n">
        <f aca="false">SUM(_____AGROFOOD!P6:P300)</f>
        <v>1199.4617</v>
      </c>
      <c r="D9" s="35" t="n">
        <f aca="false">SUM(_____AGROFOOD!S9:S300)</f>
        <v>1199.46</v>
      </c>
      <c r="E9" s="35" t="n">
        <f aca="false">SUMIF('TOTAL AGOSTO'!$B$4:$B$2000,"AGROFOOD",'TOTAL AGOSTO'!$D$4:$D$2000)</f>
        <v>1199.46</v>
      </c>
      <c r="F9" s="35" t="n">
        <f aca="false">IF(D9="","",ROUND(C9-D9,2))</f>
        <v>0</v>
      </c>
      <c r="G9" s="35" t="n">
        <f aca="false">IF(D9="",ROUND(C9-E9,2),ROUND(D9-E9,2))</f>
        <v>0</v>
      </c>
      <c r="H9" s="36" t="str">
        <f aca="false">IF(AND(ABS(N(F9))&lt;=0.05,ABS(G9)&lt;=0.05),"OK","REVISAR")</f>
        <v>OK</v>
      </c>
      <c r="I9" s="22"/>
    </row>
    <row r="10" customFormat="false" ht="15" hidden="false" customHeight="false" outlineLevel="0" collapsed="false">
      <c r="A10" s="22" t="s">
        <v>52</v>
      </c>
      <c r="B10" s="34" t="s">
        <v>191</v>
      </c>
      <c r="C10" s="35" t="n">
        <f aca="false">SUM('_____ANTONIO DE MIGUEL'!F6:F300)</f>
        <v>280.3</v>
      </c>
      <c r="D10" s="35" t="n">
        <f aca="false">SUM('_____ANTONIO DE MIGUEL'!I9:I300)</f>
        <v>280.3</v>
      </c>
      <c r="E10" s="35" t="n">
        <v>280.3</v>
      </c>
      <c r="F10" s="35" t="n">
        <f aca="false">IF(D10="","",ROUND(C10-D10,2))</f>
        <v>0</v>
      </c>
      <c r="G10" s="35" t="n">
        <f aca="false">IF(D10="",ROUND(C10-E10,2),ROUND(D10-E10,2))</f>
        <v>0</v>
      </c>
      <c r="H10" s="36" t="str">
        <f aca="false">IF(AND(ABS(N(F10))&lt;=0.05,ABS(G10)&lt;=0.05),"OK","REVISAR")</f>
        <v>OK</v>
      </c>
      <c r="I10" s="22"/>
    </row>
    <row r="11" customFormat="false" ht="15" hidden="false" customHeight="false" outlineLevel="0" collapsed="false">
      <c r="A11" s="22" t="s">
        <v>51</v>
      </c>
      <c r="B11" s="34" t="s">
        <v>191</v>
      </c>
      <c r="C11" s="35" t="n">
        <f aca="false">SUM(_____CALIDOSCOPI!F6:F300)</f>
        <v>339</v>
      </c>
      <c r="D11" s="35" t="n">
        <f aca="false">SUM(_____CALIDOSCOPI!I9:I300)</f>
        <v>339</v>
      </c>
      <c r="E11" s="35" t="n">
        <v>339</v>
      </c>
      <c r="F11" s="35" t="n">
        <f aca="false">IF(D11="","",ROUND(C11-D11,2))</f>
        <v>0</v>
      </c>
      <c r="G11" s="35" t="n">
        <f aca="false">IF(D11="",ROUND(C11-E11,2),ROUND(D11-E11,2))</f>
        <v>0</v>
      </c>
      <c r="H11" s="36" t="str">
        <f aca="false">IF(AND(ABS(N(F11))&lt;=0.05,ABS(G11)&lt;=0.05),"OK","REVISAR")</f>
        <v>OK</v>
      </c>
      <c r="I11" s="22"/>
    </row>
    <row r="12" customFormat="false" ht="15" hidden="false" customHeight="false" outlineLevel="0" collapsed="false">
      <c r="A12" s="22" t="s">
        <v>33</v>
      </c>
      <c r="B12" s="34" t="s">
        <v>191</v>
      </c>
      <c r="C12" s="35" t="n">
        <f aca="false">SUM('_____CARNICAS MEAT'!F6:F300)</f>
        <v>1412.40775</v>
      </c>
      <c r="D12" s="35" t="n">
        <f aca="false">SUM('_____CARNICAS MEAT'!I9:I300)</f>
        <v>1412.35</v>
      </c>
      <c r="E12" s="35" t="n">
        <v>1412.35</v>
      </c>
      <c r="F12" s="35" t="n">
        <f aca="false">IF(D12="","",ROUND(C12-D12,2))</f>
        <v>0.06</v>
      </c>
      <c r="G12" s="35" t="n">
        <f aca="false">IF(D12="",ROUND(C12-E12,2),ROUND(D12-E12,2))</f>
        <v>0</v>
      </c>
      <c r="H12" s="36" t="str">
        <f aca="false">IF(AND(ABS(N(F12))&lt;=0.05,ABS(G12)&lt;=0.05),"OK","REVISAR")</f>
        <v>REVISAR</v>
      </c>
      <c r="I12" s="22" t="s">
        <v>193</v>
      </c>
    </row>
    <row r="13" customFormat="false" ht="15" hidden="false" customHeight="false" outlineLevel="0" collapsed="false">
      <c r="A13" s="22" t="s">
        <v>33</v>
      </c>
      <c r="B13" s="37" t="s">
        <v>192</v>
      </c>
      <c r="C13" s="35" t="n">
        <f aca="false">SUM('_____CARNICAS MEAT'!P6:P300)</f>
        <v>640.25</v>
      </c>
      <c r="D13" s="35" t="n">
        <f aca="false">SUM('_____CARNICAS MEAT'!S9:S300)</f>
        <v>640.26</v>
      </c>
      <c r="E13" s="35" t="n">
        <f aca="false">SUMIF('TOTAL AGOSTO'!$B$4:$B$2000,"CARNICAS MEAT",'TOTAL AGOSTO'!$D$4:$D$2000)</f>
        <v>640.26</v>
      </c>
      <c r="F13" s="35" t="n">
        <f aca="false">IF(D13="","",ROUND(C13-D13,2))</f>
        <v>-0.01</v>
      </c>
      <c r="G13" s="35" t="n">
        <f aca="false">IF(D13="",ROUND(C13-E13,2),ROUND(D13-E13,2))</f>
        <v>0</v>
      </c>
      <c r="H13" s="36" t="str">
        <f aca="false">IF(AND(ABS(N(F13))&lt;=0.05,ABS(G13)&lt;=0.05),"OK","REVISAR")</f>
        <v>OK</v>
      </c>
      <c r="I13" s="22"/>
    </row>
    <row r="14" customFormat="false" ht="15" hidden="false" customHeight="false" outlineLevel="0" collapsed="false">
      <c r="A14" s="22" t="s">
        <v>53</v>
      </c>
      <c r="B14" s="34" t="s">
        <v>191</v>
      </c>
      <c r="C14" s="35" t="n">
        <f aca="false">SUM('_____CARNICAS OPC'!F6:F300)</f>
        <v>240.66</v>
      </c>
      <c r="D14" s="35" t="n">
        <f aca="false">SUM('_____CARNICAS OPC'!I9:I300)</f>
        <v>240.66</v>
      </c>
      <c r="E14" s="35" t="n">
        <v>240.66</v>
      </c>
      <c r="F14" s="35" t="n">
        <f aca="false">IF(D14="","",ROUND(C14-D14,2))</f>
        <v>0</v>
      </c>
      <c r="G14" s="35" t="n">
        <f aca="false">IF(D14="",ROUND(C14-E14,2),ROUND(D14-E14,2))</f>
        <v>0</v>
      </c>
      <c r="H14" s="36" t="str">
        <f aca="false">IF(AND(ABS(N(F14))&lt;=0.05,ABS(G14)&lt;=0.05),"OK","REVISAR")</f>
        <v>OK</v>
      </c>
      <c r="I14" s="22"/>
    </row>
    <row r="15" customFormat="false" ht="15" hidden="false" customHeight="false" outlineLevel="0" collapsed="false">
      <c r="A15" s="22" t="s">
        <v>37</v>
      </c>
      <c r="B15" s="34" t="s">
        <v>191</v>
      </c>
      <c r="C15" s="35" t="n">
        <f aca="false">SUM('_____COCA-COLA'!F6:F300)</f>
        <v>2124</v>
      </c>
      <c r="D15" s="35" t="n">
        <f aca="false">SUM('_____COCA-COLA'!I9:I300)</f>
        <v>2124.02</v>
      </c>
      <c r="E15" s="35" t="n">
        <v>2124.02</v>
      </c>
      <c r="F15" s="35" t="n">
        <f aca="false">IF(D15="","",ROUND(C15-D15,2))</f>
        <v>-0.02</v>
      </c>
      <c r="G15" s="35" t="n">
        <f aca="false">IF(D15="",ROUND(C15-E15,2),ROUND(D15-E15,2))</f>
        <v>0</v>
      </c>
      <c r="H15" s="36" t="str">
        <f aca="false">IF(AND(ABS(N(F15))&lt;=0.05,ABS(G15)&lt;=0.05),"OK","REVISAR")</f>
        <v>OK</v>
      </c>
      <c r="I15" s="22"/>
    </row>
    <row r="16" customFormat="false" ht="15" hidden="false" customHeight="false" outlineLevel="0" collapsed="false">
      <c r="A16" s="22" t="s">
        <v>37</v>
      </c>
      <c r="B16" s="37" t="s">
        <v>192</v>
      </c>
      <c r="C16" s="35" t="n">
        <f aca="false">SUM('_____COCA-COLA'!P6:P300)</f>
        <v>457.7196</v>
      </c>
      <c r="D16" s="35" t="n">
        <f aca="false">SUM('_____COCA-COLA'!S9:S300)</f>
        <v>457.72</v>
      </c>
      <c r="E16" s="35" t="n">
        <f aca="false">SUMIF('TOTAL AGOSTO'!$B$4:$B$2000,"COCACOLA",'TOTAL AGOSTO'!$D$4:$D$2000)</f>
        <v>457.72</v>
      </c>
      <c r="F16" s="35" t="n">
        <f aca="false">IF(D16="","",ROUND(C16-D16,2))</f>
        <v>-0</v>
      </c>
      <c r="G16" s="35" t="n">
        <f aca="false">IF(D16="",ROUND(C16-E16,2),ROUND(D16-E16,2))</f>
        <v>0</v>
      </c>
      <c r="H16" s="36" t="str">
        <f aca="false">IF(AND(ABS(N(F16))&lt;=0.05,ABS(G16)&lt;=0.05),"OK","REVISAR")</f>
        <v>OK</v>
      </c>
      <c r="I16" s="22"/>
    </row>
    <row r="17" customFormat="false" ht="15" hidden="false" customHeight="false" outlineLevel="0" collapsed="false">
      <c r="A17" s="22" t="s">
        <v>40</v>
      </c>
      <c r="B17" s="34" t="s">
        <v>191</v>
      </c>
      <c r="C17" s="35" t="n">
        <f aca="false">SUM('_____CONS. SELEC. SANT'!F6:F300)</f>
        <v>705.24</v>
      </c>
      <c r="D17" s="35" t="n">
        <f aca="false">SUM('_____CONS. SELEC. SANT'!I9:I300)</f>
        <v>705.24</v>
      </c>
      <c r="E17" s="35" t="n">
        <v>705.24</v>
      </c>
      <c r="F17" s="35" t="n">
        <f aca="false">IF(D17="","",ROUND(C17-D17,2))</f>
        <v>0</v>
      </c>
      <c r="G17" s="35" t="n">
        <f aca="false">IF(D17="",ROUND(C17-E17,2),ROUND(D17-E17,2))</f>
        <v>0</v>
      </c>
      <c r="H17" s="36" t="str">
        <f aca="false">IF(AND(ABS(N(F17))&lt;=0.05,ABS(G17)&lt;=0.05),"OK","REVISAR")</f>
        <v>OK</v>
      </c>
      <c r="I17" s="22"/>
    </row>
    <row r="18" customFormat="false" ht="15" hidden="false" customHeight="false" outlineLevel="0" collapsed="false">
      <c r="A18" s="22" t="s">
        <v>40</v>
      </c>
      <c r="B18" s="37" t="s">
        <v>192</v>
      </c>
      <c r="C18" s="35" t="n">
        <f aca="false">SUM('_____CONS. SELEC. SANT'!P6:P300)</f>
        <v>382.59</v>
      </c>
      <c r="D18" s="35" t="n">
        <f aca="false">SUM('_____CONS. SELEC. SANT'!S9:S300)</f>
        <v>382.59</v>
      </c>
      <c r="E18" s="35" t="n">
        <f aca="false">SUMIF('TOTAL AGOSTO'!$B$4:$B$2000,"CONS. SELEC. SANTO",'TOTAL AGOSTO'!$D$4:$D$2000)</f>
        <v>382.59</v>
      </c>
      <c r="F18" s="35" t="n">
        <f aca="false">IF(D18="","",ROUND(C18-D18,2))</f>
        <v>0</v>
      </c>
      <c r="G18" s="35" t="n">
        <f aca="false">IF(D18="",ROUND(C18-E18,2),ROUND(D18-E18,2))</f>
        <v>0</v>
      </c>
      <c r="H18" s="36" t="str">
        <f aca="false">IF(AND(ABS(N(F18))&lt;=0.05,ABS(G18)&lt;=0.05),"OK","REVISAR")</f>
        <v>OK</v>
      </c>
      <c r="I18" s="22"/>
    </row>
    <row r="19" customFormat="false" ht="15" hidden="false" customHeight="false" outlineLevel="0" collapsed="false">
      <c r="A19" s="22" t="s">
        <v>26</v>
      </c>
      <c r="B19" s="34" t="s">
        <v>191</v>
      </c>
      <c r="C19" s="35" t="n">
        <f aca="false">SUM('_____CONS. Y SALAZONES'!F6:F300)</f>
        <v>3739.93872</v>
      </c>
      <c r="D19" s="35" t="n">
        <f aca="false">SUM('_____CONS. Y SALAZONES'!I9:I300)</f>
        <v>3739.92</v>
      </c>
      <c r="E19" s="35" t="n">
        <v>3739.92</v>
      </c>
      <c r="F19" s="35" t="n">
        <f aca="false">IF(D19="","",ROUND(C19-D19,2))</f>
        <v>0.02</v>
      </c>
      <c r="G19" s="35" t="n">
        <f aca="false">IF(D19="",ROUND(C19-E19,2),ROUND(D19-E19,2))</f>
        <v>0</v>
      </c>
      <c r="H19" s="36" t="str">
        <f aca="false">IF(AND(ABS(N(F19))&lt;=0.05,ABS(G19)&lt;=0.05),"OK","REVISAR")</f>
        <v>OK</v>
      </c>
      <c r="I19" s="22"/>
    </row>
    <row r="20" customFormat="false" ht="15" hidden="false" customHeight="false" outlineLevel="0" collapsed="false">
      <c r="A20" s="22" t="s">
        <v>26</v>
      </c>
      <c r="B20" s="37" t="s">
        <v>192</v>
      </c>
      <c r="C20" s="35" t="n">
        <f aca="false">SUM('_____CONS. Y SALAZONES'!P6:P300)</f>
        <v>1061.59088</v>
      </c>
      <c r="D20" s="35" t="n">
        <f aca="false">SUM('_____CONS. Y SALAZONES'!S9:S300)</f>
        <v>1061.59</v>
      </c>
      <c r="E20" s="35" t="n">
        <f aca="false">SUMIF('TOTAL AGOSTO'!$B$4:$B$2000,"CONS. Y SAL. JIMENEZ",'TOTAL AGOSTO'!$D$4:$D$2000)</f>
        <v>1061.59</v>
      </c>
      <c r="F20" s="35" t="n">
        <f aca="false">IF(D20="","",ROUND(C20-D20,2))</f>
        <v>0</v>
      </c>
      <c r="G20" s="35" t="n">
        <f aca="false">IF(D20="",ROUND(C20-E20,2),ROUND(D20-E20,2))</f>
        <v>0</v>
      </c>
      <c r="H20" s="36" t="str">
        <f aca="false">IF(AND(ABS(N(F20))&lt;=0.05,ABS(G20)&lt;=0.05),"OK","REVISAR")</f>
        <v>OK</v>
      </c>
      <c r="I20" s="22"/>
    </row>
    <row r="21" customFormat="false" ht="15" hidden="false" customHeight="false" outlineLevel="0" collapsed="false">
      <c r="A21" s="22" t="s">
        <v>28</v>
      </c>
      <c r="B21" s="34" t="s">
        <v>191</v>
      </c>
      <c r="C21" s="35" t="n">
        <f aca="false">SUM('_____CRNAS SERVAN'!F6:F300)</f>
        <v>1086.025</v>
      </c>
      <c r="D21" s="35" t="n">
        <f aca="false">SUM('_____CRNAS SERVAN'!I9:I300)</f>
        <v>1086.03</v>
      </c>
      <c r="E21" s="35" t="n">
        <v>1086.03</v>
      </c>
      <c r="F21" s="35" t="n">
        <f aca="false">IF(D21="","",ROUND(C21-D21,2))</f>
        <v>-0</v>
      </c>
      <c r="G21" s="35" t="n">
        <f aca="false">IF(D21="",ROUND(C21-E21,2),ROUND(D21-E21,2))</f>
        <v>0</v>
      </c>
      <c r="H21" s="36" t="str">
        <f aca="false">IF(AND(ABS(N(F21))&lt;=0.05,ABS(G21)&lt;=0.05),"OK","REVISAR")</f>
        <v>OK</v>
      </c>
      <c r="I21" s="22"/>
    </row>
    <row r="22" customFormat="false" ht="15" hidden="false" customHeight="false" outlineLevel="0" collapsed="false">
      <c r="A22" s="22" t="s">
        <v>28</v>
      </c>
      <c r="B22" s="37" t="s">
        <v>192</v>
      </c>
      <c r="C22" s="35" t="n">
        <f aca="false">SUM('_____CRNAS SERVAN'!P6:P300)</f>
        <v>890.28</v>
      </c>
      <c r="D22" s="35" t="n">
        <f aca="false">SUM('_____CRNAS SERVAN'!S9:S300)</f>
        <v>890.28</v>
      </c>
      <c r="E22" s="35" t="n">
        <f aca="false">SUMIF('TOTAL AGOSTO'!$B$4:$B$2000,"CRNAS SERVAN",'TOTAL AGOSTO'!$D$4:$D$2000)</f>
        <v>890.28</v>
      </c>
      <c r="F22" s="35" t="n">
        <f aca="false">IF(D22="","",ROUND(C22-D22,2))</f>
        <v>0</v>
      </c>
      <c r="G22" s="35" t="n">
        <f aca="false">IF(D22="",ROUND(C22-E22,2),ROUND(D22-E22,2))</f>
        <v>0</v>
      </c>
      <c r="H22" s="36" t="str">
        <f aca="false">IF(AND(ABS(N(F22))&lt;=0.05,ABS(G22)&lt;=0.05),"OK","REVISAR")</f>
        <v>OK</v>
      </c>
      <c r="I22" s="22"/>
    </row>
    <row r="23" customFormat="false" ht="15" hidden="false" customHeight="false" outlineLevel="0" collapsed="false">
      <c r="A23" s="22" t="s">
        <v>30</v>
      </c>
      <c r="B23" s="34" t="s">
        <v>191</v>
      </c>
      <c r="C23" s="35" t="n">
        <f aca="false">SUM(_____CRUSTAPESCA!F6:F300)</f>
        <v>1970.464</v>
      </c>
      <c r="D23" s="35" t="n">
        <f aca="false">SUM(_____CRUSTAPESCA!I9:I300)</f>
        <v>1970.46</v>
      </c>
      <c r="E23" s="35" t="n">
        <v>1970.46</v>
      </c>
      <c r="F23" s="35" t="n">
        <f aca="false">IF(D23="","",ROUND(C23-D23,2))</f>
        <v>0</v>
      </c>
      <c r="G23" s="35" t="n">
        <f aca="false">IF(D23="",ROUND(C23-E23,2),ROUND(D23-E23,2))</f>
        <v>0</v>
      </c>
      <c r="H23" s="36" t="str">
        <f aca="false">IF(AND(ABS(N(F23))&lt;=0.05,ABS(G23)&lt;=0.05),"OK","REVISAR")</f>
        <v>OK</v>
      </c>
      <c r="I23" s="22"/>
    </row>
    <row r="24" customFormat="false" ht="15" hidden="false" customHeight="false" outlineLevel="0" collapsed="false">
      <c r="A24" s="22" t="s">
        <v>30</v>
      </c>
      <c r="B24" s="37" t="s">
        <v>192</v>
      </c>
      <c r="C24" s="35" t="n">
        <f aca="false">SUM(_____CRUSTAPESCA!P6:P300)</f>
        <v>772</v>
      </c>
      <c r="D24" s="35" t="n">
        <f aca="false">SUM(_____CRUSTAPESCA!S9:S300)</f>
        <v>772</v>
      </c>
      <c r="E24" s="35" t="n">
        <f aca="false">SUMIF('TOTAL AGOSTO'!$B$4:$B$2000,"CRUSTAPESCA",'TOTAL AGOSTO'!$D$4:$D$2000)</f>
        <v>772</v>
      </c>
      <c r="F24" s="35" t="n">
        <f aca="false">IF(D24="","",ROUND(C24-D24,2))</f>
        <v>0</v>
      </c>
      <c r="G24" s="35" t="n">
        <f aca="false">IF(D24="",ROUND(C24-E24,2),ROUND(D24-E24,2))</f>
        <v>0</v>
      </c>
      <c r="H24" s="36" t="str">
        <f aca="false">IF(AND(ABS(N(F24))&lt;=0.05,ABS(G24)&lt;=0.05),"OK","REVISAR")</f>
        <v>OK</v>
      </c>
      <c r="I24" s="22"/>
    </row>
    <row r="25" customFormat="false" ht="15" hidden="false" customHeight="false" outlineLevel="0" collapsed="false">
      <c r="A25" s="22" t="s">
        <v>41</v>
      </c>
      <c r="B25" s="34" t="s">
        <v>191</v>
      </c>
      <c r="C25" s="35" t="n">
        <f aca="false">SUM(_____DELIPAN!F6:F300)</f>
        <v>1032.66</v>
      </c>
      <c r="D25" s="35" t="n">
        <f aca="false">SUM(_____DELIPAN!I9:I300)</f>
        <v>1032.66</v>
      </c>
      <c r="E25" s="35" t="n">
        <v>1032.66</v>
      </c>
      <c r="F25" s="35" t="n">
        <f aca="false">IF(D25="","",ROUND(C25-D25,2))</f>
        <v>0</v>
      </c>
      <c r="G25" s="35" t="n">
        <f aca="false">IF(D25="",ROUND(C25-E25,2),ROUND(D25-E25,2))</f>
        <v>0</v>
      </c>
      <c r="H25" s="36" t="str">
        <f aca="false">IF(AND(ABS(N(F25))&lt;=0.05,ABS(G25)&lt;=0.05),"OK","REVISAR")</f>
        <v>OK</v>
      </c>
      <c r="I25" s="22"/>
    </row>
    <row r="26" customFormat="false" ht="15" hidden="false" customHeight="false" outlineLevel="0" collapsed="false">
      <c r="A26" s="22" t="s">
        <v>41</v>
      </c>
      <c r="B26" s="37" t="s">
        <v>192</v>
      </c>
      <c r="C26" s="35" t="n">
        <f aca="false">SUM(_____DELIPAN!P6:P300)</f>
        <v>381.21</v>
      </c>
      <c r="D26" s="35" t="n">
        <f aca="false">SUM(_____DELIPAN!S9:S300)</f>
        <v>381.21</v>
      </c>
      <c r="E26" s="35" t="n">
        <f aca="false">SUMIF('TOTAL AGOSTO'!$B$4:$B$2000,"DELIPAN",'TOTAL AGOSTO'!$D$4:$D$2000)</f>
        <v>381.21</v>
      </c>
      <c r="F26" s="35" t="n">
        <f aca="false">IF(D26="","",ROUND(C26-D26,2))</f>
        <v>0</v>
      </c>
      <c r="G26" s="35" t="n">
        <f aca="false">IF(D26="",ROUND(C26-E26,2),ROUND(D26-E26,2))</f>
        <v>0</v>
      </c>
      <c r="H26" s="36" t="str">
        <f aca="false">IF(AND(ABS(N(F26))&lt;=0.05,ABS(G26)&lt;=0.05),"OK","REVISAR")</f>
        <v>OK</v>
      </c>
      <c r="I26" s="22"/>
    </row>
    <row r="27" customFormat="false" ht="15" hidden="false" customHeight="false" outlineLevel="0" collapsed="false">
      <c r="A27" s="22" t="s">
        <v>45</v>
      </c>
      <c r="B27" s="34" t="s">
        <v>191</v>
      </c>
      <c r="C27" s="35" t="n">
        <f aca="false">SUM(_____DISOLTRIGO!F6:F300)</f>
        <v>1295.5</v>
      </c>
      <c r="D27" s="35" t="n">
        <f aca="false">SUM(_____DISOLTRIGO!I9:I300)</f>
        <v>1295.5</v>
      </c>
      <c r="E27" s="35" t="n">
        <v>1295.5</v>
      </c>
      <c r="F27" s="35" t="n">
        <f aca="false">IF(D27="","",ROUND(C27-D27,2))</f>
        <v>0</v>
      </c>
      <c r="G27" s="35" t="n">
        <f aca="false">IF(D27="",ROUND(C27-E27,2),ROUND(D27-E27,2))</f>
        <v>0</v>
      </c>
      <c r="H27" s="36" t="str">
        <f aca="false">IF(AND(ABS(N(F27))&lt;=0.05,ABS(G27)&lt;=0.05),"OK","REVISAR")</f>
        <v>OK</v>
      </c>
      <c r="I27" s="22"/>
    </row>
    <row r="28" customFormat="false" ht="15" hidden="false" customHeight="false" outlineLevel="0" collapsed="false">
      <c r="A28" s="22" t="s">
        <v>45</v>
      </c>
      <c r="B28" s="37" t="s">
        <v>192</v>
      </c>
      <c r="C28" s="35" t="n">
        <f aca="false">SUM(_____DISOLTRIGO!P6:P300)</f>
        <v>318</v>
      </c>
      <c r="D28" s="35" t="n">
        <f aca="false">SUM(_____DISOLTRIGO!S9:S300)</f>
        <v>318</v>
      </c>
      <c r="E28" s="35" t="n">
        <f aca="false">SUMIF('TOTAL AGOSTO'!$B$4:$B$2000,"DISOLTRIGO",'TOTAL AGOSTO'!$D$4:$D$2000)</f>
        <v>318</v>
      </c>
      <c r="F28" s="35" t="n">
        <f aca="false">IF(D28="","",ROUND(C28-D28,2))</f>
        <v>0</v>
      </c>
      <c r="G28" s="35" t="n">
        <f aca="false">IF(D28="",ROUND(C28-E28,2),ROUND(D28-E28,2))</f>
        <v>0</v>
      </c>
      <c r="H28" s="36" t="str">
        <f aca="false">IF(AND(ABS(N(F28))&lt;=0.05,ABS(G28)&lt;=0.05),"OK","REVISAR")</f>
        <v>OK</v>
      </c>
      <c r="I28" s="22"/>
    </row>
    <row r="29" customFormat="false" ht="15" hidden="false" customHeight="false" outlineLevel="0" collapsed="false">
      <c r="A29" s="22" t="s">
        <v>23</v>
      </c>
      <c r="B29" s="34" t="s">
        <v>191</v>
      </c>
      <c r="C29" s="35" t="n">
        <f aca="false">SUM('_____DIST. TENA'!F6:F300)</f>
        <v>3131.64</v>
      </c>
      <c r="D29" s="35" t="n">
        <f aca="false">SUM('_____DIST. TENA'!I9:I300)</f>
        <v>3131.64</v>
      </c>
      <c r="E29" s="35" t="n">
        <v>3131.64</v>
      </c>
      <c r="F29" s="35" t="n">
        <f aca="false">IF(D29="","",ROUND(C29-D29,2))</f>
        <v>0</v>
      </c>
      <c r="G29" s="35" t="n">
        <f aca="false">IF(D29="",ROUND(C29-E29,2),ROUND(D29-E29,2))</f>
        <v>0</v>
      </c>
      <c r="H29" s="36" t="str">
        <f aca="false">IF(AND(ABS(N(F29))&lt;=0.05,ABS(G29)&lt;=0.05),"OK","REVISAR")</f>
        <v>OK</v>
      </c>
      <c r="I29" s="22"/>
    </row>
    <row r="30" customFormat="false" ht="15" hidden="false" customHeight="false" outlineLevel="0" collapsed="false">
      <c r="A30" s="22" t="s">
        <v>23</v>
      </c>
      <c r="B30" s="37" t="s">
        <v>192</v>
      </c>
      <c r="C30" s="35" t="n">
        <f aca="false">SUM('_____DIST. TENA'!P6:P300)</f>
        <v>1320.36</v>
      </c>
      <c r="D30" s="35" t="n">
        <f aca="false">SUM('_____DIST. TENA'!S9:S300)</f>
        <v>1320.36</v>
      </c>
      <c r="E30" s="35" t="n">
        <f aca="false">SUMIF('TOTAL AGOSTO'!$B$4:$B$2000,"DIST. TENA MTNEZ",'TOTAL AGOSTO'!$D$4:$D$2000)</f>
        <v>1320.36</v>
      </c>
      <c r="F30" s="35" t="n">
        <f aca="false">IF(D30="","",ROUND(C30-D30,2))</f>
        <v>0</v>
      </c>
      <c r="G30" s="35" t="n">
        <f aca="false">IF(D30="",ROUND(C30-E30,2),ROUND(D30-E30,2))</f>
        <v>0</v>
      </c>
      <c r="H30" s="36" t="str">
        <f aca="false">IF(AND(ABS(N(F30))&lt;=0.05,ABS(G30)&lt;=0.05),"OK","REVISAR")</f>
        <v>OK</v>
      </c>
      <c r="I30" s="22"/>
    </row>
    <row r="31" customFormat="false" ht="15" hidden="false" customHeight="false" outlineLevel="0" collapsed="false">
      <c r="A31" s="22" t="s">
        <v>34</v>
      </c>
      <c r="B31" s="34" t="s">
        <v>191</v>
      </c>
      <c r="C31" s="35" t="n">
        <f aca="false">SUM('_____EIF DISTRIBUCIONES'!F6:F300)</f>
        <v>646.5718</v>
      </c>
      <c r="D31" s="35" t="n">
        <f aca="false">SUM('_____EIF DISTRIBUCIONES'!I9:I300)</f>
        <v>646.58</v>
      </c>
      <c r="E31" s="35" t="n">
        <v>646.58</v>
      </c>
      <c r="F31" s="35" t="n">
        <f aca="false">IF(D31="","",ROUND(C31-D31,2))</f>
        <v>-0.01</v>
      </c>
      <c r="G31" s="35" t="n">
        <f aca="false">IF(D31="",ROUND(C31-E31,2),ROUND(D31-E31,2))</f>
        <v>0</v>
      </c>
      <c r="H31" s="36" t="str">
        <f aca="false">IF(AND(ABS(N(F31))&lt;=0.05,ABS(G31)&lt;=0.05),"OK","REVISAR")</f>
        <v>OK</v>
      </c>
      <c r="I31" s="22"/>
    </row>
    <row r="32" customFormat="false" ht="15" hidden="false" customHeight="false" outlineLevel="0" collapsed="false">
      <c r="A32" s="22" t="s">
        <v>34</v>
      </c>
      <c r="B32" s="37" t="s">
        <v>192</v>
      </c>
      <c r="C32" s="35" t="n">
        <f aca="false">SUM('_____EIF DISTRIBUCIONES'!P6:P300)</f>
        <v>604.0463</v>
      </c>
      <c r="D32" s="35" t="n">
        <f aca="false">SUM('_____EIF DISTRIBUCIONES'!S9:S300)</f>
        <v>604.05</v>
      </c>
      <c r="E32" s="35" t="n">
        <f aca="false">SUMIF('TOTAL AGOSTO'!$B$4:$B$2000,"EIF DISTRIBUCIONES",'TOTAL AGOSTO'!$D$4:$D$2000)</f>
        <v>604.05</v>
      </c>
      <c r="F32" s="35" t="n">
        <f aca="false">IF(D32="","",ROUND(C32-D32,2))</f>
        <v>-0</v>
      </c>
      <c r="G32" s="35" t="n">
        <f aca="false">IF(D32="",ROUND(C32-E32,2),ROUND(D32-E32,2))</f>
        <v>0</v>
      </c>
      <c r="H32" s="36" t="str">
        <f aca="false">IF(AND(ABS(N(F32))&lt;=0.05,ABS(G32)&lt;=0.05),"OK","REVISAR")</f>
        <v>OK</v>
      </c>
      <c r="I32" s="22"/>
    </row>
    <row r="33" customFormat="false" ht="15" hidden="false" customHeight="false" outlineLevel="0" collapsed="false">
      <c r="A33" s="22" t="s">
        <v>38</v>
      </c>
      <c r="B33" s="34" t="s">
        <v>191</v>
      </c>
      <c r="C33" s="35" t="n">
        <f aca="false">SUM('_____ENRIQUE CAMPS'!F6:F300)</f>
        <v>1189</v>
      </c>
      <c r="D33" s="35" t="n">
        <f aca="false">SUM('_____ENRIQUE CAMPS'!I9:I300)</f>
        <v>1189</v>
      </c>
      <c r="E33" s="35" t="n">
        <v>1189</v>
      </c>
      <c r="F33" s="35" t="n">
        <f aca="false">IF(D33="","",ROUND(C33-D33,2))</f>
        <v>0</v>
      </c>
      <c r="G33" s="35" t="n">
        <f aca="false">IF(D33="",ROUND(C33-E33,2),ROUND(D33-E33,2))</f>
        <v>0</v>
      </c>
      <c r="H33" s="36" t="str">
        <f aca="false">IF(AND(ABS(N(F33))&lt;=0.05,ABS(G33)&lt;=0.05),"OK","REVISAR")</f>
        <v>OK</v>
      </c>
      <c r="I33" s="22"/>
    </row>
    <row r="34" customFormat="false" ht="15" hidden="false" customHeight="false" outlineLevel="0" collapsed="false">
      <c r="A34" s="22" t="s">
        <v>38</v>
      </c>
      <c r="B34" s="37" t="s">
        <v>192</v>
      </c>
      <c r="C34" s="35" t="n">
        <f aca="false">SUM('_____ENRIQUE CAMPS'!P6:P300)</f>
        <v>432</v>
      </c>
      <c r="D34" s="35" t="n">
        <f aca="false">SUM('_____ENRIQUE CAMPS'!S9:S300)</f>
        <v>432</v>
      </c>
      <c r="E34" s="35" t="n">
        <f aca="false">SUMIF('TOTAL AGOSTO'!$B$4:$B$2000,"ENRIQUE CAMPS",'TOTAL AGOSTO'!$D$4:$D$2000)</f>
        <v>432</v>
      </c>
      <c r="F34" s="35" t="n">
        <f aca="false">IF(D34="","",ROUND(C34-D34,2))</f>
        <v>0</v>
      </c>
      <c r="G34" s="35" t="n">
        <f aca="false">IF(D34="",ROUND(C34-E34,2),ROUND(D34-E34,2))</f>
        <v>0</v>
      </c>
      <c r="H34" s="36" t="str">
        <f aca="false">IF(AND(ABS(N(F34))&lt;=0.05,ABS(G34)&lt;=0.05),"OK","REVISAR")</f>
        <v>OK</v>
      </c>
      <c r="I34" s="22"/>
    </row>
    <row r="35" customFormat="false" ht="15" hidden="false" customHeight="false" outlineLevel="0" collapsed="false">
      <c r="A35" s="22" t="s">
        <v>48</v>
      </c>
      <c r="B35" s="34" t="s">
        <v>191</v>
      </c>
      <c r="C35" s="35" t="n">
        <f aca="false">SUM('_____ESCRIBANO SANZ'!F6:F300)</f>
        <v>193.69</v>
      </c>
      <c r="D35" s="35" t="n">
        <f aca="false">SUM('_____ESCRIBANO SANZ'!I9:I300)</f>
        <v>193.7</v>
      </c>
      <c r="E35" s="35" t="n">
        <v>193.7</v>
      </c>
      <c r="F35" s="35" t="n">
        <f aca="false">IF(D35="","",ROUND(C35-D35,2))</f>
        <v>-0.01</v>
      </c>
      <c r="G35" s="35" t="n">
        <f aca="false">IF(D35="",ROUND(C35-E35,2),ROUND(D35-E35,2))</f>
        <v>0</v>
      </c>
      <c r="H35" s="36" t="str">
        <f aca="false">IF(AND(ABS(N(F35))&lt;=0.05,ABS(G35)&lt;=0.05),"OK","REVISAR")</f>
        <v>OK</v>
      </c>
      <c r="I35" s="22"/>
    </row>
    <row r="36" customFormat="false" ht="15" hidden="false" customHeight="false" outlineLevel="0" collapsed="false">
      <c r="A36" s="22" t="s">
        <v>48</v>
      </c>
      <c r="B36" s="37" t="s">
        <v>192</v>
      </c>
      <c r="C36" s="35" t="n">
        <f aca="false">SUM('_____ESCRIBANO SANZ'!P6:P300)</f>
        <v>84.48</v>
      </c>
      <c r="D36" s="35" t="n">
        <f aca="false">SUM('_____ESCRIBANO SANZ'!S9:S300)</f>
        <v>84.48</v>
      </c>
      <c r="E36" s="35" t="n">
        <f aca="false">SUMIF('TOTAL AGOSTO'!$B$4:$B$2000,"ESCRIBANO SANZ",'TOTAL AGOSTO'!$D$4:$D$2000)</f>
        <v>84.48</v>
      </c>
      <c r="F36" s="35" t="n">
        <f aca="false">IF(D36="","",ROUND(C36-D36,2))</f>
        <v>0</v>
      </c>
      <c r="G36" s="35" t="n">
        <f aca="false">IF(D36="",ROUND(C36-E36,2),ROUND(D36-E36,2))</f>
        <v>0</v>
      </c>
      <c r="H36" s="36" t="str">
        <f aca="false">IF(AND(ABS(N(F36))&lt;=0.05,ABS(G36)&lt;=0.05),"OK","REVISAR")</f>
        <v>OK</v>
      </c>
      <c r="I36" s="22"/>
    </row>
    <row r="37" customFormat="false" ht="15" hidden="false" customHeight="false" outlineLevel="0" collapsed="false">
      <c r="A37" s="22" t="s">
        <v>47</v>
      </c>
      <c r="B37" s="34" t="s">
        <v>191</v>
      </c>
      <c r="C37" s="35" t="n">
        <f aca="false">SUM('_____FCO JAVIER LABRADOR'!F6:F300)</f>
        <v>183.2</v>
      </c>
      <c r="D37" s="35" t="n">
        <f aca="false">SUM('_____FCO JAVIER LABRADOR'!I9:I300)</f>
        <v>183.2</v>
      </c>
      <c r="E37" s="35" t="n">
        <v>183.2</v>
      </c>
      <c r="F37" s="35" t="n">
        <f aca="false">IF(D37="","",ROUND(C37-D37,2))</f>
        <v>0</v>
      </c>
      <c r="G37" s="35" t="n">
        <f aca="false">IF(D37="",ROUND(C37-E37,2),ROUND(D37-E37,2))</f>
        <v>0</v>
      </c>
      <c r="H37" s="36" t="str">
        <f aca="false">IF(AND(ABS(N(F37))&lt;=0.05,ABS(G37)&lt;=0.05),"OK","REVISAR")</f>
        <v>OK</v>
      </c>
      <c r="I37" s="22"/>
    </row>
    <row r="38" customFormat="false" ht="15" hidden="false" customHeight="false" outlineLevel="0" collapsed="false">
      <c r="A38" s="22" t="s">
        <v>47</v>
      </c>
      <c r="B38" s="37" t="s">
        <v>192</v>
      </c>
      <c r="C38" s="35" t="n">
        <f aca="false">SUM('_____FCO JAVIER LABRADOR'!P6:P300)</f>
        <v>91.6</v>
      </c>
      <c r="D38" s="35" t="n">
        <f aca="false">SUM('_____FCO JAVIER LABRADOR'!S9:S300)</f>
        <v>91.6</v>
      </c>
      <c r="E38" s="35" t="n">
        <f aca="false">SUMIF('TOTAL AGOSTO'!$B$4:$B$2000,"FCO JAVIER LABRADOR",'TOTAL AGOSTO'!$D$4:$D$2000)</f>
        <v>91.6</v>
      </c>
      <c r="F38" s="35" t="n">
        <f aca="false">IF(D38="","",ROUND(C38-D38,2))</f>
        <v>0</v>
      </c>
      <c r="G38" s="35" t="n">
        <f aca="false">IF(D38="",ROUND(C38-E38,2),ROUND(D38-E38,2))</f>
        <v>0</v>
      </c>
      <c r="H38" s="36" t="str">
        <f aca="false">IF(AND(ABS(N(F38))&lt;=0.05,ABS(G38)&lt;=0.05),"OK","REVISAR")</f>
        <v>OK</v>
      </c>
      <c r="I38" s="22"/>
    </row>
    <row r="39" customFormat="false" ht="15" hidden="false" customHeight="false" outlineLevel="0" collapsed="false">
      <c r="A39" s="22" t="s">
        <v>57</v>
      </c>
      <c r="B39" s="34" t="s">
        <v>191</v>
      </c>
      <c r="C39" s="35" t="n">
        <f aca="false">SUM('_____FRUTERIA DALISTE'!F6:F300)</f>
        <v>158.9995</v>
      </c>
      <c r="D39" s="35" t="n">
        <f aca="false">SUM('_____FRUTERIA DALISTE'!I9:I300)</f>
        <v>158.99</v>
      </c>
      <c r="E39" s="35" t="n">
        <v>158.99</v>
      </c>
      <c r="F39" s="35" t="n">
        <f aca="false">IF(D39="","",ROUND(C39-D39,2))</f>
        <v>0.01</v>
      </c>
      <c r="G39" s="35" t="n">
        <f aca="false">IF(D39="",ROUND(C39-E39,2),ROUND(D39-E39,2))</f>
        <v>0</v>
      </c>
      <c r="H39" s="36" t="str">
        <f aca="false">IF(AND(ABS(N(F39))&lt;=0.05,ABS(G39)&lt;=0.05),"OK","REVISAR")</f>
        <v>OK</v>
      </c>
      <c r="I39" s="22"/>
    </row>
    <row r="40" customFormat="false" ht="15" hidden="false" customHeight="false" outlineLevel="0" collapsed="false">
      <c r="A40" s="22" t="s">
        <v>36</v>
      </c>
      <c r="B40" s="37" t="s">
        <v>192</v>
      </c>
      <c r="C40" s="35" t="n">
        <f aca="false">SUM('_____JC MACKINTOSH'!F6:F300)</f>
        <v>516</v>
      </c>
      <c r="D40" s="35" t="n">
        <f aca="false">SUM('_____JC MACKINTOSH'!I9:I300)</f>
        <v>516</v>
      </c>
      <c r="E40" s="35" t="n">
        <f aca="false">SUMIF('TOTAL AGOSTO'!$B$4:$B$2000,"JC MACKINTOSH",'TOTAL AGOSTO'!$D$4:$D$2000)</f>
        <v>516</v>
      </c>
      <c r="F40" s="35" t="n">
        <f aca="false">IF(D40="","",ROUND(C40-D40,2))</f>
        <v>0</v>
      </c>
      <c r="G40" s="35" t="n">
        <f aca="false">IF(D40="",ROUND(C40-E40,2),ROUND(D40-E40,2))</f>
        <v>0</v>
      </c>
      <c r="H40" s="36" t="str">
        <f aca="false">IF(AND(ABS(N(F40))&lt;=0.05,ABS(G40)&lt;=0.05),"OK","REVISAR")</f>
        <v>OK</v>
      </c>
      <c r="I40" s="22"/>
    </row>
    <row r="41" customFormat="false" ht="15" hidden="false" customHeight="false" outlineLevel="0" collapsed="false">
      <c r="A41" s="22" t="s">
        <v>49</v>
      </c>
      <c r="B41" s="34" t="s">
        <v>191</v>
      </c>
      <c r="C41" s="35" t="n">
        <f aca="false">SUM('_____JOSE PEÑA'!F6:F300)</f>
        <v>748.5</v>
      </c>
      <c r="D41" s="35" t="n">
        <f aca="false">SUM('_____JOSE PEÑA'!I9:I300)</f>
        <v>748.5</v>
      </c>
      <c r="E41" s="35" t="n">
        <v>748.5</v>
      </c>
      <c r="F41" s="35" t="n">
        <f aca="false">IF(D41="","",ROUND(C41-D41,2))</f>
        <v>0</v>
      </c>
      <c r="G41" s="35" t="n">
        <f aca="false">IF(D41="",ROUND(C41-E41,2),ROUND(D41-E41,2))</f>
        <v>0</v>
      </c>
      <c r="H41" s="36" t="str">
        <f aca="false">IF(AND(ABS(N(F41))&lt;=0.05,ABS(G41)&lt;=0.05),"OK","REVISAR")</f>
        <v>OK</v>
      </c>
      <c r="I41" s="22"/>
    </row>
    <row r="42" customFormat="false" ht="15" hidden="false" customHeight="false" outlineLevel="0" collapsed="false">
      <c r="A42" s="22" t="s">
        <v>50</v>
      </c>
      <c r="B42" s="34" t="s">
        <v>191</v>
      </c>
      <c r="C42" s="35" t="n">
        <f aca="false">SUM('_____JOSE ROMERO PLAZA'!F6:F300)</f>
        <v>444.1</v>
      </c>
      <c r="D42" s="35" t="n">
        <f aca="false">SUM('_____JOSE ROMERO PLAZA'!I9:I300)</f>
        <v>444.1</v>
      </c>
      <c r="E42" s="35" t="n">
        <v>444.1</v>
      </c>
      <c r="F42" s="35" t="n">
        <f aca="false">IF(D42="","",ROUND(C42-D42,2))</f>
        <v>0</v>
      </c>
      <c r="G42" s="35" t="n">
        <f aca="false">IF(D42="",ROUND(C42-E42,2),ROUND(D42-E42,2))</f>
        <v>0</v>
      </c>
      <c r="H42" s="36" t="str">
        <f aca="false">IF(AND(ABS(N(F42))&lt;=0.05,ABS(G42)&lt;=0.05),"OK","REVISAR")</f>
        <v>OK</v>
      </c>
      <c r="I42" s="22"/>
    </row>
    <row r="43" customFormat="false" ht="15" hidden="false" customHeight="false" outlineLevel="0" collapsed="false">
      <c r="A43" s="22" t="s">
        <v>27</v>
      </c>
      <c r="B43" s="34" t="s">
        <v>191</v>
      </c>
      <c r="C43" s="35" t="n">
        <f aca="false">SUM(_____MAGOASE!F6:F300)</f>
        <v>1815.6</v>
      </c>
      <c r="D43" s="35" t="n">
        <f aca="false">SUM(_____MAGOASE!I9:I300)</f>
        <v>1815.6</v>
      </c>
      <c r="E43" s="35" t="n">
        <v>1815.6</v>
      </c>
      <c r="F43" s="35" t="n">
        <f aca="false">IF(D43="","",ROUND(C43-D43,2))</f>
        <v>0</v>
      </c>
      <c r="G43" s="35" t="n">
        <f aca="false">IF(D43="",ROUND(C43-E43,2),ROUND(D43-E43,2))</f>
        <v>0</v>
      </c>
      <c r="H43" s="36" t="str">
        <f aca="false">IF(AND(ABS(N(F43))&lt;=0.05,ABS(G43)&lt;=0.05),"OK","REVISAR")</f>
        <v>OK</v>
      </c>
      <c r="I43" s="22"/>
    </row>
    <row r="44" customFormat="false" ht="15" hidden="false" customHeight="false" outlineLevel="0" collapsed="false">
      <c r="A44" s="22" t="s">
        <v>27</v>
      </c>
      <c r="B44" s="37" t="s">
        <v>192</v>
      </c>
      <c r="C44" s="35" t="n">
        <f aca="false">SUM(_____MAGOASE!P6:P300)</f>
        <v>930.8</v>
      </c>
      <c r="D44" s="35" t="n">
        <f aca="false">SUM(_____MAGOASE!S9:S300)</f>
        <v>930.8</v>
      </c>
      <c r="E44" s="35" t="n">
        <f aca="false">SUMIF('TOTAL AGOSTO'!$B$4:$B$2000,"MAGOASE",'TOTAL AGOSTO'!$D$4:$D$2000)</f>
        <v>930.8</v>
      </c>
      <c r="F44" s="35" t="n">
        <f aca="false">IF(D44="","",ROUND(C44-D44,2))</f>
        <v>0</v>
      </c>
      <c r="G44" s="35" t="n">
        <f aca="false">IF(D44="",ROUND(C44-E44,2),ROUND(D44-E44,2))</f>
        <v>0</v>
      </c>
      <c r="H44" s="36" t="str">
        <f aca="false">IF(AND(ABS(N(F44))&lt;=0.05,ABS(G44)&lt;=0.05),"OK","REVISAR")</f>
        <v>OK</v>
      </c>
      <c r="I44" s="22"/>
    </row>
    <row r="45" customFormat="false" ht="15" hidden="false" customHeight="false" outlineLevel="0" collapsed="false">
      <c r="A45" s="22" t="s">
        <v>54</v>
      </c>
      <c r="B45" s="34" t="s">
        <v>191</v>
      </c>
      <c r="C45" s="35" t="n">
        <f aca="false">SUM(_____MAKRO!F6:F300)</f>
        <v>227.89</v>
      </c>
      <c r="D45" s="35" t="n">
        <f aca="false">SUM(_____MAKRO!I9:I300)</f>
        <v>227.89</v>
      </c>
      <c r="E45" s="35" t="n">
        <v>227.89</v>
      </c>
      <c r="F45" s="35" t="n">
        <f aca="false">IF(D45="","",ROUND(C45-D45,2))</f>
        <v>0</v>
      </c>
      <c r="G45" s="35" t="n">
        <f aca="false">IF(D45="",ROUND(C45-E45,2),ROUND(D45-E45,2))</f>
        <v>0</v>
      </c>
      <c r="H45" s="36" t="str">
        <f aca="false">IF(AND(ABS(N(F45))&lt;=0.05,ABS(G45)&lt;=0.05),"OK","REVISAR")</f>
        <v>OK</v>
      </c>
      <c r="I45" s="22"/>
    </row>
    <row r="46" customFormat="false" ht="15" hidden="false" customHeight="false" outlineLevel="0" collapsed="false">
      <c r="A46" s="22" t="s">
        <v>39</v>
      </c>
      <c r="B46" s="34" t="s">
        <v>191</v>
      </c>
      <c r="C46" s="35" t="n">
        <f aca="false">SUM('_____MANU AMBRES'!F6:F300)</f>
        <v>904.824</v>
      </c>
      <c r="D46" s="35" t="n">
        <f aca="false">SUM('_____MANU AMBRES'!I9:I300)</f>
        <v>904.82</v>
      </c>
      <c r="E46" s="35" t="n">
        <v>904.82</v>
      </c>
      <c r="F46" s="35" t="n">
        <f aca="false">IF(D46="","",ROUND(C46-D46,2))</f>
        <v>0</v>
      </c>
      <c r="G46" s="35" t="n">
        <f aca="false">IF(D46="",ROUND(C46-E46,2),ROUND(D46-E46,2))</f>
        <v>0</v>
      </c>
      <c r="H46" s="36" t="str">
        <f aca="false">IF(AND(ABS(N(F46))&lt;=0.05,ABS(G46)&lt;=0.05),"OK","REVISAR")</f>
        <v>OK</v>
      </c>
      <c r="I46" s="22"/>
    </row>
    <row r="47" customFormat="false" ht="15" hidden="false" customHeight="false" outlineLevel="0" collapsed="false">
      <c r="A47" s="22" t="s">
        <v>39</v>
      </c>
      <c r="B47" s="37" t="s">
        <v>192</v>
      </c>
      <c r="C47" s="35" t="n">
        <f aca="false">SUM('_____MANU AMBRES'!P6:P300)</f>
        <v>425</v>
      </c>
      <c r="D47" s="35" t="n">
        <f aca="false">SUM('_____MANU AMBRES'!S9:S300)</f>
        <v>425</v>
      </c>
      <c r="E47" s="35" t="n">
        <f aca="false">SUMIF('TOTAL AGOSTO'!$B$4:$B$2000,"MANUEL AMBRES",'TOTAL AGOSTO'!$D$4:$D$2000)</f>
        <v>425</v>
      </c>
      <c r="F47" s="35" t="n">
        <f aca="false">IF(D47="","",ROUND(C47-D47,2))</f>
        <v>0</v>
      </c>
      <c r="G47" s="35" t="n">
        <f aca="false">IF(D47="",ROUND(C47-E47,2),ROUND(D47-E47,2))</f>
        <v>0</v>
      </c>
      <c r="H47" s="36" t="str">
        <f aca="false">IF(AND(ABS(N(F47))&lt;=0.05,ABS(G47)&lt;=0.05),"OK","REVISAR")</f>
        <v>OK</v>
      </c>
      <c r="I47" s="22"/>
    </row>
    <row r="48" customFormat="false" ht="15" hidden="false" customHeight="false" outlineLevel="0" collapsed="false">
      <c r="A48" s="22" t="s">
        <v>22</v>
      </c>
      <c r="B48" s="34" t="s">
        <v>191</v>
      </c>
      <c r="C48" s="35" t="n">
        <f aca="false">SUM('_____MARTIN CANEDA'!F6:F300)</f>
        <v>3561.4</v>
      </c>
      <c r="D48" s="35" t="n">
        <f aca="false">SUM('_____MARTIN CANEDA'!I9:I300)</f>
        <v>3561.4</v>
      </c>
      <c r="E48" s="35" t="n">
        <v>3561.4</v>
      </c>
      <c r="F48" s="35" t="n">
        <f aca="false">IF(D48="","",ROUND(C48-D48,2))</f>
        <v>0</v>
      </c>
      <c r="G48" s="35" t="n">
        <f aca="false">IF(D48="",ROUND(C48-E48,2),ROUND(D48-E48,2))</f>
        <v>0</v>
      </c>
      <c r="H48" s="36" t="str">
        <f aca="false">IF(AND(ABS(N(F48))&lt;=0.05,ABS(G48)&lt;=0.05),"OK","REVISAR")</f>
        <v>OK</v>
      </c>
      <c r="I48" s="22"/>
    </row>
    <row r="49" customFormat="false" ht="15" hidden="false" customHeight="false" outlineLevel="0" collapsed="false">
      <c r="A49" s="22" t="s">
        <v>22</v>
      </c>
      <c r="B49" s="37" t="s">
        <v>192</v>
      </c>
      <c r="C49" s="35" t="n">
        <f aca="false">SUM('_____MARTIN CANEDA'!P6:P300)</f>
        <v>1617.8</v>
      </c>
      <c r="D49" s="35" t="n">
        <f aca="false">SUM('_____MARTIN CANEDA'!S9:S300)</f>
        <v>1617.8</v>
      </c>
      <c r="E49" s="35" t="n">
        <f aca="false">SUMIF('TOTAL AGOSTO'!$B$4:$B$2000,"MARTIN CANEDA",'TOTAL AGOSTO'!$D$4:$D$2000)</f>
        <v>1617.8</v>
      </c>
      <c r="F49" s="35" t="n">
        <f aca="false">IF(D49="","",ROUND(C49-D49,2))</f>
        <v>0</v>
      </c>
      <c r="G49" s="35" t="n">
        <f aca="false">IF(D49="",ROUND(C49-E49,2),ROUND(D49-E49,2))</f>
        <v>0</v>
      </c>
      <c r="H49" s="36" t="str">
        <f aca="false">IF(AND(ABS(N(F49))&lt;=0.05,ABS(G49)&lt;=0.05),"OK","REVISAR")</f>
        <v>OK</v>
      </c>
      <c r="I49" s="22"/>
    </row>
    <row r="50" customFormat="false" ht="15" hidden="false" customHeight="false" outlineLevel="0" collapsed="false">
      <c r="A50" s="22" t="s">
        <v>56</v>
      </c>
      <c r="B50" s="34" t="s">
        <v>191</v>
      </c>
      <c r="C50" s="35" t="n">
        <f aca="false">SUM(_____MONVA!F6:F300)</f>
        <v>171</v>
      </c>
      <c r="D50" s="35" t="n">
        <f aca="false">SUM(_____MONVA!I9:I300)</f>
        <v>171</v>
      </c>
      <c r="E50" s="35" t="n">
        <v>171</v>
      </c>
      <c r="F50" s="35" t="n">
        <f aca="false">IF(D50="","",ROUND(C50-D50,2))</f>
        <v>0</v>
      </c>
      <c r="G50" s="35" t="n">
        <f aca="false">IF(D50="",ROUND(C50-E50,2),ROUND(D50-E50,2))</f>
        <v>0</v>
      </c>
      <c r="H50" s="36" t="str">
        <f aca="false">IF(AND(ABS(N(F50))&lt;=0.05,ABS(G50)&lt;=0.05),"OK","REVISAR")</f>
        <v>OK</v>
      </c>
      <c r="I50" s="22"/>
    </row>
    <row r="51" customFormat="false" ht="15" hidden="false" customHeight="false" outlineLevel="0" collapsed="false">
      <c r="A51" s="22" t="s">
        <v>21</v>
      </c>
      <c r="B51" s="34" t="s">
        <v>191</v>
      </c>
      <c r="C51" s="35" t="n">
        <f aca="false">SUM(_____MUNDELA!F6:F300)</f>
        <v>5092.38</v>
      </c>
      <c r="D51" s="35" t="n">
        <f aca="false">SUM(_____MUNDELA!I9:I300)</f>
        <v>5092.38</v>
      </c>
      <c r="E51" s="35" t="n">
        <v>5092.38</v>
      </c>
      <c r="F51" s="35" t="n">
        <f aca="false">IF(D51="","",ROUND(C51-D51,2))</f>
        <v>0</v>
      </c>
      <c r="G51" s="35" t="n">
        <f aca="false">IF(D51="",ROUND(C51-E51,2),ROUND(D51-E51,2))</f>
        <v>0</v>
      </c>
      <c r="H51" s="36" t="str">
        <f aca="false">IF(AND(ABS(N(F51))&lt;=0.05,ABS(G51)&lt;=0.05),"OK","REVISAR")</f>
        <v>OK</v>
      </c>
      <c r="I51" s="22"/>
    </row>
    <row r="52" customFormat="false" ht="15" hidden="false" customHeight="false" outlineLevel="0" collapsed="false">
      <c r="A52" s="22" t="s">
        <v>21</v>
      </c>
      <c r="B52" s="37" t="s">
        <v>192</v>
      </c>
      <c r="C52" s="35" t="n">
        <f aca="false">SUM(_____MUNDELA!P6:P300)</f>
        <v>1920.54</v>
      </c>
      <c r="D52" s="35" t="n">
        <f aca="false">SUM(_____MUNDELA!S9:S300)</f>
        <v>1920.54</v>
      </c>
      <c r="E52" s="35" t="n">
        <f aca="false">SUMIF('TOTAL AGOSTO'!$B$4:$B$2000,"MUNDELA",'TOTAL AGOSTO'!$D$4:$D$2000)</f>
        <v>1920.54</v>
      </c>
      <c r="F52" s="35" t="n">
        <f aca="false">IF(D52="","",ROUND(C52-D52,2))</f>
        <v>0</v>
      </c>
      <c r="G52" s="35" t="n">
        <f aca="false">IF(D52="",ROUND(C52-E52,2),ROUND(D52-E52,2))</f>
        <v>0</v>
      </c>
      <c r="H52" s="36" t="str">
        <f aca="false">IF(AND(ABS(N(F52))&lt;=0.05,ABS(G52)&lt;=0.05),"OK","REVISAR")</f>
        <v>OK</v>
      </c>
      <c r="I52" s="22"/>
    </row>
    <row r="53" customFormat="false" ht="15" hidden="false" customHeight="false" outlineLevel="0" collapsed="false">
      <c r="A53" s="22" t="s">
        <v>43</v>
      </c>
      <c r="B53" s="34" t="s">
        <v>191</v>
      </c>
      <c r="C53" s="35" t="n">
        <f aca="false">SUM('_____PATATAS YAGO'!F6:F300)</f>
        <v>611.4</v>
      </c>
      <c r="D53" s="35" t="n">
        <f aca="false">SUM('_____PATATAS YAGO'!I9:I300)</f>
        <v>611.4</v>
      </c>
      <c r="E53" s="35" t="n">
        <v>611.4</v>
      </c>
      <c r="F53" s="35" t="n">
        <f aca="false">IF(D53="","",ROUND(C53-D53,2))</f>
        <v>0</v>
      </c>
      <c r="G53" s="35" t="n">
        <f aca="false">IF(D53="",ROUND(C53-E53,2),ROUND(D53-E53,2))</f>
        <v>0</v>
      </c>
      <c r="H53" s="36" t="str">
        <f aca="false">IF(AND(ABS(N(F53))&lt;=0.05,ABS(G53)&lt;=0.05),"OK","REVISAR")</f>
        <v>OK</v>
      </c>
      <c r="I53" s="22"/>
    </row>
    <row r="54" customFormat="false" ht="15" hidden="false" customHeight="false" outlineLevel="0" collapsed="false">
      <c r="A54" s="22" t="s">
        <v>43</v>
      </c>
      <c r="B54" s="37" t="s">
        <v>192</v>
      </c>
      <c r="C54" s="35" t="n">
        <f aca="false">SUM('_____PATATAS YAGO'!P6:P300)</f>
        <v>358.9</v>
      </c>
      <c r="D54" s="35" t="n">
        <f aca="false">SUM('_____PATATAS YAGO'!S9:S300)</f>
        <v>358.9</v>
      </c>
      <c r="E54" s="35" t="n">
        <f aca="false">SUMIF('TOTAL AGOSTO'!$B$4:$B$2000,"PATATAS YAGO",'TOTAL AGOSTO'!$D$4:$D$2000)</f>
        <v>358.9</v>
      </c>
      <c r="F54" s="35" t="n">
        <f aca="false">IF(D54="","",ROUND(C54-D54,2))</f>
        <v>0</v>
      </c>
      <c r="G54" s="35" t="n">
        <f aca="false">IF(D54="",ROUND(C54-E54,2),ROUND(D54-E54,2))</f>
        <v>0</v>
      </c>
      <c r="H54" s="36" t="str">
        <f aca="false">IF(AND(ABS(N(F54))&lt;=0.05,ABS(G54)&lt;=0.05),"OK","REVISAR")</f>
        <v>OK</v>
      </c>
      <c r="I54" s="22"/>
    </row>
    <row r="55" customFormat="false" ht="15" hidden="false" customHeight="false" outlineLevel="0" collapsed="false">
      <c r="A55" s="22" t="s">
        <v>42</v>
      </c>
      <c r="B55" s="34" t="s">
        <v>191</v>
      </c>
      <c r="C55" s="35" t="n">
        <f aca="false">SUM('_____PESCADERIA PALACIO'!F6:F300)</f>
        <v>1400.16</v>
      </c>
      <c r="D55" s="35" t="n">
        <f aca="false">SUM('_____PESCADERIA PALACIO'!I9:I300)</f>
        <v>1400.16</v>
      </c>
      <c r="E55" s="35" t="n">
        <v>1400.16</v>
      </c>
      <c r="F55" s="35" t="n">
        <f aca="false">IF(D55="","",ROUND(C55-D55,2))</f>
        <v>0</v>
      </c>
      <c r="G55" s="35" t="n">
        <f aca="false">IF(D55="",ROUND(C55-E55,2),ROUND(D55-E55,2))</f>
        <v>0</v>
      </c>
      <c r="H55" s="36" t="str">
        <f aca="false">IF(AND(ABS(N(F55))&lt;=0.05,ABS(G55)&lt;=0.05),"OK","REVISAR")</f>
        <v>OK</v>
      </c>
      <c r="I55" s="22"/>
    </row>
    <row r="56" customFormat="false" ht="15" hidden="false" customHeight="false" outlineLevel="0" collapsed="false">
      <c r="A56" s="22" t="s">
        <v>42</v>
      </c>
      <c r="B56" s="37" t="s">
        <v>192</v>
      </c>
      <c r="C56" s="35" t="n">
        <f aca="false">SUM('_____PESCADERIA PALACIO'!P6:P300)</f>
        <v>369.6</v>
      </c>
      <c r="D56" s="35" t="n">
        <f aca="false">SUM('_____PESCADERIA PALACIO'!S9:S300)</f>
        <v>369.6</v>
      </c>
      <c r="E56" s="35" t="n">
        <f aca="false">SUMIF('TOTAL AGOSTO'!$B$4:$B$2000,"PESCADERIA PALACIO",'TOTAL AGOSTO'!$D$4:$D$2000)</f>
        <v>369.6</v>
      </c>
      <c r="F56" s="35" t="n">
        <f aca="false">IF(D56="","",ROUND(C56-D56,2))</f>
        <v>0</v>
      </c>
      <c r="G56" s="35" t="n">
        <f aca="false">IF(D56="",ROUND(C56-E56,2),ROUND(D56-E56,2))</f>
        <v>0</v>
      </c>
      <c r="H56" s="36" t="str">
        <f aca="false">IF(AND(ABS(N(F56))&lt;=0.05,ABS(G56)&lt;=0.05),"OK","REVISAR")</f>
        <v>OK</v>
      </c>
      <c r="I56" s="22"/>
    </row>
    <row r="57" customFormat="false" ht="15" hidden="false" customHeight="false" outlineLevel="0" collapsed="false">
      <c r="A57" s="22" t="s">
        <v>20</v>
      </c>
      <c r="B57" s="34" t="s">
        <v>191</v>
      </c>
      <c r="C57" s="35" t="n">
        <f aca="false">SUM(_____PESCARUM!F6:F300)</f>
        <v>10740.80499985</v>
      </c>
      <c r="D57" s="35" t="n">
        <f aca="false">SUM(_____PESCARUM!I9:I300)</f>
        <v>10740.83</v>
      </c>
      <c r="E57" s="35" t="n">
        <v>10740.83</v>
      </c>
      <c r="F57" s="35" t="n">
        <f aca="false">IF(D57="","",ROUND(C57-D57,2))</f>
        <v>-0.03</v>
      </c>
      <c r="G57" s="35" t="n">
        <f aca="false">IF(D57="",ROUND(C57-E57,2),ROUND(D57-E57,2))</f>
        <v>0</v>
      </c>
      <c r="H57" s="36" t="str">
        <f aca="false">IF(AND(ABS(N(F57))&lt;=0.05,ABS(G57)&lt;=0.05),"OK","REVISAR")</f>
        <v>OK</v>
      </c>
      <c r="I57" s="22"/>
    </row>
    <row r="58" customFormat="false" ht="15" hidden="false" customHeight="false" outlineLevel="0" collapsed="false">
      <c r="A58" s="22" t="s">
        <v>20</v>
      </c>
      <c r="B58" s="37" t="s">
        <v>192</v>
      </c>
      <c r="C58" s="35" t="n">
        <f aca="false">SUM(_____PESCARUM!P6:P300)</f>
        <v>5182.885</v>
      </c>
      <c r="D58" s="35" t="n">
        <f aca="false">SUM(_____PESCARUM!S9:S300)</f>
        <v>5112.89</v>
      </c>
      <c r="E58" s="35" t="n">
        <f aca="false">SUMIF('TOTAL AGOSTO'!$B$4:$B$2000,"PESCARUM",'TOTAL AGOSTO'!$D$4:$D$2000)</f>
        <v>5112.89</v>
      </c>
      <c r="F58" s="35" t="n">
        <f aca="false">IF(D58="","",ROUND(C58-D58,2))</f>
        <v>69.99</v>
      </c>
      <c r="G58" s="35" t="n">
        <f aca="false">IF(D58="",ROUND(C58-E58,2),ROUND(D58-E58,2))</f>
        <v>0</v>
      </c>
      <c r="H58" s="36" t="str">
        <f aca="false">IF(AND(ABS(N(F58))&lt;=0.05,ABS(G58)&lt;=0.05),"OK","REVISAR")</f>
        <v>REVISAR</v>
      </c>
      <c r="I58" s="22" t="s">
        <v>194</v>
      </c>
    </row>
    <row r="59" customFormat="false" ht="15" hidden="false" customHeight="false" outlineLevel="0" collapsed="false">
      <c r="A59" s="22" t="s">
        <v>35</v>
      </c>
      <c r="B59" s="34" t="s">
        <v>191</v>
      </c>
      <c r="C59" s="35" t="n">
        <f aca="false">SUM(_____PEÑALASTALLAS!F6:F300)</f>
        <v>1635.591</v>
      </c>
      <c r="D59" s="35" t="n">
        <f aca="false">SUM(_____PEÑALASTALLAS!I9:I300)</f>
        <v>1635.61</v>
      </c>
      <c r="E59" s="35" t="n">
        <v>1568.32</v>
      </c>
      <c r="F59" s="35" t="n">
        <f aca="false">IF(D59="","",ROUND(C59-D59,2))</f>
        <v>-0.02</v>
      </c>
      <c r="G59" s="35" t="n">
        <f aca="false">IF(D59="",ROUND(C59-E59,2),ROUND(D59-E59,2))</f>
        <v>67.29</v>
      </c>
      <c r="H59" s="36" t="str">
        <f aca="false">IF(AND(ABS(N(F59))&lt;=0.05,ABS(G59)&lt;=0.05),"OK","REVISAR")</f>
        <v>REVISAR</v>
      </c>
      <c r="I59" s="22" t="s">
        <v>195</v>
      </c>
    </row>
    <row r="60" customFormat="false" ht="15" hidden="false" customHeight="false" outlineLevel="0" collapsed="false">
      <c r="A60" s="22" t="s">
        <v>35</v>
      </c>
      <c r="B60" s="37" t="s">
        <v>192</v>
      </c>
      <c r="C60" s="35" t="n">
        <f aca="false">SUM(_____PEÑALASTALLAS!P6:P300)</f>
        <v>519.685</v>
      </c>
      <c r="D60" s="35" t="n">
        <f aca="false">SUM(_____PEÑALASTALLAS!S9:S300)</f>
        <v>519.69</v>
      </c>
      <c r="E60" s="35" t="n">
        <f aca="false">SUMIF('TOTAL AGOSTO'!$B$4:$B$2000,"PEÑALASTALLAS",'TOTAL AGOSTO'!$D$4:$D$2000)</f>
        <v>519.69</v>
      </c>
      <c r="F60" s="35" t="n">
        <f aca="false">IF(D60="","",ROUND(C60-D60,2))</f>
        <v>-0.01</v>
      </c>
      <c r="G60" s="35" t="n">
        <f aca="false">IF(D60="",ROUND(C60-E60,2),ROUND(D60-E60,2))</f>
        <v>0</v>
      </c>
      <c r="H60" s="36" t="str">
        <f aca="false">IF(AND(ABS(N(F60))&lt;=0.05,ABS(G60)&lt;=0.05),"OK","REVISAR")</f>
        <v>OK</v>
      </c>
      <c r="I60" s="22"/>
    </row>
    <row r="61" customFormat="false" ht="15" hidden="false" customHeight="false" outlineLevel="0" collapsed="false">
      <c r="A61" s="22" t="s">
        <v>32</v>
      </c>
      <c r="B61" s="34" t="s">
        <v>191</v>
      </c>
      <c r="C61" s="35" t="n">
        <f aca="false">SUM('_____ROMERO ALVAREZ'!F6:F300)</f>
        <v>533.736</v>
      </c>
      <c r="D61" s="35" t="n">
        <f aca="false">SUM('_____ROMERO ALVAREZ'!I9:I300)</f>
        <v>533.74</v>
      </c>
      <c r="E61" s="35" t="n">
        <v>533.74</v>
      </c>
      <c r="F61" s="35" t="n">
        <f aca="false">IF(D61="","",ROUND(C61-D61,2))</f>
        <v>-0</v>
      </c>
      <c r="G61" s="35" t="n">
        <f aca="false">IF(D61="",ROUND(C61-E61,2),ROUND(D61-E61,2))</f>
        <v>0</v>
      </c>
      <c r="H61" s="36" t="str">
        <f aca="false">IF(AND(ABS(N(F61))&lt;=0.05,ABS(G61)&lt;=0.05),"OK","REVISAR")</f>
        <v>OK</v>
      </c>
      <c r="I61" s="22"/>
    </row>
    <row r="62" customFormat="false" ht="15" hidden="false" customHeight="false" outlineLevel="0" collapsed="false">
      <c r="A62" s="22" t="s">
        <v>32</v>
      </c>
      <c r="B62" s="37" t="s">
        <v>192</v>
      </c>
      <c r="C62" s="35" t="n">
        <f aca="false">SUM('_____ROMERO ALVAREZ'!P6:P300)</f>
        <v>654.192</v>
      </c>
      <c r="D62" s="35" t="n">
        <f aca="false">SUM('_____ROMERO ALVAREZ'!S9:S300)</f>
        <v>654.19</v>
      </c>
      <c r="E62" s="35" t="n">
        <f aca="false">SUMIF('TOTAL AGOSTO'!$B$4:$B$2000,"ROMERO ALVAREZ",'TOTAL AGOSTO'!$D$4:$D$2000)</f>
        <v>654.19</v>
      </c>
      <c r="F62" s="35" t="n">
        <f aca="false">IF(D62="","",ROUND(C62-D62,2))</f>
        <v>0</v>
      </c>
      <c r="G62" s="35" t="n">
        <f aca="false">IF(D62="",ROUND(C62-E62,2),ROUND(D62-E62,2))</f>
        <v>0</v>
      </c>
      <c r="H62" s="36" t="str">
        <f aca="false">IF(AND(ABS(N(F62))&lt;=0.05,ABS(G62)&lt;=0.05),"OK","REVISAR")</f>
        <v>OK</v>
      </c>
      <c r="I62" s="22"/>
    </row>
    <row r="63" customFormat="false" ht="15" hidden="false" customHeight="false" outlineLevel="0" collapsed="false">
      <c r="A63" s="22" t="s">
        <v>31</v>
      </c>
      <c r="B63" s="34" t="s">
        <v>191</v>
      </c>
      <c r="C63" s="35" t="n">
        <f aca="false">SUM(_____SUBMARINER!F6:F300)</f>
        <v>3291.3008</v>
      </c>
      <c r="D63" s="35" t="n">
        <f aca="false">SUM(_____SUBMARINER!I9:I300)</f>
        <v>3291.32</v>
      </c>
      <c r="E63" s="35" t="n">
        <v>3291.32</v>
      </c>
      <c r="F63" s="35" t="n">
        <f aca="false">IF(D63="","",ROUND(C63-D63,2))</f>
        <v>-0.02</v>
      </c>
      <c r="G63" s="35" t="n">
        <f aca="false">IF(D63="",ROUND(C63-E63,2),ROUND(D63-E63,2))</f>
        <v>0</v>
      </c>
      <c r="H63" s="36" t="str">
        <f aca="false">IF(AND(ABS(N(F63))&lt;=0.05,ABS(G63)&lt;=0.05),"OK","REVISAR")</f>
        <v>OK</v>
      </c>
      <c r="I63" s="22"/>
    </row>
    <row r="64" customFormat="false" ht="15" hidden="false" customHeight="false" outlineLevel="0" collapsed="false">
      <c r="A64" s="22" t="s">
        <v>31</v>
      </c>
      <c r="B64" s="37" t="s">
        <v>192</v>
      </c>
      <c r="C64" s="35" t="n">
        <f aca="false">SUM(_____SUBMARINER!P6:P300)</f>
        <v>712.9088</v>
      </c>
      <c r="D64" s="35" t="n">
        <f aca="false">SUM(_____SUBMARINER!S9:S300)</f>
        <v>712.94</v>
      </c>
      <c r="E64" s="35" t="n">
        <f aca="false">SUMIF('TOTAL AGOSTO'!$B$4:$B$2000,"SUBMARINER",'TOTAL AGOSTO'!$D$4:$D$2000)</f>
        <v>712.94</v>
      </c>
      <c r="F64" s="35" t="n">
        <f aca="false">IF(D64="","",ROUND(C64-D64,2))</f>
        <v>-0.03</v>
      </c>
      <c r="G64" s="35" t="n">
        <f aca="false">IF(D64="",ROUND(C64-E64,2),ROUND(D64-E64,2))</f>
        <v>0</v>
      </c>
      <c r="H64" s="36" t="str">
        <f aca="false">IF(AND(ABS(N(F64))&lt;=0.05,ABS(G64)&lt;=0.05),"OK","REVISAR")</f>
        <v>OK</v>
      </c>
      <c r="I64" s="22"/>
    </row>
    <row r="65" customFormat="false" ht="15" hidden="false" customHeight="false" outlineLevel="0" collapsed="false">
      <c r="A65" s="22" t="s">
        <v>44</v>
      </c>
      <c r="B65" s="34" t="s">
        <v>191</v>
      </c>
      <c r="C65" s="35" t="n">
        <f aca="false">SUM('_____TOMATERIA CEA'!F6:F300)</f>
        <v>584.97</v>
      </c>
      <c r="D65" s="35" t="n">
        <f aca="false">SUM('_____TOMATERIA CEA'!I9:I300)</f>
        <v>584.97</v>
      </c>
      <c r="E65" s="35" t="n">
        <v>584.97</v>
      </c>
      <c r="F65" s="35" t="n">
        <f aca="false">IF(D65="","",ROUND(C65-D65,2))</f>
        <v>0</v>
      </c>
      <c r="G65" s="35" t="n">
        <f aca="false">IF(D65="",ROUND(C65-E65,2),ROUND(D65-E65,2))</f>
        <v>0</v>
      </c>
      <c r="H65" s="36" t="str">
        <f aca="false">IF(AND(ABS(N(F65))&lt;=0.05,ABS(G65)&lt;=0.05),"OK","REVISAR")</f>
        <v>OK</v>
      </c>
      <c r="I65" s="22"/>
    </row>
    <row r="66" customFormat="false" ht="15" hidden="false" customHeight="false" outlineLevel="0" collapsed="false">
      <c r="A66" s="22" t="s">
        <v>44</v>
      </c>
      <c r="B66" s="37" t="s">
        <v>192</v>
      </c>
      <c r="C66" s="35" t="n">
        <f aca="false">SUM('_____TOMATERIA CEA'!P6:P300)</f>
        <v>319.995</v>
      </c>
      <c r="D66" s="35" t="n">
        <f aca="false">SUM('_____TOMATERIA CEA'!S9:S300)</f>
        <v>320</v>
      </c>
      <c r="E66" s="35" t="n">
        <f aca="false">SUMIF('TOTAL AGOSTO'!$B$4:$B$2000,"TOMATERIA DE CEA",'TOTAL AGOSTO'!$D$4:$D$2000)</f>
        <v>320</v>
      </c>
      <c r="F66" s="35" t="n">
        <f aca="false">IF(D66="","",ROUND(C66-D66,2))</f>
        <v>-0</v>
      </c>
      <c r="G66" s="35" t="n">
        <f aca="false">IF(D66="",ROUND(C66-E66,2),ROUND(D66-E66,2))</f>
        <v>0</v>
      </c>
      <c r="H66" s="36" t="str">
        <f aca="false">IF(AND(ABS(N(F66))&lt;=0.05,ABS(G66)&lt;=0.05),"OK","REVISAR")</f>
        <v>OK</v>
      </c>
      <c r="I66" s="22"/>
    </row>
    <row r="67" customFormat="false" ht="15" hidden="false" customHeight="false" outlineLevel="0" collapsed="false">
      <c r="A67" s="22" t="s">
        <v>46</v>
      </c>
      <c r="B67" s="34" t="s">
        <v>191</v>
      </c>
      <c r="C67" s="35" t="n">
        <f aca="false">SUM('_____VENERO CLARO'!F6:F300)</f>
        <v>270.4</v>
      </c>
      <c r="D67" s="35" t="n">
        <f aca="false">SUM('_____VENERO CLARO'!I9:I300)</f>
        <v>270.4</v>
      </c>
      <c r="E67" s="35" t="n">
        <v>270.4</v>
      </c>
      <c r="F67" s="35" t="n">
        <f aca="false">IF(D67="","",ROUND(C67-D67,2))</f>
        <v>0</v>
      </c>
      <c r="G67" s="35" t="n">
        <f aca="false">IF(D67="",ROUND(C67-E67,2),ROUND(D67-E67,2))</f>
        <v>0</v>
      </c>
      <c r="H67" s="36" t="str">
        <f aca="false">IF(AND(ABS(N(F67))&lt;=0.05,ABS(G67)&lt;=0.05),"OK","REVISAR")</f>
        <v>OK</v>
      </c>
      <c r="I67" s="22"/>
    </row>
    <row r="68" customFormat="false" ht="15" hidden="false" customHeight="false" outlineLevel="0" collapsed="false">
      <c r="A68" s="22" t="s">
        <v>46</v>
      </c>
      <c r="B68" s="37" t="s">
        <v>192</v>
      </c>
      <c r="C68" s="35" t="n">
        <f aca="false">SUM('_____VENERO CLARO'!P6:P300)</f>
        <v>271.18</v>
      </c>
      <c r="D68" s="35" t="n">
        <f aca="false">SUM('_____VENERO CLARO'!S9:S300)</f>
        <v>271.18</v>
      </c>
      <c r="E68" s="35" t="n">
        <f aca="false">SUMIF('TOTAL AGOSTO'!$B$4:$B$2000,"VENERO CLARO",'TOTAL AGOSTO'!$D$4:$D$2000)</f>
        <v>271.18</v>
      </c>
      <c r="F68" s="35" t="n">
        <f aca="false">IF(D68="","",ROUND(C68-D68,2))</f>
        <v>0</v>
      </c>
      <c r="G68" s="35" t="n">
        <f aca="false">IF(D68="",ROUND(C68-E68,2),ROUND(D68-E68,2))</f>
        <v>0</v>
      </c>
      <c r="H68" s="36" t="str">
        <f aca="false">IF(AND(ABS(N(F68))&lt;=0.05,ABS(G68)&lt;=0.05),"OK","REVISAR")</f>
        <v>OK</v>
      </c>
      <c r="I68" s="22"/>
    </row>
    <row r="69" customFormat="false" ht="15" hidden="false" customHeight="false" outlineLevel="0" collapsed="false">
      <c r="A69" s="22" t="s">
        <v>55</v>
      </c>
      <c r="B69" s="34" t="s">
        <v>191</v>
      </c>
      <c r="C69" s="35" t="n">
        <f aca="false">SUM('_____VINS DES DIEUX'!F6:F300)</f>
        <v>202.8</v>
      </c>
      <c r="D69" s="35" t="n">
        <f aca="false">SUM('_____VINS DES DIEUX'!I9:I300)</f>
        <v>202.8</v>
      </c>
      <c r="E69" s="35" t="n">
        <v>202.8</v>
      </c>
      <c r="F69" s="35" t="n">
        <f aca="false">IF(D69="","",ROUND(C69-D69,2))</f>
        <v>0</v>
      </c>
      <c r="G69" s="35" t="n">
        <f aca="false">IF(D69="",ROUND(C69-E69,2),ROUND(D69-E69,2))</f>
        <v>0</v>
      </c>
      <c r="H69" s="36" t="str">
        <f aca="false">IF(AND(ABS(N(F69))&lt;=0.05,ABS(G69)&lt;=0.05),"OK","REVISAR")</f>
        <v>OK</v>
      </c>
      <c r="I69" s="22"/>
    </row>
    <row r="70" customFormat="false" ht="15" hidden="false" customHeight="false" outlineLevel="0" collapsed="false">
      <c r="A70" s="22" t="s">
        <v>29</v>
      </c>
      <c r="B70" s="34" t="s">
        <v>191</v>
      </c>
      <c r="C70" s="35" t="n">
        <f aca="false">SUM(_____VOLDIS!F6:F300)</f>
        <v>6546.456</v>
      </c>
      <c r="D70" s="35" t="n">
        <f aca="false">SUM(_____VOLDIS!I9:I300)</f>
        <v>6546.46</v>
      </c>
      <c r="E70" s="35" t="n">
        <v>6546.46</v>
      </c>
      <c r="F70" s="35" t="n">
        <f aca="false">IF(D70="","",ROUND(C70-D70,2))</f>
        <v>-0</v>
      </c>
      <c r="G70" s="35" t="n">
        <f aca="false">IF(D70="",ROUND(C70-E70,2),ROUND(D70-E70,2))</f>
        <v>0</v>
      </c>
      <c r="H70" s="36" t="str">
        <f aca="false">IF(AND(ABS(N(F70))&lt;=0.05,ABS(G70)&lt;=0.05),"OK","REVISAR")</f>
        <v>OK</v>
      </c>
      <c r="I70" s="22"/>
    </row>
    <row r="71" customFormat="false" ht="15" hidden="false" customHeight="false" outlineLevel="0" collapsed="false">
      <c r="A71" s="22" t="s">
        <v>29</v>
      </c>
      <c r="B71" s="37" t="s">
        <v>192</v>
      </c>
      <c r="C71" s="35" t="n">
        <f aca="false">SUM(_____VOLDIS!P6:P300)</f>
        <v>780.87</v>
      </c>
      <c r="D71" s="35" t="n">
        <f aca="false">SUM(_____VOLDIS!S9:S300)</f>
        <v>780.87</v>
      </c>
      <c r="E71" s="35" t="n">
        <f aca="false">SUMIF('TOTAL AGOSTO'!$B$4:$B$2000,"VOLDIS",'TOTAL AGOSTO'!$D$4:$D$2000)</f>
        <v>780.87</v>
      </c>
      <c r="F71" s="35" t="n">
        <f aca="false">IF(D71="","",ROUND(C71-D71,2))</f>
        <v>0</v>
      </c>
      <c r="G71" s="35" t="n">
        <f aca="false">IF(D71="",ROUND(C71-E71,2),ROUND(D71-E71,2))</f>
        <v>0</v>
      </c>
      <c r="H71" s="36" t="str">
        <f aca="false">IF(AND(ABS(N(F71))&lt;=0.05,ABS(G71)&lt;=0.05),"OK","REVISAR")</f>
        <v>OK</v>
      </c>
      <c r="I71" s="22"/>
    </row>
  </sheetData>
  <mergeCells count="2">
    <mergeCell ref="A2:I2"/>
    <mergeCell ref="A3:I3"/>
  </mergeCells>
  <conditionalFormatting sqref="A6:I71">
    <cfRule type="expression" priority="2" aboveAverage="0" equalAverage="0" bottom="0" percent="0" rank="0" text="" dxfId="4">
      <formula>$A6&lt;&gt;$A5</formula>
    </cfRule>
  </conditionalFormatting>
  <conditionalFormatting sqref="H6:H71">
    <cfRule type="cellIs" priority="3" operator="equal" aboveAverage="0" equalAverage="0" bottom="0" percent="0" rank="0" text="" dxfId="5">
      <formula>"REVISAR"</formula>
    </cfRule>
    <cfRule type="cellIs" priority="4" operator="equal" aboveAverage="0" equalAverage="0" bottom="0" percent="0" rank="0" text="" dxfId="6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1122.98</v>
      </c>
      <c r="R4" s="42" t="s">
        <v>58</v>
      </c>
      <c r="S4" s="43" t="n">
        <f aca="false">SUM(P6:P300)</f>
        <v>1125.185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1122.99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1125.19</v>
      </c>
    </row>
    <row r="6" customFormat="false" ht="15" hidden="false" customHeight="false" outlineLevel="0" collapsed="false">
      <c r="B6" s="26" t="s">
        <v>201</v>
      </c>
      <c r="C6" s="44" t="n">
        <f aca="false">4.9+5+5.2</f>
        <v>15.1</v>
      </c>
      <c r="D6" s="28" t="n">
        <v>39.05</v>
      </c>
      <c r="E6" s="45" t="n">
        <v>0</v>
      </c>
      <c r="F6" s="30" t="n">
        <f aca="false">(C6*D6)-((C6*D6)*E6)</f>
        <v>589.655</v>
      </c>
      <c r="H6" s="40" t="s">
        <v>202</v>
      </c>
      <c r="I6" s="41" t="n">
        <f aca="false">I5-I4</f>
        <v>0.00999999999999091</v>
      </c>
      <c r="L6" s="26" t="s">
        <v>201</v>
      </c>
      <c r="M6" s="44" t="n">
        <f aca="false">4.9+5.05+4.75</f>
        <v>14.7</v>
      </c>
      <c r="N6" s="28" t="n">
        <v>39.05</v>
      </c>
      <c r="O6" s="45" t="n">
        <v>0</v>
      </c>
      <c r="P6" s="30" t="n">
        <f aca="false">(M6*N6)-((M6*N6)*O6)</f>
        <v>574.035</v>
      </c>
      <c r="R6" s="42" t="s">
        <v>202</v>
      </c>
      <c r="S6" s="43" t="n">
        <f aca="false">S5-S4</f>
        <v>0.00500000000010914</v>
      </c>
    </row>
    <row r="7" customFormat="false" ht="15" hidden="false" customHeight="false" outlineLevel="0" collapsed="false">
      <c r="B7" s="22" t="s">
        <v>203</v>
      </c>
      <c r="C7" s="46" t="n">
        <f aca="false">1.3+1.2</f>
        <v>2.5</v>
      </c>
      <c r="D7" s="16" t="n">
        <v>79</v>
      </c>
      <c r="E7" s="47" t="n">
        <v>0</v>
      </c>
      <c r="F7" s="14" t="n">
        <f aca="false">(C7*D7)-((C7*D7)*E7)</f>
        <v>197.5</v>
      </c>
      <c r="L7" s="22" t="s">
        <v>203</v>
      </c>
      <c r="M7" s="46" t="n">
        <f aca="false">1.3+1+1.2</f>
        <v>3.5</v>
      </c>
      <c r="N7" s="16" t="n">
        <v>84</v>
      </c>
      <c r="O7" s="47" t="n">
        <v>0</v>
      </c>
      <c r="P7" s="14" t="n">
        <f aca="false">(M7*N7)-((M7*N7)*O7)</f>
        <v>294</v>
      </c>
    </row>
    <row r="8" customFormat="false" ht="15" hidden="false" customHeight="false" outlineLevel="0" collapsed="false">
      <c r="B8" s="26" t="s">
        <v>204</v>
      </c>
      <c r="C8" s="44" t="n">
        <f aca="false">3.5</f>
        <v>3.5</v>
      </c>
      <c r="D8" s="28" t="n">
        <v>11.95</v>
      </c>
      <c r="E8" s="45" t="n">
        <v>0</v>
      </c>
      <c r="F8" s="30" t="n">
        <f aca="false">(C8*D8)-((C8*D8)*E8)</f>
        <v>41.825</v>
      </c>
      <c r="H8" s="48" t="s">
        <v>205</v>
      </c>
      <c r="I8" s="48" t="s">
        <v>62</v>
      </c>
      <c r="J8" s="48" t="s">
        <v>206</v>
      </c>
      <c r="L8" s="26" t="s">
        <v>204</v>
      </c>
      <c r="M8" s="44" t="n">
        <v>3</v>
      </c>
      <c r="N8" s="28" t="n">
        <v>11.95</v>
      </c>
      <c r="O8" s="45" t="n">
        <v>0</v>
      </c>
      <c r="P8" s="30" t="n">
        <f aca="false">(M8*N8)-((M8*N8)*O8)</f>
        <v>35.85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203</v>
      </c>
      <c r="C9" s="46" t="n">
        <f aca="false">1.5+1+1</f>
        <v>3.5</v>
      </c>
      <c r="D9" s="16" t="n">
        <v>84</v>
      </c>
      <c r="E9" s="47" t="n">
        <v>0</v>
      </c>
      <c r="F9" s="14" t="n">
        <f aca="false">(C9*D9)-((C9*D9)*E9)</f>
        <v>294</v>
      </c>
      <c r="H9" s="23" t="s">
        <v>207</v>
      </c>
      <c r="I9" s="14" t="n">
        <v>191.35</v>
      </c>
      <c r="J9" s="24" t="n">
        <v>0.1</v>
      </c>
      <c r="L9" s="22" t="s">
        <v>204</v>
      </c>
      <c r="M9" s="46" t="n">
        <f aca="false">3+3.5+3+4</f>
        <v>13.5</v>
      </c>
      <c r="N9" s="16" t="n">
        <v>9.8</v>
      </c>
      <c r="O9" s="47" t="n">
        <v>0</v>
      </c>
      <c r="P9" s="14" t="n">
        <f aca="false">(M9*N9)-((M9*N9)*O9)</f>
        <v>132.3</v>
      </c>
      <c r="R9" s="23" t="s">
        <v>66</v>
      </c>
      <c r="S9" s="14" t="n">
        <v>300.55</v>
      </c>
      <c r="T9" s="24" t="n">
        <v>0.1</v>
      </c>
    </row>
    <row r="10" customFormat="false" ht="15" hidden="false" customHeight="false" outlineLevel="0" collapsed="false">
      <c r="H10" s="23" t="s">
        <v>208</v>
      </c>
      <c r="I10" s="14" t="n">
        <v>102.7</v>
      </c>
      <c r="J10" s="24" t="n">
        <v>0.1</v>
      </c>
      <c r="L10" s="26" t="s">
        <v>203</v>
      </c>
      <c r="M10" s="44" t="n">
        <v>1</v>
      </c>
      <c r="N10" s="28" t="n">
        <v>89</v>
      </c>
      <c r="O10" s="45" t="n">
        <v>0</v>
      </c>
      <c r="P10" s="30" t="n">
        <f aca="false">(M10*N10)-((M10*N10)*O10)</f>
        <v>89</v>
      </c>
      <c r="R10" s="23" t="s">
        <v>67</v>
      </c>
      <c r="S10" s="14" t="n">
        <v>35.85</v>
      </c>
      <c r="T10" s="24" t="n">
        <v>0.1</v>
      </c>
    </row>
    <row r="11" customFormat="false" ht="15" hidden="false" customHeight="false" outlineLevel="0" collapsed="false">
      <c r="H11" s="23" t="s">
        <v>209</v>
      </c>
      <c r="I11" s="14" t="n">
        <v>41.83</v>
      </c>
      <c r="J11" s="24" t="n">
        <v>0.1</v>
      </c>
      <c r="R11" s="23" t="s">
        <v>68</v>
      </c>
      <c r="S11" s="14" t="n">
        <v>84</v>
      </c>
      <c r="T11" s="24" t="n">
        <v>0.1</v>
      </c>
    </row>
    <row r="12" customFormat="false" ht="15" hidden="false" customHeight="false" outlineLevel="0" collapsed="false">
      <c r="H12" s="23" t="s">
        <v>210</v>
      </c>
      <c r="I12" s="14" t="n">
        <v>195.25</v>
      </c>
      <c r="J12" s="24" t="n">
        <v>0.1</v>
      </c>
      <c r="R12" s="23" t="s">
        <v>69</v>
      </c>
      <c r="S12" s="14" t="n">
        <v>226.6</v>
      </c>
      <c r="T12" s="24" t="n">
        <v>0.1</v>
      </c>
    </row>
    <row r="13" customFormat="false" ht="15" hidden="false" customHeight="false" outlineLevel="0" collapsed="false">
      <c r="H13" s="23" t="s">
        <v>211</v>
      </c>
      <c r="I13" s="14" t="n">
        <v>94.8</v>
      </c>
      <c r="J13" s="24" t="n">
        <v>0.1</v>
      </c>
      <c r="R13" s="23" t="s">
        <v>70</v>
      </c>
      <c r="S13" s="14" t="n">
        <v>100.8</v>
      </c>
      <c r="T13" s="24" t="n">
        <v>0.1</v>
      </c>
    </row>
    <row r="14" customFormat="false" ht="15" hidden="false" customHeight="false" outlineLevel="0" collapsed="false">
      <c r="H14" s="23" t="s">
        <v>212</v>
      </c>
      <c r="I14" s="14" t="n">
        <v>203.06</v>
      </c>
      <c r="J14" s="24" t="n">
        <v>0.1</v>
      </c>
      <c r="R14" s="23" t="s">
        <v>71</v>
      </c>
      <c r="S14" s="14" t="n">
        <v>34.3</v>
      </c>
      <c r="T14" s="24" t="n">
        <v>0.1</v>
      </c>
    </row>
    <row r="15" customFormat="false" ht="15" hidden="false" customHeight="false" outlineLevel="0" collapsed="false">
      <c r="H15" s="23" t="s">
        <v>213</v>
      </c>
      <c r="I15" s="14" t="n">
        <v>126</v>
      </c>
      <c r="J15" s="24" t="n">
        <v>0.1</v>
      </c>
      <c r="R15" s="23" t="s">
        <v>72</v>
      </c>
      <c r="S15" s="14" t="n">
        <v>0</v>
      </c>
      <c r="T15" s="24" t="n">
        <v>0.1</v>
      </c>
    </row>
    <row r="16" customFormat="false" ht="15" hidden="false" customHeight="false" outlineLevel="0" collapsed="false">
      <c r="H16" s="23" t="s">
        <v>214</v>
      </c>
      <c r="I16" s="14" t="n">
        <v>84</v>
      </c>
      <c r="J16" s="24" t="n">
        <v>0.1</v>
      </c>
      <c r="R16" s="23" t="s">
        <v>73</v>
      </c>
      <c r="S16" s="14" t="n">
        <v>29.4</v>
      </c>
      <c r="T16" s="24" t="n">
        <v>0.1</v>
      </c>
    </row>
    <row r="17" customFormat="false" ht="15" hidden="false" customHeight="false" outlineLevel="0" collapsed="false">
      <c r="H17" s="23" t="s">
        <v>215</v>
      </c>
      <c r="I17" s="14" t="n">
        <v>84</v>
      </c>
      <c r="J17" s="24" t="n">
        <v>0.1</v>
      </c>
      <c r="R17" s="23" t="s">
        <v>74</v>
      </c>
      <c r="S17" s="14" t="n">
        <v>185.49</v>
      </c>
      <c r="T17" s="24" t="n">
        <v>0.1</v>
      </c>
    </row>
    <row r="18" customFormat="false" ht="15" hidden="false" customHeight="false" outlineLevel="0" collapsed="false">
      <c r="R18" s="23" t="s">
        <v>75</v>
      </c>
      <c r="S18" s="14" t="n">
        <v>128.2</v>
      </c>
      <c r="T18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4059.71</v>
      </c>
      <c r="R4" s="42" t="s">
        <v>58</v>
      </c>
      <c r="S4" s="43" t="n">
        <f aca="false">SUM(P6:P300)</f>
        <v>1199.4617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4059.72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1199.46</v>
      </c>
    </row>
    <row r="6" customFormat="false" ht="15" hidden="false" customHeight="false" outlineLevel="0" collapsed="false">
      <c r="B6" s="26" t="s">
        <v>216</v>
      </c>
      <c r="C6" s="44" t="n">
        <f aca="false">6.95+3.4+7.12+3.42+15.16+10.41+3.21+8.21+13.51+3.29+7.16+3.57+13.04+10.45</f>
        <v>108.9</v>
      </c>
      <c r="D6" s="28" t="n">
        <v>27.5</v>
      </c>
      <c r="E6" s="45" t="n">
        <v>0</v>
      </c>
      <c r="F6" s="30" t="n">
        <f aca="false">(C6*D6)-((C6*D6)*E6)</f>
        <v>2994.75</v>
      </c>
      <c r="H6" s="40" t="s">
        <v>202</v>
      </c>
      <c r="I6" s="41" t="n">
        <f aca="false">I5-I4</f>
        <v>0.0100000000002183</v>
      </c>
      <c r="L6" s="26" t="s">
        <v>217</v>
      </c>
      <c r="M6" s="44" t="n">
        <f aca="false">6.17+4.19+4</f>
        <v>14.36</v>
      </c>
      <c r="N6" s="28" t="n">
        <v>36.97</v>
      </c>
      <c r="O6" s="45" t="n">
        <v>0</v>
      </c>
      <c r="P6" s="30" t="n">
        <f aca="false">(M6*N6)-((M6*N6)*O6)</f>
        <v>530.8892</v>
      </c>
      <c r="R6" s="42" t="s">
        <v>202</v>
      </c>
      <c r="S6" s="43" t="n">
        <f aca="false">S5-S4</f>
        <v>-0.00169999999980064</v>
      </c>
    </row>
    <row r="7" customFormat="false" ht="15" hidden="false" customHeight="false" outlineLevel="0" collapsed="false">
      <c r="B7" s="22" t="s">
        <v>218</v>
      </c>
      <c r="C7" s="46" t="n">
        <f aca="false">2.09+2.12+2.08+2+2.05+2.04+4.19+2.03+2.01+1.94+3.95+2.1</f>
        <v>28.6</v>
      </c>
      <c r="D7" s="16" t="n">
        <v>36.9</v>
      </c>
      <c r="E7" s="47" t="n">
        <v>0</v>
      </c>
      <c r="F7" s="14" t="n">
        <f aca="false">(C7*D7)-((C7*D7)*E7)</f>
        <v>1055.34</v>
      </c>
      <c r="L7" s="22" t="s">
        <v>219</v>
      </c>
      <c r="M7" s="46" t="n">
        <f aca="false">13.34+10.91</f>
        <v>24.25</v>
      </c>
      <c r="N7" s="16" t="n">
        <v>27.57</v>
      </c>
      <c r="O7" s="47" t="n">
        <v>0</v>
      </c>
      <c r="P7" s="14" t="n">
        <f aca="false">(M7*N7)-((M7*N7)*O7)</f>
        <v>668.5725</v>
      </c>
    </row>
    <row r="8" customFormat="false" ht="15" hidden="false" customHeight="false" outlineLevel="0" collapsed="false">
      <c r="B8" s="26" t="s">
        <v>220</v>
      </c>
      <c r="C8" s="44" t="n">
        <v>1</v>
      </c>
      <c r="D8" s="28" t="n">
        <v>1.02</v>
      </c>
      <c r="E8" s="45" t="n">
        <v>0</v>
      </c>
      <c r="F8" s="30" t="n">
        <f aca="false">(C8*D8)-((C8*D8)*E8)</f>
        <v>1.02</v>
      </c>
      <c r="H8" s="48" t="s">
        <v>205</v>
      </c>
      <c r="I8" s="48" t="s">
        <v>62</v>
      </c>
      <c r="J8" s="48" t="s">
        <v>206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220</v>
      </c>
      <c r="C9" s="46" t="n">
        <v>1</v>
      </c>
      <c r="D9" s="16" t="n">
        <v>0.74</v>
      </c>
      <c r="E9" s="47" t="n">
        <v>0</v>
      </c>
      <c r="F9" s="14" t="n">
        <f aca="false">(C9*D9)-((C9*D9)*E9)</f>
        <v>0.74</v>
      </c>
      <c r="H9" s="23" t="s">
        <v>221</v>
      </c>
      <c r="I9" s="14" t="n">
        <v>441</v>
      </c>
      <c r="J9" s="24" t="n">
        <v>0.1</v>
      </c>
      <c r="R9" s="23" t="s">
        <v>76</v>
      </c>
      <c r="S9" s="14" t="n">
        <v>228.11</v>
      </c>
      <c r="T9" s="24" t="n">
        <v>0.1</v>
      </c>
    </row>
    <row r="10" customFormat="false" ht="15" hidden="false" customHeight="false" outlineLevel="0" collapsed="false">
      <c r="B10" s="26" t="s">
        <v>220</v>
      </c>
      <c r="C10" s="44" t="n">
        <v>1</v>
      </c>
      <c r="D10" s="28" t="n">
        <v>1.21</v>
      </c>
      <c r="E10" s="45" t="n">
        <v>0</v>
      </c>
      <c r="F10" s="30" t="n">
        <f aca="false">(C10*D10)-((C10*D10)*E10)</f>
        <v>1.21</v>
      </c>
      <c r="H10" s="23" t="s">
        <v>222</v>
      </c>
      <c r="I10" s="14" t="n">
        <v>290.59</v>
      </c>
      <c r="J10" s="24" t="n">
        <v>0.1</v>
      </c>
      <c r="R10" s="23" t="s">
        <v>77</v>
      </c>
      <c r="S10" s="14" t="n">
        <v>522.68</v>
      </c>
      <c r="T10" s="24" t="n">
        <v>0.1</v>
      </c>
    </row>
    <row r="11" customFormat="false" ht="15" hidden="false" customHeight="false" outlineLevel="0" collapsed="false">
      <c r="B11" s="22" t="s">
        <v>220</v>
      </c>
      <c r="C11" s="46" t="n">
        <v>1</v>
      </c>
      <c r="D11" s="16" t="n">
        <v>1.15</v>
      </c>
      <c r="E11" s="47" t="n">
        <v>0</v>
      </c>
      <c r="F11" s="14" t="n">
        <f aca="false">(C11*D11)-((C11*D11)*E11)</f>
        <v>1.15</v>
      </c>
      <c r="H11" s="23" t="s">
        <v>223</v>
      </c>
      <c r="I11" s="14" t="n">
        <v>494.86</v>
      </c>
      <c r="J11" s="24" t="n">
        <v>0.1</v>
      </c>
      <c r="R11" s="23" t="s">
        <v>78</v>
      </c>
      <c r="S11" s="14" t="n">
        <v>448.67</v>
      </c>
      <c r="T11" s="24" t="n">
        <v>0.1</v>
      </c>
    </row>
    <row r="12" customFormat="false" ht="15" hidden="false" customHeight="false" outlineLevel="0" collapsed="false">
      <c r="B12" s="26" t="s">
        <v>220</v>
      </c>
      <c r="C12" s="44" t="n">
        <v>1</v>
      </c>
      <c r="D12" s="28" t="n">
        <v>0.22</v>
      </c>
      <c r="E12" s="45" t="n">
        <v>0</v>
      </c>
      <c r="F12" s="30" t="n">
        <f aca="false">(C12*D12)-((C12*D12)*E12)</f>
        <v>0.22</v>
      </c>
      <c r="H12" s="23" t="s">
        <v>224</v>
      </c>
      <c r="I12" s="14" t="n">
        <v>512.15</v>
      </c>
      <c r="J12" s="24" t="n">
        <v>0.1</v>
      </c>
    </row>
    <row r="13" customFormat="false" ht="15" hidden="false" customHeight="false" outlineLevel="0" collapsed="false">
      <c r="B13" s="22" t="s">
        <v>220</v>
      </c>
      <c r="C13" s="46" t="n">
        <v>1</v>
      </c>
      <c r="D13" s="16" t="n">
        <v>0.57</v>
      </c>
      <c r="E13" s="47" t="n">
        <v>0</v>
      </c>
      <c r="F13" s="14" t="n">
        <f aca="false">(C13*D13)-((C13*D13)*E13)</f>
        <v>0.57</v>
      </c>
      <c r="H13" s="23" t="s">
        <v>225</v>
      </c>
      <c r="I13" s="14" t="n">
        <v>88.5</v>
      </c>
      <c r="J13" s="24" t="n">
        <v>0.1</v>
      </c>
    </row>
    <row r="14" customFormat="false" ht="15" hidden="false" customHeight="false" outlineLevel="0" collapsed="false">
      <c r="B14" s="26" t="s">
        <v>220</v>
      </c>
      <c r="C14" s="44" t="n">
        <v>1</v>
      </c>
      <c r="D14" s="28" t="n">
        <v>1.47</v>
      </c>
      <c r="E14" s="45" t="n">
        <v>0</v>
      </c>
      <c r="F14" s="30" t="n">
        <f aca="false">(C14*D14)-((C14*D14)*E14)</f>
        <v>1.47</v>
      </c>
      <c r="H14" s="23" t="s">
        <v>226</v>
      </c>
      <c r="I14" s="14" t="n">
        <v>226.35</v>
      </c>
      <c r="J14" s="24" t="n">
        <v>0.1</v>
      </c>
    </row>
    <row r="15" customFormat="false" ht="15" hidden="false" customHeight="false" outlineLevel="0" collapsed="false">
      <c r="B15" s="22" t="s">
        <v>220</v>
      </c>
      <c r="C15" s="46" t="n">
        <v>1</v>
      </c>
      <c r="D15" s="16" t="n">
        <v>1.03</v>
      </c>
      <c r="E15" s="47" t="n">
        <v>0</v>
      </c>
      <c r="F15" s="14" t="n">
        <f aca="false">(C15*D15)-((C15*D15)*E15)</f>
        <v>1.03</v>
      </c>
      <c r="H15" s="23" t="s">
        <v>227</v>
      </c>
      <c r="I15" s="14" t="n">
        <v>618.08</v>
      </c>
      <c r="J15" s="24" t="n">
        <v>0.1</v>
      </c>
    </row>
    <row r="16" customFormat="false" ht="15" hidden="false" customHeight="false" outlineLevel="0" collapsed="false">
      <c r="B16" s="26" t="s">
        <v>220</v>
      </c>
      <c r="C16" s="44" t="n">
        <v>1</v>
      </c>
      <c r="D16" s="28" t="n">
        <v>1.33</v>
      </c>
      <c r="E16" s="45" t="n">
        <v>0</v>
      </c>
      <c r="F16" s="30" t="n">
        <f aca="false">(C16*D16)-((C16*D16)*E16)</f>
        <v>1.33</v>
      </c>
      <c r="H16" s="23" t="s">
        <v>228</v>
      </c>
      <c r="I16" s="14" t="n">
        <v>445.18</v>
      </c>
      <c r="J16" s="24" t="n">
        <v>0.1</v>
      </c>
    </row>
    <row r="17" customFormat="false" ht="15" hidden="false" customHeight="false" outlineLevel="0" collapsed="false">
      <c r="B17" s="22" t="s">
        <v>220</v>
      </c>
      <c r="C17" s="46" t="n">
        <v>1</v>
      </c>
      <c r="D17" s="16" t="n">
        <v>0.88</v>
      </c>
      <c r="E17" s="47" t="n">
        <v>0</v>
      </c>
      <c r="F17" s="14" t="n">
        <f aca="false">(C17*D17)-((C17*D17)*E17)</f>
        <v>0.88</v>
      </c>
      <c r="H17" s="23" t="s">
        <v>229</v>
      </c>
      <c r="I17" s="14" t="n">
        <v>577.26</v>
      </c>
      <c r="J17" s="24" t="n">
        <v>0.1</v>
      </c>
    </row>
    <row r="18" customFormat="false" ht="15" hidden="false" customHeight="false" outlineLevel="0" collapsed="false">
      <c r="H18" s="23" t="s">
        <v>230</v>
      </c>
      <c r="I18" s="14" t="n">
        <v>365.75</v>
      </c>
      <c r="J18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</row>
    <row r="3" customFormat="false" ht="15" hidden="false" customHeight="false" outlineLevel="0" collapsed="false">
      <c r="B3" s="38"/>
      <c r="C3" s="38"/>
      <c r="D3" s="38"/>
      <c r="E3" s="38"/>
      <c r="F3" s="38"/>
    </row>
    <row r="4" customFormat="false" ht="15" hidden="false" customHeight="false" outlineLevel="0" collapsed="false">
      <c r="H4" s="40" t="s">
        <v>58</v>
      </c>
      <c r="I4" s="41" t="n">
        <f aca="false">SUM(F6:F300)</f>
        <v>280.3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280.3</v>
      </c>
    </row>
    <row r="6" customFormat="false" ht="15" hidden="false" customHeight="false" outlineLevel="0" collapsed="false">
      <c r="B6" s="26" t="s">
        <v>231</v>
      </c>
      <c r="C6" s="44" t="n">
        <v>10</v>
      </c>
      <c r="D6" s="28" t="n">
        <v>28.03</v>
      </c>
      <c r="E6" s="45" t="n">
        <v>0</v>
      </c>
      <c r="F6" s="30" t="n">
        <f aca="false">(C6*D6)-((C6*D6)*E6)</f>
        <v>280.3</v>
      </c>
      <c r="H6" s="40" t="s">
        <v>202</v>
      </c>
      <c r="I6" s="41" t="n">
        <f aca="false">I5-I4</f>
        <v>0</v>
      </c>
    </row>
    <row r="8" customFormat="false" ht="15" hidden="false" customHeight="false" outlineLevel="0" collapsed="false">
      <c r="H8" s="48" t="s">
        <v>205</v>
      </c>
      <c r="I8" s="48" t="s">
        <v>62</v>
      </c>
      <c r="J8" s="48" t="s">
        <v>206</v>
      </c>
    </row>
    <row r="9" customFormat="false" ht="15" hidden="false" customHeight="false" outlineLevel="0" collapsed="false">
      <c r="H9" s="23" t="s">
        <v>232</v>
      </c>
      <c r="I9" s="14" t="n">
        <v>280.3</v>
      </c>
      <c r="J9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</row>
    <row r="3" customFormat="false" ht="15" hidden="false" customHeight="false" outlineLevel="0" collapsed="false">
      <c r="B3" s="38"/>
      <c r="C3" s="38"/>
      <c r="D3" s="38"/>
      <c r="E3" s="38"/>
      <c r="F3" s="38"/>
    </row>
    <row r="4" customFormat="false" ht="15" hidden="false" customHeight="false" outlineLevel="0" collapsed="false">
      <c r="H4" s="40" t="s">
        <v>58</v>
      </c>
      <c r="I4" s="41" t="n">
        <f aca="false">SUM(F6:F300)</f>
        <v>339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339</v>
      </c>
    </row>
    <row r="6" customFormat="false" ht="15" hidden="false" customHeight="false" outlineLevel="0" collapsed="false">
      <c r="B6" s="26" t="s">
        <v>233</v>
      </c>
      <c r="C6" s="44" t="n">
        <v>12</v>
      </c>
      <c r="D6" s="28" t="n">
        <v>28.25</v>
      </c>
      <c r="E6" s="45" t="n">
        <v>0</v>
      </c>
      <c r="F6" s="30" t="n">
        <f aca="false">(C6*D6)-((C6*D6)*E6)</f>
        <v>339</v>
      </c>
      <c r="H6" s="40" t="s">
        <v>202</v>
      </c>
      <c r="I6" s="41" t="n">
        <f aca="false">I5-I4</f>
        <v>0</v>
      </c>
    </row>
    <row r="8" customFormat="false" ht="15" hidden="false" customHeight="false" outlineLevel="0" collapsed="false">
      <c r="H8" s="48" t="s">
        <v>205</v>
      </c>
      <c r="I8" s="48" t="s">
        <v>62</v>
      </c>
      <c r="J8" s="48" t="s">
        <v>206</v>
      </c>
    </row>
    <row r="9" customFormat="false" ht="15" hidden="false" customHeight="false" outlineLevel="0" collapsed="false">
      <c r="H9" s="23" t="s">
        <v>234</v>
      </c>
      <c r="I9" s="14" t="n">
        <v>339</v>
      </c>
      <c r="J9" s="24" t="n">
        <v>0.21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1412.40775</v>
      </c>
      <c r="R4" s="42" t="s">
        <v>58</v>
      </c>
      <c r="S4" s="43" t="n">
        <f aca="false">SUM(P6:P300)</f>
        <v>640.25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1412.35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640.26</v>
      </c>
    </row>
    <row r="6" customFormat="false" ht="15" hidden="false" customHeight="false" outlineLevel="0" collapsed="false">
      <c r="B6" s="26" t="s">
        <v>235</v>
      </c>
      <c r="C6" s="44" t="n">
        <f aca="false">8.86+6.715+4.685</f>
        <v>20.26</v>
      </c>
      <c r="D6" s="28" t="n">
        <v>25</v>
      </c>
      <c r="E6" s="45" t="n">
        <v>0</v>
      </c>
      <c r="F6" s="30" t="n">
        <f aca="false">(C6*D6)-((C6*D6)*E6)</f>
        <v>506.5</v>
      </c>
      <c r="H6" s="40" t="s">
        <v>202</v>
      </c>
      <c r="I6" s="41" t="n">
        <f aca="false">I5-I4</f>
        <v>-0.0577499999999418</v>
      </c>
      <c r="L6" s="26" t="s">
        <v>236</v>
      </c>
      <c r="M6" s="44" t="n">
        <f aca="false">6.65+4.375</f>
        <v>11.025</v>
      </c>
      <c r="N6" s="28" t="n">
        <v>35</v>
      </c>
      <c r="O6" s="45" t="n">
        <v>0</v>
      </c>
      <c r="P6" s="30" t="n">
        <f aca="false">(M6*N6)-((M6*N6)*O6)</f>
        <v>385.875</v>
      </c>
      <c r="R6" s="42" t="s">
        <v>202</v>
      </c>
      <c r="S6" s="43" t="n">
        <f aca="false">S5-S4</f>
        <v>0.00999999999999091</v>
      </c>
    </row>
    <row r="7" customFormat="false" ht="15" hidden="false" customHeight="false" outlineLevel="0" collapsed="false">
      <c r="B7" s="22" t="s">
        <v>237</v>
      </c>
      <c r="C7" s="46" t="n">
        <f aca="false">5.11</f>
        <v>5.11</v>
      </c>
      <c r="D7" s="16" t="n">
        <v>10.9</v>
      </c>
      <c r="E7" s="47" t="n">
        <v>0</v>
      </c>
      <c r="F7" s="14" t="n">
        <f aca="false">(C7*D7)-((C7*D7)*E7)</f>
        <v>55.699</v>
      </c>
      <c r="L7" s="22" t="s">
        <v>235</v>
      </c>
      <c r="M7" s="46" t="n">
        <f aca="false">5.925+4.25</f>
        <v>10.175</v>
      </c>
      <c r="N7" s="16" t="n">
        <v>25</v>
      </c>
      <c r="O7" s="47" t="n">
        <v>0</v>
      </c>
      <c r="P7" s="14" t="n">
        <f aca="false">(M7*N7)-((M7*N7)*O7)</f>
        <v>254.375</v>
      </c>
    </row>
    <row r="8" customFormat="false" ht="15" hidden="false" customHeight="false" outlineLevel="0" collapsed="false">
      <c r="B8" s="26" t="s">
        <v>236</v>
      </c>
      <c r="C8" s="44" t="n">
        <f aca="false">5.445+6.48</f>
        <v>11.925</v>
      </c>
      <c r="D8" s="28" t="n">
        <v>34.55</v>
      </c>
      <c r="E8" s="45" t="n">
        <v>0</v>
      </c>
      <c r="F8" s="30" t="n">
        <f aca="false">(C8*D8)-((C8*D8)*E8)</f>
        <v>412.00875</v>
      </c>
      <c r="H8" s="48" t="s">
        <v>205</v>
      </c>
      <c r="I8" s="48" t="s">
        <v>62</v>
      </c>
      <c r="J8" s="48" t="s">
        <v>206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236</v>
      </c>
      <c r="C9" s="46" t="n">
        <f aca="false">5.795+6.725</f>
        <v>12.52</v>
      </c>
      <c r="D9" s="16" t="n">
        <v>35</v>
      </c>
      <c r="E9" s="47" t="n">
        <v>0</v>
      </c>
      <c r="F9" s="14" t="n">
        <f aca="false">(C9*D9)-((C9*D9)*E9)</f>
        <v>438.2</v>
      </c>
      <c r="H9" s="23" t="s">
        <v>238</v>
      </c>
      <c r="I9" s="14" t="n">
        <v>221.5</v>
      </c>
      <c r="J9" s="24" t="n">
        <v>0.1</v>
      </c>
      <c r="R9" s="23" t="s">
        <v>79</v>
      </c>
      <c r="S9" s="14" t="n">
        <v>380.88</v>
      </c>
      <c r="T9" s="24" t="n">
        <v>0.1</v>
      </c>
    </row>
    <row r="10" customFormat="false" ht="15" hidden="false" customHeight="false" outlineLevel="0" collapsed="false">
      <c r="H10" s="23" t="s">
        <v>239</v>
      </c>
      <c r="I10" s="14" t="n">
        <v>243.8</v>
      </c>
      <c r="J10" s="24" t="n">
        <v>0.1</v>
      </c>
      <c r="R10" s="23" t="s">
        <v>80</v>
      </c>
      <c r="S10" s="14" t="n">
        <v>259.38</v>
      </c>
      <c r="T10" s="24" t="n">
        <v>0.1</v>
      </c>
    </row>
    <row r="11" customFormat="false" ht="15" hidden="false" customHeight="false" outlineLevel="0" collapsed="false">
      <c r="H11" s="23" t="s">
        <v>240</v>
      </c>
      <c r="I11" s="14" t="n">
        <v>370.7</v>
      </c>
      <c r="J11" s="24" t="n">
        <v>0.1</v>
      </c>
    </row>
    <row r="12" customFormat="false" ht="15" hidden="false" customHeight="false" outlineLevel="0" collapsed="false">
      <c r="H12" s="23" t="s">
        <v>241</v>
      </c>
      <c r="I12" s="14" t="n">
        <v>340.98</v>
      </c>
      <c r="J12" s="24" t="n">
        <v>0.1</v>
      </c>
    </row>
    <row r="13" customFormat="false" ht="15" hidden="false" customHeight="false" outlineLevel="0" collapsed="false">
      <c r="H13" s="23" t="s">
        <v>242</v>
      </c>
      <c r="I13" s="14" t="n">
        <v>235.37</v>
      </c>
      <c r="J13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</row>
    <row r="3" customFormat="false" ht="15" hidden="false" customHeight="false" outlineLevel="0" collapsed="false">
      <c r="B3" s="38"/>
      <c r="C3" s="38"/>
      <c r="D3" s="38"/>
      <c r="E3" s="38"/>
      <c r="F3" s="38"/>
    </row>
    <row r="4" customFormat="false" ht="15" hidden="false" customHeight="false" outlineLevel="0" collapsed="false">
      <c r="H4" s="40" t="s">
        <v>58</v>
      </c>
      <c r="I4" s="41" t="n">
        <f aca="false">SUM(F6:F300)</f>
        <v>240.66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240.66</v>
      </c>
    </row>
    <row r="6" customFormat="false" ht="15" hidden="false" customHeight="false" outlineLevel="0" collapsed="false">
      <c r="B6" s="26" t="s">
        <v>243</v>
      </c>
      <c r="C6" s="44" t="n">
        <v>1</v>
      </c>
      <c r="D6" s="28" t="n">
        <v>45</v>
      </c>
      <c r="E6" s="45" t="n">
        <v>0</v>
      </c>
      <c r="F6" s="30" t="n">
        <f aca="false">(C6*D6)-((C6*D6)*E6)</f>
        <v>45</v>
      </c>
      <c r="H6" s="40" t="s">
        <v>202</v>
      </c>
      <c r="I6" s="41" t="n">
        <f aca="false">I5-I4</f>
        <v>0</v>
      </c>
    </row>
    <row r="7" customFormat="false" ht="15" hidden="false" customHeight="false" outlineLevel="0" collapsed="false">
      <c r="B7" s="22" t="s">
        <v>244</v>
      </c>
      <c r="C7" s="46" t="n">
        <f aca="false">4.2+4+3</f>
        <v>11.2</v>
      </c>
      <c r="D7" s="16" t="n">
        <v>8.8</v>
      </c>
      <c r="E7" s="47" t="n">
        <v>0</v>
      </c>
      <c r="F7" s="14" t="n">
        <f aca="false">(C7*D7)-((C7*D7)*E7)</f>
        <v>98.56</v>
      </c>
    </row>
    <row r="8" customFormat="false" ht="15" hidden="false" customHeight="false" outlineLevel="0" collapsed="false">
      <c r="B8" s="26" t="s">
        <v>245</v>
      </c>
      <c r="C8" s="44" t="n">
        <v>1</v>
      </c>
      <c r="D8" s="28" t="n">
        <v>52.5</v>
      </c>
      <c r="E8" s="45" t="n">
        <v>0</v>
      </c>
      <c r="F8" s="30" t="n">
        <f aca="false">(C8*D8)-((C8*D8)*E8)</f>
        <v>52.5</v>
      </c>
      <c r="H8" s="48" t="s">
        <v>205</v>
      </c>
      <c r="I8" s="48" t="s">
        <v>62</v>
      </c>
      <c r="J8" s="48" t="s">
        <v>206</v>
      </c>
    </row>
    <row r="9" customFormat="false" ht="15" hidden="false" customHeight="false" outlineLevel="0" collapsed="false">
      <c r="B9" s="22" t="s">
        <v>246</v>
      </c>
      <c r="C9" s="46" t="n">
        <f aca="false">5.2</f>
        <v>5.2</v>
      </c>
      <c r="D9" s="16" t="n">
        <v>3.5</v>
      </c>
      <c r="E9" s="47" t="n">
        <v>0</v>
      </c>
      <c r="F9" s="14" t="n">
        <f aca="false">(C9*D9)-((C9*D9)*E9)</f>
        <v>18.2</v>
      </c>
      <c r="H9" s="23" t="s">
        <v>247</v>
      </c>
      <c r="I9" s="14" t="n">
        <v>81.96</v>
      </c>
      <c r="J9" s="24" t="n">
        <v>0.1</v>
      </c>
    </row>
    <row r="10" customFormat="false" ht="15" hidden="false" customHeight="false" outlineLevel="0" collapsed="false">
      <c r="B10" s="26" t="s">
        <v>248</v>
      </c>
      <c r="C10" s="44" t="n">
        <f aca="false">4.4</f>
        <v>4.4</v>
      </c>
      <c r="D10" s="28" t="n">
        <v>6</v>
      </c>
      <c r="E10" s="45" t="n">
        <v>0</v>
      </c>
      <c r="F10" s="30" t="n">
        <f aca="false">(C10*D10)-((C10*D10)*E10)</f>
        <v>26.4</v>
      </c>
      <c r="H10" s="23" t="s">
        <v>249</v>
      </c>
      <c r="I10" s="14" t="n">
        <v>105.9</v>
      </c>
      <c r="J10" s="24" t="n">
        <v>0.21</v>
      </c>
    </row>
    <row r="11" customFormat="false" ht="15" hidden="false" customHeight="false" outlineLevel="0" collapsed="false">
      <c r="H11" s="23" t="s">
        <v>250</v>
      </c>
      <c r="I11" s="14" t="n">
        <v>52.8</v>
      </c>
      <c r="J11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2124</v>
      </c>
      <c r="R4" s="42" t="s">
        <v>58</v>
      </c>
      <c r="S4" s="43" t="n">
        <f aca="false">SUM(P6:P300)</f>
        <v>457.7196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2124.02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457.72</v>
      </c>
    </row>
    <row r="6" customFormat="false" ht="15" hidden="false" customHeight="false" outlineLevel="0" collapsed="false">
      <c r="B6" s="26" t="s">
        <v>251</v>
      </c>
      <c r="C6" s="44" t="n">
        <v>20</v>
      </c>
      <c r="D6" s="28" t="n">
        <v>4.8</v>
      </c>
      <c r="E6" s="45" t="n">
        <v>0</v>
      </c>
      <c r="F6" s="30" t="n">
        <f aca="false">(C6*D6)-((C6*D6)*E6)</f>
        <v>96</v>
      </c>
      <c r="H6" s="40" t="s">
        <v>202</v>
      </c>
      <c r="I6" s="41" t="n">
        <f aca="false">I5-I4</f>
        <v>0.0199999999999818</v>
      </c>
      <c r="L6" s="26" t="s">
        <v>252</v>
      </c>
      <c r="M6" s="44" t="n">
        <v>3</v>
      </c>
      <c r="N6" s="28" t="n">
        <v>20.28</v>
      </c>
      <c r="O6" s="45" t="n">
        <v>0</v>
      </c>
      <c r="P6" s="30" t="n">
        <f aca="false">(M6*N6)-((M6*N6)*O6)</f>
        <v>60.84</v>
      </c>
      <c r="R6" s="42" t="s">
        <v>202</v>
      </c>
      <c r="S6" s="43" t="n">
        <f aca="false">S5-S4</f>
        <v>0.000399999999956435</v>
      </c>
    </row>
    <row r="7" customFormat="false" ht="15" hidden="false" customHeight="false" outlineLevel="0" collapsed="false">
      <c r="B7" s="22" t="s">
        <v>253</v>
      </c>
      <c r="C7" s="46" t="n">
        <v>36</v>
      </c>
      <c r="D7" s="16" t="n">
        <v>2.504</v>
      </c>
      <c r="E7" s="47" t="n">
        <v>0</v>
      </c>
      <c r="F7" s="14" t="n">
        <f aca="false">(C7*D7)-((C7*D7)*E7)</f>
        <v>90.144</v>
      </c>
      <c r="L7" s="22" t="s">
        <v>254</v>
      </c>
      <c r="M7" s="46" t="n">
        <v>6</v>
      </c>
      <c r="N7" s="16" t="n">
        <v>20.2783</v>
      </c>
      <c r="O7" s="47" t="n">
        <v>0</v>
      </c>
      <c r="P7" s="14" t="n">
        <f aca="false">(M7*N7)-((M7*N7)*O7)</f>
        <v>121.6698</v>
      </c>
    </row>
    <row r="8" customFormat="false" ht="15" hidden="false" customHeight="false" outlineLevel="0" collapsed="false">
      <c r="B8" s="26" t="s">
        <v>255</v>
      </c>
      <c r="C8" s="44" t="n">
        <f aca="false">48+48+96+96+96+144</f>
        <v>528</v>
      </c>
      <c r="D8" s="28" t="n">
        <v>0.845</v>
      </c>
      <c r="E8" s="45" t="n">
        <v>0</v>
      </c>
      <c r="F8" s="30" t="n">
        <f aca="false">(C8*D8)-((C8*D8)*E8)</f>
        <v>446.16</v>
      </c>
      <c r="H8" s="48" t="s">
        <v>205</v>
      </c>
      <c r="I8" s="48" t="s">
        <v>62</v>
      </c>
      <c r="J8" s="48" t="s">
        <v>206</v>
      </c>
      <c r="L8" s="26" t="s">
        <v>256</v>
      </c>
      <c r="M8" s="44" t="n">
        <f aca="false">2+1</f>
        <v>3</v>
      </c>
      <c r="N8" s="28" t="n">
        <v>20.28</v>
      </c>
      <c r="O8" s="45" t="n">
        <v>0</v>
      </c>
      <c r="P8" s="30" t="n">
        <f aca="false">(M8*N8)-((M8*N8)*O8)</f>
        <v>60.84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255</v>
      </c>
      <c r="C9" s="46" t="n">
        <v>21</v>
      </c>
      <c r="D9" s="16" t="n">
        <v>4.8</v>
      </c>
      <c r="E9" s="47" t="n">
        <v>0</v>
      </c>
      <c r="F9" s="14" t="n">
        <f aca="false">(C9*D9)-((C9*D9)*E9)</f>
        <v>100.8</v>
      </c>
      <c r="H9" s="23" t="s">
        <v>257</v>
      </c>
      <c r="I9" s="14" t="n">
        <v>200.66</v>
      </c>
      <c r="J9" s="24" t="n">
        <v>0.21</v>
      </c>
      <c r="L9" s="22" t="s">
        <v>258</v>
      </c>
      <c r="M9" s="46" t="n">
        <v>1</v>
      </c>
      <c r="N9" s="16" t="n">
        <v>15.02</v>
      </c>
      <c r="O9" s="47" t="n">
        <v>0</v>
      </c>
      <c r="P9" s="14" t="n">
        <f aca="false">(M9*N9)-((M9*N9)*O9)</f>
        <v>15.02</v>
      </c>
      <c r="R9" s="23" t="s">
        <v>81</v>
      </c>
      <c r="S9" s="14" t="n">
        <v>238.09</v>
      </c>
      <c r="T9" s="24" t="n">
        <v>0.21</v>
      </c>
    </row>
    <row r="10" customFormat="false" ht="15" hidden="false" customHeight="false" outlineLevel="0" collapsed="false">
      <c r="B10" s="26" t="s">
        <v>259</v>
      </c>
      <c r="C10" s="44" t="n">
        <f aca="false">144+120+168+216+144+360+288</f>
        <v>1440</v>
      </c>
      <c r="D10" s="28" t="n">
        <v>0.845</v>
      </c>
      <c r="E10" s="45" t="n">
        <v>0</v>
      </c>
      <c r="F10" s="30" t="n">
        <f aca="false">(C10*D10)-((C10*D10)*E10)</f>
        <v>1216.8</v>
      </c>
      <c r="H10" s="23" t="s">
        <v>260</v>
      </c>
      <c r="I10" s="14" t="n">
        <v>141.96</v>
      </c>
      <c r="J10" s="24" t="n">
        <v>0.21</v>
      </c>
      <c r="L10" s="26" t="s">
        <v>252</v>
      </c>
      <c r="M10" s="44" t="n">
        <v>6</v>
      </c>
      <c r="N10" s="28" t="n">
        <v>20.2783</v>
      </c>
      <c r="O10" s="45" t="n">
        <v>0</v>
      </c>
      <c r="P10" s="30" t="n">
        <f aca="false">(M10*N10)-((M10*N10)*O10)</f>
        <v>121.6698</v>
      </c>
      <c r="R10" s="23" t="s">
        <v>82</v>
      </c>
      <c r="S10" s="14" t="n">
        <v>223.07</v>
      </c>
      <c r="T10" s="24" t="n">
        <v>0.21</v>
      </c>
    </row>
    <row r="11" customFormat="false" ht="15" hidden="false" customHeight="false" outlineLevel="0" collapsed="false">
      <c r="B11" s="22" t="s">
        <v>261</v>
      </c>
      <c r="C11" s="46" t="n">
        <f aca="false">48+24+72</f>
        <v>144</v>
      </c>
      <c r="D11" s="16" t="n">
        <v>0.845</v>
      </c>
      <c r="E11" s="47" t="n">
        <v>0</v>
      </c>
      <c r="F11" s="14" t="n">
        <f aca="false">(C11*D11)-((C11*D11)*E11)</f>
        <v>121.68</v>
      </c>
      <c r="H11" s="23" t="s">
        <v>262</v>
      </c>
      <c r="I11" s="14" t="n">
        <v>34.96</v>
      </c>
      <c r="J11" s="24" t="n">
        <v>0.1</v>
      </c>
      <c r="L11" s="22" t="s">
        <v>254</v>
      </c>
      <c r="M11" s="46" t="n">
        <v>4</v>
      </c>
      <c r="N11" s="16" t="n">
        <v>20.28</v>
      </c>
      <c r="O11" s="47" t="n">
        <v>0</v>
      </c>
      <c r="P11" s="14" t="n">
        <f aca="false">(M11*N11)-((M11*N11)*O11)</f>
        <v>81.12</v>
      </c>
      <c r="R11" s="23" t="s">
        <v>82</v>
      </c>
      <c r="S11" s="14" t="n">
        <v>34.96</v>
      </c>
      <c r="T11" s="24" t="n">
        <v>0.1</v>
      </c>
    </row>
    <row r="12" customFormat="false" ht="15" hidden="false" customHeight="false" outlineLevel="0" collapsed="false">
      <c r="B12" s="26" t="s">
        <v>263</v>
      </c>
      <c r="C12" s="44" t="n">
        <f aca="false">48+24</f>
        <v>72</v>
      </c>
      <c r="D12" s="28" t="n">
        <v>0.728</v>
      </c>
      <c r="E12" s="45" t="n">
        <v>0</v>
      </c>
      <c r="F12" s="30" t="n">
        <f aca="false">(C12*D12)-((C12*D12)*E12)</f>
        <v>52.416</v>
      </c>
      <c r="H12" s="23" t="s">
        <v>262</v>
      </c>
      <c r="I12" s="14" t="n">
        <v>293.69</v>
      </c>
      <c r="J12" s="24" t="n">
        <v>0.21</v>
      </c>
      <c r="L12" s="26" t="s">
        <v>264</v>
      </c>
      <c r="M12" s="44" t="n">
        <v>2</v>
      </c>
      <c r="N12" s="28" t="n">
        <v>17.48</v>
      </c>
      <c r="O12" s="45" t="n">
        <v>0</v>
      </c>
      <c r="P12" s="30" t="n">
        <f aca="false">(M12*N12)-((M12*N12)*O12)</f>
        <v>34.96</v>
      </c>
      <c r="R12" s="23" t="s">
        <v>83</v>
      </c>
      <c r="S12" s="14" t="n">
        <v>-38.4</v>
      </c>
      <c r="T12" s="24" t="n">
        <v>0.21</v>
      </c>
    </row>
    <row r="13" customFormat="false" ht="15" hidden="false" customHeight="false" outlineLevel="0" collapsed="false">
      <c r="H13" s="23" t="s">
        <v>265</v>
      </c>
      <c r="I13" s="14" t="n">
        <v>48</v>
      </c>
      <c r="J13" s="24" t="n">
        <v>0.21</v>
      </c>
      <c r="L13" s="22" t="s">
        <v>266</v>
      </c>
      <c r="M13" s="46" t="n">
        <v>-8</v>
      </c>
      <c r="N13" s="16" t="n">
        <v>4.8</v>
      </c>
      <c r="O13" s="47" t="n">
        <v>0</v>
      </c>
      <c r="P13" s="14" t="n">
        <f aca="false">(M13*N13)-((M13*N13)*O13)</f>
        <v>-38.4</v>
      </c>
    </row>
    <row r="14" customFormat="false" ht="15" hidden="false" customHeight="false" outlineLevel="0" collapsed="false">
      <c r="H14" s="23" t="s">
        <v>267</v>
      </c>
      <c r="I14" s="14" t="n">
        <v>17.48</v>
      </c>
      <c r="J14" s="24" t="n">
        <v>0.1</v>
      </c>
    </row>
    <row r="15" customFormat="false" ht="15" hidden="false" customHeight="false" outlineLevel="0" collapsed="false">
      <c r="H15" s="23" t="s">
        <v>267</v>
      </c>
      <c r="I15" s="14" t="n">
        <v>287.64</v>
      </c>
      <c r="J15" s="24" t="n">
        <v>0.21</v>
      </c>
    </row>
    <row r="16" customFormat="false" ht="15" hidden="false" customHeight="false" outlineLevel="0" collapsed="false">
      <c r="H16" s="23" t="s">
        <v>268</v>
      </c>
      <c r="I16" s="14" t="n">
        <v>232.84</v>
      </c>
      <c r="J16" s="24" t="n">
        <v>0.21</v>
      </c>
    </row>
    <row r="17" customFormat="false" ht="15" hidden="false" customHeight="false" outlineLevel="0" collapsed="false">
      <c r="H17" s="23" t="s">
        <v>269</v>
      </c>
      <c r="I17" s="14" t="n">
        <v>484.55</v>
      </c>
      <c r="J17" s="24" t="n">
        <v>0.21</v>
      </c>
    </row>
    <row r="18" customFormat="false" ht="15" hidden="false" customHeight="false" outlineLevel="0" collapsed="false">
      <c r="H18" s="23" t="s">
        <v>270</v>
      </c>
      <c r="I18" s="14" t="n">
        <v>334.24</v>
      </c>
      <c r="J18" s="24" t="n">
        <v>0.1</v>
      </c>
    </row>
    <row r="19" customFormat="false" ht="15" hidden="false" customHeight="false" outlineLevel="0" collapsed="false">
      <c r="H19" s="23" t="s">
        <v>271</v>
      </c>
      <c r="I19" s="14" t="n">
        <v>48</v>
      </c>
      <c r="J19" s="24" t="n">
        <v>0.21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705.24</v>
      </c>
      <c r="R4" s="42" t="s">
        <v>58</v>
      </c>
      <c r="S4" s="43" t="n">
        <f aca="false">SUM(P6:P300)</f>
        <v>382.59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705.24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382.59</v>
      </c>
    </row>
    <row r="6" customFormat="false" ht="15" hidden="false" customHeight="false" outlineLevel="0" collapsed="false">
      <c r="B6" s="26" t="s">
        <v>272</v>
      </c>
      <c r="C6" s="44" t="n">
        <f aca="false">12.88+13.24</f>
        <v>26.12</v>
      </c>
      <c r="D6" s="28" t="n">
        <v>27</v>
      </c>
      <c r="E6" s="45" t="n">
        <v>0</v>
      </c>
      <c r="F6" s="30" t="n">
        <f aca="false">(C6*D6)-((C6*D6)*E6)</f>
        <v>705.24</v>
      </c>
      <c r="H6" s="40" t="s">
        <v>202</v>
      </c>
      <c r="I6" s="41" t="n">
        <f aca="false">I5-I4</f>
        <v>0</v>
      </c>
      <c r="L6" s="26" t="s">
        <v>272</v>
      </c>
      <c r="M6" s="44" t="n">
        <v>14.17</v>
      </c>
      <c r="N6" s="28" t="n">
        <v>27</v>
      </c>
      <c r="O6" s="45" t="n">
        <v>0</v>
      </c>
      <c r="P6" s="30" t="n">
        <f aca="false">(M6*N6)-((M6*N6)*O6)</f>
        <v>382.59</v>
      </c>
      <c r="R6" s="42" t="s">
        <v>202</v>
      </c>
      <c r="S6" s="43" t="n">
        <f aca="false">S5-S4</f>
        <v>0</v>
      </c>
    </row>
    <row r="8" customFormat="false" ht="15" hidden="false" customHeight="false" outlineLevel="0" collapsed="false">
      <c r="H8" s="48" t="s">
        <v>205</v>
      </c>
      <c r="I8" s="48" t="s">
        <v>62</v>
      </c>
      <c r="J8" s="48" t="s">
        <v>206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H9" s="23" t="s">
        <v>273</v>
      </c>
      <c r="I9" s="14" t="n">
        <v>347.76</v>
      </c>
      <c r="J9" s="24" t="n">
        <v>0.1</v>
      </c>
      <c r="R9" s="23" t="s">
        <v>84</v>
      </c>
      <c r="S9" s="14" t="n">
        <v>382.59</v>
      </c>
      <c r="T9" s="24" t="n">
        <v>0.1</v>
      </c>
    </row>
    <row r="10" customFormat="false" ht="15" hidden="false" customHeight="false" outlineLevel="0" collapsed="false">
      <c r="H10" s="23" t="s">
        <v>274</v>
      </c>
      <c r="I10" s="14" t="n">
        <v>357.48</v>
      </c>
      <c r="J10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3739.93872</v>
      </c>
      <c r="R4" s="42" t="s">
        <v>58</v>
      </c>
      <c r="S4" s="43" t="n">
        <f aca="false">SUM(P6:P300)</f>
        <v>1061.59088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3739.92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1061.59</v>
      </c>
    </row>
    <row r="6" customFormat="false" ht="15" hidden="false" customHeight="false" outlineLevel="0" collapsed="false">
      <c r="B6" s="26" t="s">
        <v>275</v>
      </c>
      <c r="C6" s="44" t="n">
        <f aca="false">8+8+8+8+8+8</f>
        <v>48</v>
      </c>
      <c r="D6" s="28" t="n">
        <v>16.9</v>
      </c>
      <c r="E6" s="45" t="n">
        <v>0.02</v>
      </c>
      <c r="F6" s="30" t="n">
        <f aca="false">(C6*D6)-((C6*D6)*E6)</f>
        <v>794.976</v>
      </c>
      <c r="H6" s="40" t="s">
        <v>202</v>
      </c>
      <c r="I6" s="41" t="n">
        <f aca="false">I5-I4</f>
        <v>-0.0187200000000303</v>
      </c>
      <c r="L6" s="26" t="s">
        <v>275</v>
      </c>
      <c r="M6" s="44" t="n">
        <f aca="false">8+8</f>
        <v>16</v>
      </c>
      <c r="N6" s="28" t="n">
        <v>16.9</v>
      </c>
      <c r="O6" s="45" t="n">
        <v>0.02</v>
      </c>
      <c r="P6" s="30" t="n">
        <f aca="false">(M6*N6)-((M6*N6)*O6)</f>
        <v>264.992</v>
      </c>
      <c r="R6" s="42" t="s">
        <v>202</v>
      </c>
      <c r="S6" s="43" t="n">
        <f aca="false">S5-S4</f>
        <v>-0.00088000000005195</v>
      </c>
    </row>
    <row r="7" customFormat="false" ht="15" hidden="false" customHeight="false" outlineLevel="0" collapsed="false">
      <c r="B7" s="22" t="s">
        <v>276</v>
      </c>
      <c r="C7" s="46" t="n">
        <f aca="false">16+16+16+16</f>
        <v>64</v>
      </c>
      <c r="D7" s="16" t="n">
        <v>28.66</v>
      </c>
      <c r="E7" s="47" t="n">
        <v>0.02</v>
      </c>
      <c r="F7" s="14" t="n">
        <f aca="false">(C7*D7)-((C7*D7)*E7)</f>
        <v>1797.5552</v>
      </c>
      <c r="L7" s="22" t="s">
        <v>277</v>
      </c>
      <c r="M7" s="46" t="n">
        <v>24</v>
      </c>
      <c r="N7" s="16" t="n">
        <v>5.86</v>
      </c>
      <c r="O7" s="47" t="n">
        <v>0.02</v>
      </c>
      <c r="P7" s="14" t="n">
        <f aca="false">(M7*N7)-((M7*N7)*O7)</f>
        <v>137.8272</v>
      </c>
    </row>
    <row r="8" customFormat="false" ht="15" hidden="false" customHeight="false" outlineLevel="0" collapsed="false">
      <c r="B8" s="26" t="s">
        <v>277</v>
      </c>
      <c r="C8" s="44" t="n">
        <f aca="false">24+24</f>
        <v>48</v>
      </c>
      <c r="D8" s="28" t="n">
        <v>5.86</v>
      </c>
      <c r="E8" s="45" t="n">
        <v>0.02</v>
      </c>
      <c r="F8" s="30" t="n">
        <f aca="false">(C8*D8)-((C8*D8)*E8)</f>
        <v>275.6544</v>
      </c>
      <c r="H8" s="48" t="s">
        <v>205</v>
      </c>
      <c r="I8" s="48" t="s">
        <v>62</v>
      </c>
      <c r="J8" s="48" t="s">
        <v>206</v>
      </c>
      <c r="L8" s="26" t="s">
        <v>276</v>
      </c>
      <c r="M8" s="44" t="n">
        <v>16</v>
      </c>
      <c r="N8" s="28" t="n">
        <v>28.66</v>
      </c>
      <c r="O8" s="45" t="n">
        <v>0.02</v>
      </c>
      <c r="P8" s="30" t="n">
        <f aca="false">(M8*N8)-((M8*N8)*O8)</f>
        <v>449.3888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278</v>
      </c>
      <c r="C9" s="46" t="n">
        <v>25</v>
      </c>
      <c r="D9" s="16" t="n">
        <v>5.86</v>
      </c>
      <c r="E9" s="47" t="n">
        <v>0.02</v>
      </c>
      <c r="F9" s="14" t="n">
        <f aca="false">(C9*D9)-((C9*D9)*E9)</f>
        <v>143.57</v>
      </c>
      <c r="H9" s="23" t="s">
        <v>279</v>
      </c>
      <c r="I9" s="14" t="n">
        <v>719.71</v>
      </c>
      <c r="J9" s="24" t="n">
        <v>0.1</v>
      </c>
      <c r="L9" s="22" t="s">
        <v>280</v>
      </c>
      <c r="M9" s="46" t="n">
        <v>24</v>
      </c>
      <c r="N9" s="16" t="n">
        <v>5.96</v>
      </c>
      <c r="O9" s="47" t="n">
        <v>0.02</v>
      </c>
      <c r="P9" s="14" t="n">
        <f aca="false">(M9*N9)-((M9*N9)*O9)</f>
        <v>140.1792</v>
      </c>
      <c r="R9" s="23" t="s">
        <v>85</v>
      </c>
      <c r="S9" s="14" t="n">
        <v>859.89</v>
      </c>
      <c r="T9" s="24" t="n">
        <v>0.1</v>
      </c>
    </row>
    <row r="10" customFormat="false" ht="15" hidden="false" customHeight="false" outlineLevel="0" collapsed="false">
      <c r="B10" s="26" t="s">
        <v>281</v>
      </c>
      <c r="C10" s="44" t="n">
        <v>24</v>
      </c>
      <c r="D10" s="28" t="n">
        <v>11.4</v>
      </c>
      <c r="E10" s="45" t="n">
        <v>0.02</v>
      </c>
      <c r="F10" s="30" t="n">
        <f aca="false">(C10*D10)-((C10*D10)*E10)</f>
        <v>268.128</v>
      </c>
      <c r="H10" s="23" t="s">
        <v>282</v>
      </c>
      <c r="I10" s="14" t="n">
        <v>993.58</v>
      </c>
      <c r="J10" s="24" t="n">
        <v>0.1</v>
      </c>
      <c r="L10" s="26" t="s">
        <v>283</v>
      </c>
      <c r="M10" s="44" t="n">
        <v>1.94</v>
      </c>
      <c r="N10" s="28" t="n">
        <v>36.4</v>
      </c>
      <c r="O10" s="45" t="n">
        <v>0.02</v>
      </c>
      <c r="P10" s="30" t="n">
        <f aca="false">(M10*N10)-((M10*N10)*O10)</f>
        <v>69.20368</v>
      </c>
      <c r="R10" s="23" t="s">
        <v>86</v>
      </c>
      <c r="S10" s="14" t="n">
        <v>201.7</v>
      </c>
      <c r="T10" s="24" t="n">
        <v>0.1</v>
      </c>
    </row>
    <row r="11" customFormat="false" ht="15" hidden="false" customHeight="false" outlineLevel="0" collapsed="false">
      <c r="B11" s="22" t="s">
        <v>284</v>
      </c>
      <c r="C11" s="46" t="n">
        <v>18</v>
      </c>
      <c r="D11" s="16" t="n">
        <v>20.6</v>
      </c>
      <c r="E11" s="47" t="n">
        <v>0.02</v>
      </c>
      <c r="F11" s="14" t="n">
        <f aca="false">(C11*D11)-((C11*D11)*E11)</f>
        <v>363.384</v>
      </c>
      <c r="H11" s="23" t="s">
        <v>285</v>
      </c>
      <c r="I11" s="14" t="n">
        <v>270.32</v>
      </c>
      <c r="J11" s="24" t="n">
        <v>0.1</v>
      </c>
    </row>
    <row r="12" customFormat="false" ht="15" hidden="false" customHeight="false" outlineLevel="0" collapsed="false">
      <c r="B12" s="26" t="s">
        <v>283</v>
      </c>
      <c r="C12" s="44" t="n">
        <v>2.71</v>
      </c>
      <c r="D12" s="28" t="n">
        <v>36.4</v>
      </c>
      <c r="E12" s="45" t="n">
        <v>0.02</v>
      </c>
      <c r="F12" s="30" t="n">
        <f aca="false">(C12*D12)-((C12*D12)*E12)</f>
        <v>96.67112</v>
      </c>
      <c r="H12" s="23" t="s">
        <v>286</v>
      </c>
      <c r="I12" s="14" t="n">
        <v>132.5</v>
      </c>
      <c r="J12" s="24" t="n">
        <v>0.1</v>
      </c>
    </row>
    <row r="13" customFormat="false" ht="15" hidden="false" customHeight="false" outlineLevel="0" collapsed="false">
      <c r="H13" s="23" t="s">
        <v>287</v>
      </c>
      <c r="I13" s="14" t="n">
        <v>812.77</v>
      </c>
      <c r="J13" s="24" t="n">
        <v>0.1</v>
      </c>
    </row>
    <row r="14" customFormat="false" ht="15" hidden="false" customHeight="false" outlineLevel="0" collapsed="false">
      <c r="H14" s="23" t="s">
        <v>288</v>
      </c>
      <c r="I14" s="14" t="n">
        <v>229.16</v>
      </c>
      <c r="J14" s="24" t="n">
        <v>0.1</v>
      </c>
    </row>
    <row r="15" customFormat="false" ht="15" hidden="false" customHeight="false" outlineLevel="0" collapsed="false">
      <c r="H15" s="23" t="s">
        <v>289</v>
      </c>
      <c r="I15" s="14" t="n">
        <v>581.88</v>
      </c>
      <c r="J15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1086.025</v>
      </c>
      <c r="R4" s="42" t="s">
        <v>58</v>
      </c>
      <c r="S4" s="43" t="n">
        <f aca="false">SUM(P6:P300)</f>
        <v>890.28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1086.03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890.28</v>
      </c>
    </row>
    <row r="6" customFormat="false" ht="15" hidden="false" customHeight="false" outlineLevel="0" collapsed="false">
      <c r="B6" s="26" t="s">
        <v>290</v>
      </c>
      <c r="C6" s="44" t="n">
        <f aca="false">2+1</f>
        <v>3</v>
      </c>
      <c r="D6" s="28" t="n">
        <v>45</v>
      </c>
      <c r="E6" s="45" t="n">
        <v>0</v>
      </c>
      <c r="F6" s="30" t="n">
        <f aca="false">(C6*D6)-((C6*D6)*E6)</f>
        <v>135</v>
      </c>
      <c r="H6" s="40" t="s">
        <v>202</v>
      </c>
      <c r="I6" s="41" t="n">
        <f aca="false">I5-I4</f>
        <v>0.00499999999988177</v>
      </c>
      <c r="L6" s="26" t="s">
        <v>290</v>
      </c>
      <c r="M6" s="44" t="n">
        <f aca="false">1+1+1+1</f>
        <v>4</v>
      </c>
      <c r="N6" s="28" t="n">
        <v>45</v>
      </c>
      <c r="O6" s="45" t="n">
        <v>0</v>
      </c>
      <c r="P6" s="30" t="n">
        <f aca="false">(M6*N6)-((M6*N6)*O6)</f>
        <v>180</v>
      </c>
      <c r="R6" s="42" t="s">
        <v>202</v>
      </c>
      <c r="S6" s="43" t="n">
        <f aca="false">S5-S4</f>
        <v>0</v>
      </c>
    </row>
    <row r="7" customFormat="false" ht="15" hidden="false" customHeight="false" outlineLevel="0" collapsed="false">
      <c r="B7" s="22" t="s">
        <v>244</v>
      </c>
      <c r="C7" s="46" t="n">
        <f aca="false">4.5+8.5+4.3+8.8+3.8+9.8+7.8</f>
        <v>47.5</v>
      </c>
      <c r="D7" s="16" t="n">
        <v>8.8</v>
      </c>
      <c r="E7" s="47" t="n">
        <v>0</v>
      </c>
      <c r="F7" s="14" t="n">
        <f aca="false">(C7*D7)-((C7*D7)*E7)</f>
        <v>418</v>
      </c>
      <c r="L7" s="22" t="s">
        <v>244</v>
      </c>
      <c r="M7" s="46" t="n">
        <f aca="false">3.9+4.1+3.1+3.9+6.8+6.9+7.4</f>
        <v>36.1</v>
      </c>
      <c r="N7" s="16" t="n">
        <v>8.8</v>
      </c>
      <c r="O7" s="47" t="n">
        <v>0</v>
      </c>
      <c r="P7" s="14" t="n">
        <f aca="false">(M7*N7)-((M7*N7)*O7)</f>
        <v>317.68</v>
      </c>
    </row>
    <row r="8" customFormat="false" ht="15" hidden="false" customHeight="false" outlineLevel="0" collapsed="false">
      <c r="B8" s="26" t="s">
        <v>291</v>
      </c>
      <c r="C8" s="44" t="n">
        <f aca="false">1+1+1</f>
        <v>3</v>
      </c>
      <c r="D8" s="28" t="n">
        <v>52.5</v>
      </c>
      <c r="E8" s="45" t="n">
        <v>0</v>
      </c>
      <c r="F8" s="30" t="n">
        <f aca="false">(C8*D8)-((C8*D8)*E8)</f>
        <v>157.5</v>
      </c>
      <c r="H8" s="48" t="s">
        <v>205</v>
      </c>
      <c r="I8" s="48" t="s">
        <v>62</v>
      </c>
      <c r="J8" s="48" t="s">
        <v>206</v>
      </c>
      <c r="L8" s="26" t="s">
        <v>292</v>
      </c>
      <c r="M8" s="44" t="n">
        <v>6</v>
      </c>
      <c r="N8" s="28" t="n">
        <v>2</v>
      </c>
      <c r="O8" s="45" t="n">
        <v>0</v>
      </c>
      <c r="P8" s="30" t="n">
        <f aca="false">(M8*N8)-((M8*N8)*O8)</f>
        <v>12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246</v>
      </c>
      <c r="C9" s="46" t="n">
        <f aca="false">5.5+5.5+6.5</f>
        <v>17.5</v>
      </c>
      <c r="D9" s="16" t="n">
        <v>3.5</v>
      </c>
      <c r="E9" s="47" t="n">
        <v>0</v>
      </c>
      <c r="F9" s="14" t="n">
        <f aca="false">(C9*D9)-((C9*D9)*E9)</f>
        <v>61.25</v>
      </c>
      <c r="H9" s="23" t="s">
        <v>293</v>
      </c>
      <c r="I9" s="14" t="n">
        <v>84.6</v>
      </c>
      <c r="J9" s="24" t="n">
        <v>0.1</v>
      </c>
      <c r="L9" s="22" t="s">
        <v>294</v>
      </c>
      <c r="M9" s="46" t="n">
        <v>6</v>
      </c>
      <c r="N9" s="16" t="n">
        <v>3</v>
      </c>
      <c r="O9" s="47" t="n">
        <v>0</v>
      </c>
      <c r="P9" s="14" t="n">
        <f aca="false">(M9*N9)-((M9*N9)*O9)</f>
        <v>18</v>
      </c>
      <c r="R9" s="23" t="s">
        <v>87</v>
      </c>
      <c r="S9" s="14" t="n">
        <v>45</v>
      </c>
      <c r="T9" s="24" t="n">
        <v>0.1</v>
      </c>
    </row>
    <row r="10" customFormat="false" ht="15" hidden="false" customHeight="false" outlineLevel="0" collapsed="false">
      <c r="B10" s="26" t="s">
        <v>295</v>
      </c>
      <c r="C10" s="44" t="n">
        <v>3.8</v>
      </c>
      <c r="D10" s="28" t="n">
        <v>36</v>
      </c>
      <c r="E10" s="45" t="n">
        <v>0</v>
      </c>
      <c r="F10" s="30" t="n">
        <f aca="false">(C10*D10)-((C10*D10)*E10)</f>
        <v>136.8</v>
      </c>
      <c r="H10" s="23" t="s">
        <v>296</v>
      </c>
      <c r="I10" s="14" t="n">
        <v>172.3</v>
      </c>
      <c r="J10" s="24" t="n">
        <v>0.1</v>
      </c>
      <c r="L10" s="26" t="s">
        <v>297</v>
      </c>
      <c r="M10" s="44" t="n">
        <v>8.6</v>
      </c>
      <c r="N10" s="28" t="n">
        <v>9</v>
      </c>
      <c r="O10" s="45" t="n">
        <v>0</v>
      </c>
      <c r="P10" s="30" t="n">
        <f aca="false">(M10*N10)-((M10*N10)*O10)</f>
        <v>77.4</v>
      </c>
      <c r="R10" s="23" t="s">
        <v>88</v>
      </c>
      <c r="S10" s="14" t="n">
        <v>285.02</v>
      </c>
      <c r="T10" s="24" t="n">
        <v>0.1</v>
      </c>
    </row>
    <row r="11" customFormat="false" ht="15" hidden="false" customHeight="false" outlineLevel="0" collapsed="false">
      <c r="B11" s="22" t="s">
        <v>248</v>
      </c>
      <c r="C11" s="46" t="n">
        <f aca="false">4.4+5.1</f>
        <v>9.5</v>
      </c>
      <c r="D11" s="16" t="n">
        <v>6</v>
      </c>
      <c r="E11" s="47" t="n">
        <v>0</v>
      </c>
      <c r="F11" s="14" t="n">
        <f aca="false">(C11*D11)-((C11*D11)*E11)</f>
        <v>57</v>
      </c>
      <c r="H11" s="23" t="s">
        <v>298</v>
      </c>
      <c r="I11" s="14" t="n">
        <v>57.09</v>
      </c>
      <c r="J11" s="24" t="n">
        <v>0.1</v>
      </c>
      <c r="L11" s="22" t="s">
        <v>299</v>
      </c>
      <c r="M11" s="46" t="n">
        <v>4</v>
      </c>
      <c r="N11" s="16" t="n">
        <v>8.5</v>
      </c>
      <c r="O11" s="47" t="n">
        <v>0</v>
      </c>
      <c r="P11" s="14" t="n">
        <f aca="false">(M11*N11)-((M11*N11)*O11)</f>
        <v>34</v>
      </c>
      <c r="R11" s="23" t="s">
        <v>89</v>
      </c>
      <c r="S11" s="14" t="n">
        <v>111.68</v>
      </c>
      <c r="T11" s="24" t="n">
        <v>0.1</v>
      </c>
    </row>
    <row r="12" customFormat="false" ht="15" hidden="false" customHeight="false" outlineLevel="0" collapsed="false">
      <c r="B12" s="26" t="s">
        <v>300</v>
      </c>
      <c r="C12" s="44" t="n">
        <v>5.9</v>
      </c>
      <c r="D12" s="28" t="n">
        <v>3.5</v>
      </c>
      <c r="E12" s="45" t="n">
        <v>0</v>
      </c>
      <c r="F12" s="30" t="n">
        <f aca="false">(C12*D12)-((C12*D12)*E12)</f>
        <v>20.65</v>
      </c>
      <c r="H12" s="23" t="s">
        <v>301</v>
      </c>
      <c r="I12" s="14" t="n">
        <v>208.55</v>
      </c>
      <c r="J12" s="24" t="n">
        <v>0.1</v>
      </c>
      <c r="L12" s="26" t="s">
        <v>302</v>
      </c>
      <c r="M12" s="44" t="n">
        <v>6.4</v>
      </c>
      <c r="N12" s="28" t="n">
        <v>11.5</v>
      </c>
      <c r="O12" s="45" t="n">
        <v>0</v>
      </c>
      <c r="P12" s="30" t="n">
        <f aca="false">(M12*N12)-((M12*N12)*O12)</f>
        <v>73.6</v>
      </c>
      <c r="R12" s="23" t="s">
        <v>90</v>
      </c>
      <c r="S12" s="14" t="n">
        <v>27.28</v>
      </c>
      <c r="T12" s="24" t="n">
        <v>0.1</v>
      </c>
    </row>
    <row r="13" customFormat="false" ht="15" hidden="false" customHeight="false" outlineLevel="0" collapsed="false">
      <c r="B13" s="22" t="s">
        <v>303</v>
      </c>
      <c r="C13" s="46" t="n">
        <v>4.9</v>
      </c>
      <c r="D13" s="16" t="n">
        <v>3.75</v>
      </c>
      <c r="E13" s="47" t="n">
        <v>0</v>
      </c>
      <c r="F13" s="14" t="n">
        <f aca="false">(C13*D13)-((C13*D13)*E13)</f>
        <v>18.375</v>
      </c>
      <c r="H13" s="23" t="s">
        <v>304</v>
      </c>
      <c r="I13" s="14" t="n">
        <v>77.44</v>
      </c>
      <c r="J13" s="24" t="n">
        <v>0.1</v>
      </c>
      <c r="L13" s="22" t="s">
        <v>305</v>
      </c>
      <c r="M13" s="46" t="n">
        <v>4.2</v>
      </c>
      <c r="N13" s="16" t="n">
        <v>8.5</v>
      </c>
      <c r="O13" s="47" t="n">
        <v>0</v>
      </c>
      <c r="P13" s="14" t="n">
        <f aca="false">(M13*N13)-((M13*N13)*O13)</f>
        <v>35.7</v>
      </c>
      <c r="R13" s="23" t="s">
        <v>91</v>
      </c>
      <c r="S13" s="14" t="n">
        <v>67.32</v>
      </c>
      <c r="T13" s="24" t="n">
        <v>0.1</v>
      </c>
    </row>
    <row r="14" customFormat="false" ht="15" hidden="false" customHeight="false" outlineLevel="0" collapsed="false">
      <c r="B14" s="26" t="s">
        <v>306</v>
      </c>
      <c r="C14" s="44" t="n">
        <v>3</v>
      </c>
      <c r="D14" s="28" t="n">
        <v>12.5</v>
      </c>
      <c r="E14" s="45" t="n">
        <v>0</v>
      </c>
      <c r="F14" s="30" t="n">
        <f aca="false">(C14*D14)-((C14*D14)*E14)</f>
        <v>37.5</v>
      </c>
      <c r="H14" s="23" t="s">
        <v>307</v>
      </c>
      <c r="I14" s="14" t="n">
        <v>71.4</v>
      </c>
      <c r="J14" s="24" t="n">
        <v>0.1</v>
      </c>
      <c r="L14" s="26" t="s">
        <v>248</v>
      </c>
      <c r="M14" s="44" t="n">
        <f aca="false">5.1+5.5+4.3</f>
        <v>14.9</v>
      </c>
      <c r="N14" s="28" t="n">
        <v>6</v>
      </c>
      <c r="O14" s="45" t="n">
        <v>0</v>
      </c>
      <c r="P14" s="30" t="n">
        <f aca="false">(M14*N14)-((M14*N14)*O14)</f>
        <v>89.4</v>
      </c>
      <c r="R14" s="23" t="s">
        <v>92</v>
      </c>
      <c r="S14" s="14" t="n">
        <v>45</v>
      </c>
      <c r="T14" s="24" t="n">
        <v>0.1</v>
      </c>
    </row>
    <row r="15" customFormat="false" ht="15" hidden="false" customHeight="false" outlineLevel="0" collapsed="false">
      <c r="B15" s="22" t="s">
        <v>305</v>
      </c>
      <c r="C15" s="46" t="n">
        <v>2</v>
      </c>
      <c r="D15" s="16" t="n">
        <v>8.5</v>
      </c>
      <c r="E15" s="47" t="n">
        <v>0</v>
      </c>
      <c r="F15" s="14" t="n">
        <f aca="false">(C15*D15)-((C15*D15)*E15)</f>
        <v>17</v>
      </c>
      <c r="H15" s="23" t="s">
        <v>308</v>
      </c>
      <c r="I15" s="14" t="n">
        <v>64.04</v>
      </c>
      <c r="J15" s="24" t="n">
        <v>0.1</v>
      </c>
      <c r="L15" s="22" t="s">
        <v>291</v>
      </c>
      <c r="M15" s="46" t="n">
        <v>1</v>
      </c>
      <c r="N15" s="16" t="n">
        <v>52.5</v>
      </c>
      <c r="O15" s="47" t="n">
        <v>0</v>
      </c>
      <c r="P15" s="14" t="n">
        <f aca="false">(M15*N15)-((M15*N15)*O15)</f>
        <v>52.5</v>
      </c>
      <c r="R15" s="23" t="s">
        <v>93</v>
      </c>
      <c r="S15" s="14" t="n">
        <v>104.84</v>
      </c>
      <c r="T15" s="24" t="n">
        <v>0.1</v>
      </c>
    </row>
    <row r="16" customFormat="false" ht="15" hidden="false" customHeight="false" outlineLevel="0" collapsed="false">
      <c r="B16" s="26" t="s">
        <v>309</v>
      </c>
      <c r="C16" s="44" t="n">
        <v>2.1</v>
      </c>
      <c r="D16" s="28" t="n">
        <v>4.5</v>
      </c>
      <c r="E16" s="45" t="n">
        <v>0</v>
      </c>
      <c r="F16" s="30" t="n">
        <f aca="false">(C16*D16)-((C16*D16)*E16)</f>
        <v>9.45</v>
      </c>
      <c r="H16" s="23" t="s">
        <v>310</v>
      </c>
      <c r="I16" s="14" t="n">
        <v>161.49</v>
      </c>
      <c r="J16" s="24" t="n">
        <v>0.1</v>
      </c>
      <c r="R16" s="23" t="s">
        <v>94</v>
      </c>
      <c r="S16" s="14" t="n">
        <v>60.72</v>
      </c>
      <c r="T16" s="24" t="n">
        <v>0.1</v>
      </c>
    </row>
    <row r="17" customFormat="false" ht="15" hidden="false" customHeight="false" outlineLevel="0" collapsed="false">
      <c r="B17" s="22" t="s">
        <v>299</v>
      </c>
      <c r="C17" s="46" t="n">
        <v>1</v>
      </c>
      <c r="D17" s="16" t="n">
        <v>8.5</v>
      </c>
      <c r="E17" s="47" t="n">
        <v>0</v>
      </c>
      <c r="F17" s="14" t="n">
        <f aca="false">(C17*D17)-((C17*D17)*E17)</f>
        <v>8.5</v>
      </c>
      <c r="H17" s="23" t="s">
        <v>311</v>
      </c>
      <c r="I17" s="14" t="n">
        <v>189.12</v>
      </c>
      <c r="J17" s="24" t="n">
        <v>0.1</v>
      </c>
      <c r="R17" s="23" t="s">
        <v>95</v>
      </c>
      <c r="S17" s="14" t="n">
        <v>143.42</v>
      </c>
      <c r="T17" s="24" t="n">
        <v>0.1</v>
      </c>
    </row>
    <row r="18" customFormat="false" ht="15" hidden="false" customHeight="false" outlineLevel="0" collapsed="false">
      <c r="B18" s="26" t="s">
        <v>312</v>
      </c>
      <c r="C18" s="44" t="n">
        <v>1</v>
      </c>
      <c r="D18" s="28" t="n">
        <v>9</v>
      </c>
      <c r="E18" s="45" t="n">
        <v>0</v>
      </c>
      <c r="F18" s="30" t="n">
        <f aca="false">(C18*D18)-((C18*D18)*E18)</f>
        <v>9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1970.464</v>
      </c>
      <c r="R4" s="42" t="s">
        <v>58</v>
      </c>
      <c r="S4" s="43" t="n">
        <f aca="false">SUM(P6:P300)</f>
        <v>772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1970.46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772</v>
      </c>
    </row>
    <row r="6" customFormat="false" ht="15" hidden="false" customHeight="false" outlineLevel="0" collapsed="false">
      <c r="B6" s="26" t="s">
        <v>313</v>
      </c>
      <c r="C6" s="44" t="n">
        <f aca="false">18+3+3+3+6+3+6+3+4+3</f>
        <v>52</v>
      </c>
      <c r="D6" s="28" t="n">
        <v>26</v>
      </c>
      <c r="E6" s="45" t="n">
        <v>0</v>
      </c>
      <c r="F6" s="30" t="n">
        <f aca="false">(C6*D6)-((C6*D6)*E6)</f>
        <v>1352</v>
      </c>
      <c r="H6" s="40" t="s">
        <v>202</v>
      </c>
      <c r="I6" s="41" t="n">
        <f aca="false">I5-I4</f>
        <v>-0.00399999999990541</v>
      </c>
      <c r="L6" s="26" t="s">
        <v>314</v>
      </c>
      <c r="M6" s="44" t="n">
        <v>-5</v>
      </c>
      <c r="N6" s="28" t="n">
        <v>22</v>
      </c>
      <c r="O6" s="45" t="n">
        <v>0</v>
      </c>
      <c r="P6" s="30" t="n">
        <f aca="false">(M6*N6)-((M6*N6)*O6)</f>
        <v>-110</v>
      </c>
      <c r="R6" s="42" t="s">
        <v>202</v>
      </c>
      <c r="S6" s="43" t="n">
        <f aca="false">S5-S4</f>
        <v>0</v>
      </c>
    </row>
    <row r="7" customFormat="false" ht="15" hidden="false" customHeight="false" outlineLevel="0" collapsed="false">
      <c r="B7" s="22" t="s">
        <v>315</v>
      </c>
      <c r="C7" s="46" t="n">
        <v>4.84</v>
      </c>
      <c r="D7" s="16" t="n">
        <v>59.6</v>
      </c>
      <c r="E7" s="47" t="n">
        <v>0</v>
      </c>
      <c r="F7" s="14" t="n">
        <f aca="false">(C7*D7)-((C7*D7)*E7)</f>
        <v>288.464</v>
      </c>
      <c r="L7" s="22" t="s">
        <v>316</v>
      </c>
      <c r="M7" s="46" t="n">
        <v>-2</v>
      </c>
      <c r="N7" s="16" t="n">
        <v>59.8</v>
      </c>
      <c r="O7" s="47" t="n">
        <v>0</v>
      </c>
      <c r="P7" s="14" t="n">
        <f aca="false">(M7*N7)-((M7*N7)*O7)</f>
        <v>-119.6</v>
      </c>
    </row>
    <row r="8" customFormat="false" ht="15" hidden="false" customHeight="false" outlineLevel="0" collapsed="false">
      <c r="B8" s="26" t="s">
        <v>317</v>
      </c>
      <c r="C8" s="44" t="n">
        <f aca="false">4.5+6+6</f>
        <v>16.5</v>
      </c>
      <c r="D8" s="28" t="n">
        <v>20</v>
      </c>
      <c r="E8" s="45" t="n">
        <v>0</v>
      </c>
      <c r="F8" s="30" t="n">
        <f aca="false">(C8*D8)-((C8*D8)*E8)</f>
        <v>330</v>
      </c>
      <c r="H8" s="48" t="s">
        <v>205</v>
      </c>
      <c r="I8" s="48" t="s">
        <v>62</v>
      </c>
      <c r="J8" s="48" t="s">
        <v>206</v>
      </c>
      <c r="L8" s="26" t="s">
        <v>315</v>
      </c>
      <c r="M8" s="44" t="n">
        <v>2</v>
      </c>
      <c r="N8" s="28" t="n">
        <v>59.8</v>
      </c>
      <c r="O8" s="45" t="n">
        <v>0</v>
      </c>
      <c r="P8" s="30" t="n">
        <f aca="false">(M8*N8)-((M8*N8)*O8)</f>
        <v>119.6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H9" s="23" t="s">
        <v>318</v>
      </c>
      <c r="I9" s="14" t="n">
        <v>78</v>
      </c>
      <c r="J9" s="24" t="n">
        <v>0.1</v>
      </c>
      <c r="L9" s="22" t="s">
        <v>313</v>
      </c>
      <c r="M9" s="46" t="n">
        <f aca="false">3+3+3+3+3+3+3+6</f>
        <v>27</v>
      </c>
      <c r="N9" s="16" t="n">
        <v>26</v>
      </c>
      <c r="O9" s="47" t="n">
        <v>0</v>
      </c>
      <c r="P9" s="14" t="n">
        <f aca="false">(M9*N9)-((M9*N9)*O9)</f>
        <v>702</v>
      </c>
      <c r="R9" s="23" t="s">
        <v>96</v>
      </c>
      <c r="S9" s="14" t="n">
        <v>-229.6</v>
      </c>
      <c r="T9" s="24" t="n">
        <v>0.1</v>
      </c>
    </row>
    <row r="10" customFormat="false" ht="15" hidden="false" customHeight="false" outlineLevel="0" collapsed="false">
      <c r="H10" s="23" t="s">
        <v>319</v>
      </c>
      <c r="I10" s="14" t="n">
        <v>156</v>
      </c>
      <c r="J10" s="24" t="n">
        <v>0.1</v>
      </c>
      <c r="L10" s="26" t="s">
        <v>317</v>
      </c>
      <c r="M10" s="44" t="n">
        <f aca="false">4.5+4.5</f>
        <v>9</v>
      </c>
      <c r="N10" s="28" t="n">
        <v>20</v>
      </c>
      <c r="O10" s="45" t="n">
        <v>0</v>
      </c>
      <c r="P10" s="30" t="n">
        <f aca="false">(M10*N10)-((M10*N10)*O10)</f>
        <v>180</v>
      </c>
      <c r="R10" s="23" t="s">
        <v>97</v>
      </c>
      <c r="S10" s="14" t="n">
        <v>119.6</v>
      </c>
      <c r="T10" s="24" t="n">
        <v>0.1</v>
      </c>
    </row>
    <row r="11" customFormat="false" ht="15" hidden="false" customHeight="false" outlineLevel="0" collapsed="false">
      <c r="H11" s="23" t="s">
        <v>320</v>
      </c>
      <c r="I11" s="14" t="n">
        <v>288.46</v>
      </c>
      <c r="J11" s="24" t="n">
        <v>0.1</v>
      </c>
      <c r="R11" s="23" t="s">
        <v>98</v>
      </c>
      <c r="S11" s="14" t="n">
        <v>78</v>
      </c>
      <c r="T11" s="24" t="n">
        <v>0.1</v>
      </c>
    </row>
    <row r="12" customFormat="false" ht="15" hidden="false" customHeight="false" outlineLevel="0" collapsed="false">
      <c r="H12" s="23" t="s">
        <v>321</v>
      </c>
      <c r="I12" s="14" t="n">
        <v>156</v>
      </c>
      <c r="J12" s="24" t="n">
        <v>0.1</v>
      </c>
      <c r="R12" s="23" t="s">
        <v>99</v>
      </c>
      <c r="S12" s="14" t="n">
        <v>78</v>
      </c>
      <c r="T12" s="24" t="n">
        <v>0.1</v>
      </c>
    </row>
    <row r="13" customFormat="false" ht="15" hidden="false" customHeight="false" outlineLevel="0" collapsed="false">
      <c r="H13" s="23" t="s">
        <v>322</v>
      </c>
      <c r="I13" s="14" t="n">
        <v>78</v>
      </c>
      <c r="J13" s="24" t="n">
        <v>0.1</v>
      </c>
      <c r="R13" s="23" t="s">
        <v>100</v>
      </c>
      <c r="S13" s="14" t="n">
        <v>78</v>
      </c>
      <c r="T13" s="24" t="n">
        <v>0.1</v>
      </c>
    </row>
    <row r="14" customFormat="false" ht="15" hidden="false" customHeight="false" outlineLevel="0" collapsed="false">
      <c r="H14" s="23" t="s">
        <v>323</v>
      </c>
      <c r="I14" s="14" t="n">
        <v>90</v>
      </c>
      <c r="J14" s="24" t="n">
        <v>0.1</v>
      </c>
      <c r="R14" s="23" t="s">
        <v>101</v>
      </c>
      <c r="S14" s="14" t="n">
        <v>78</v>
      </c>
      <c r="T14" s="24" t="n">
        <v>0.1</v>
      </c>
    </row>
    <row r="15" customFormat="false" ht="15" hidden="false" customHeight="false" outlineLevel="0" collapsed="false">
      <c r="H15" s="23" t="s">
        <v>324</v>
      </c>
      <c r="I15" s="14" t="n">
        <v>78</v>
      </c>
      <c r="J15" s="24" t="n">
        <v>0.1</v>
      </c>
      <c r="R15" s="23" t="s">
        <v>102</v>
      </c>
      <c r="S15" s="14" t="n">
        <v>78</v>
      </c>
      <c r="T15" s="24" t="n">
        <v>0.1</v>
      </c>
    </row>
    <row r="16" customFormat="false" ht="15" hidden="false" customHeight="false" outlineLevel="0" collapsed="false">
      <c r="H16" s="23" t="s">
        <v>325</v>
      </c>
      <c r="I16" s="14" t="n">
        <v>78</v>
      </c>
      <c r="J16" s="24" t="n">
        <v>0.1</v>
      </c>
      <c r="R16" s="23" t="s">
        <v>103</v>
      </c>
      <c r="S16" s="14" t="n">
        <v>168</v>
      </c>
      <c r="T16" s="24" t="n">
        <v>0.1</v>
      </c>
    </row>
    <row r="17" customFormat="false" ht="15" hidden="false" customHeight="false" outlineLevel="0" collapsed="false">
      <c r="H17" s="23" t="s">
        <v>326</v>
      </c>
      <c r="I17" s="14" t="n">
        <v>198</v>
      </c>
      <c r="J17" s="24" t="n">
        <v>0.1</v>
      </c>
      <c r="R17" s="23" t="s">
        <v>104</v>
      </c>
      <c r="S17" s="14" t="n">
        <v>78</v>
      </c>
      <c r="T17" s="24" t="n">
        <v>0.1</v>
      </c>
    </row>
    <row r="18" customFormat="false" ht="15" hidden="false" customHeight="false" outlineLevel="0" collapsed="false">
      <c r="H18" s="23" t="s">
        <v>327</v>
      </c>
      <c r="I18" s="14" t="n">
        <v>156</v>
      </c>
      <c r="J18" s="24" t="n">
        <v>0.1</v>
      </c>
      <c r="R18" s="23" t="s">
        <v>105</v>
      </c>
      <c r="S18" s="14" t="n">
        <v>246</v>
      </c>
      <c r="T18" s="24" t="n">
        <v>0.1</v>
      </c>
    </row>
    <row r="19" customFormat="false" ht="15" hidden="false" customHeight="false" outlineLevel="0" collapsed="false">
      <c r="H19" s="23" t="s">
        <v>328</v>
      </c>
      <c r="I19" s="14" t="n">
        <v>78</v>
      </c>
      <c r="J19" s="24" t="n">
        <v>0.1</v>
      </c>
    </row>
    <row r="20" customFormat="false" ht="15" hidden="false" customHeight="false" outlineLevel="0" collapsed="false">
      <c r="H20" s="23" t="s">
        <v>329</v>
      </c>
      <c r="I20" s="14" t="n">
        <v>120</v>
      </c>
      <c r="J20" s="24" t="n">
        <v>0.1</v>
      </c>
    </row>
    <row r="21" customFormat="false" ht="15" hidden="false" customHeight="false" outlineLevel="0" collapsed="false">
      <c r="H21" s="23" t="s">
        <v>330</v>
      </c>
      <c r="I21" s="14" t="n">
        <v>156</v>
      </c>
      <c r="J21" s="24" t="n">
        <v>0.1</v>
      </c>
    </row>
    <row r="22" customFormat="false" ht="15" hidden="false" customHeight="false" outlineLevel="0" collapsed="false">
      <c r="H22" s="23" t="s">
        <v>331</v>
      </c>
      <c r="I22" s="14" t="n">
        <v>78</v>
      </c>
      <c r="J22" s="24" t="n">
        <v>0.1</v>
      </c>
    </row>
    <row r="23" customFormat="false" ht="15" hidden="false" customHeight="false" outlineLevel="0" collapsed="false">
      <c r="H23" s="23" t="s">
        <v>332</v>
      </c>
      <c r="I23" s="14" t="n">
        <v>104</v>
      </c>
      <c r="J23" s="24" t="n">
        <v>0.1</v>
      </c>
    </row>
    <row r="24" customFormat="false" ht="15" hidden="false" customHeight="false" outlineLevel="0" collapsed="false">
      <c r="H24" s="23" t="s">
        <v>333</v>
      </c>
      <c r="I24" s="14" t="n">
        <v>78</v>
      </c>
      <c r="J24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1032.66</v>
      </c>
      <c r="R4" s="42" t="s">
        <v>58</v>
      </c>
      <c r="S4" s="43" t="n">
        <f aca="false">SUM(P6:P300)</f>
        <v>381.21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1032.66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381.21</v>
      </c>
    </row>
    <row r="6" customFormat="false" ht="15" hidden="false" customHeight="false" outlineLevel="0" collapsed="false">
      <c r="B6" s="26" t="s">
        <v>41</v>
      </c>
      <c r="C6" s="44" t="n">
        <v>4</v>
      </c>
      <c r="D6" s="28" t="n">
        <v>17.73</v>
      </c>
      <c r="E6" s="45" t="n">
        <v>0</v>
      </c>
      <c r="F6" s="30" t="n">
        <f aca="false">(C6*D6)-((C6*D6)*E6)</f>
        <v>70.92</v>
      </c>
      <c r="H6" s="40" t="s">
        <v>202</v>
      </c>
      <c r="I6" s="41" t="n">
        <f aca="false">I5-I4</f>
        <v>0</v>
      </c>
      <c r="L6" s="26" t="s">
        <v>334</v>
      </c>
      <c r="M6" s="44" t="n">
        <f aca="false">2+2+3</f>
        <v>7</v>
      </c>
      <c r="N6" s="28" t="n">
        <v>11.48</v>
      </c>
      <c r="O6" s="45" t="n">
        <v>0</v>
      </c>
      <c r="P6" s="30" t="n">
        <f aca="false">(M6*N6)-((M6*N6)*O6)</f>
        <v>80.36</v>
      </c>
      <c r="R6" s="42" t="s">
        <v>202</v>
      </c>
      <c r="S6" s="43" t="n">
        <f aca="false">S5-S4</f>
        <v>0</v>
      </c>
    </row>
    <row r="7" customFormat="false" ht="15" hidden="false" customHeight="false" outlineLevel="0" collapsed="false">
      <c r="B7" s="22" t="s">
        <v>334</v>
      </c>
      <c r="C7" s="46" t="n">
        <f aca="false">5+2+1+2+2+2</f>
        <v>14</v>
      </c>
      <c r="D7" s="16" t="n">
        <v>11.48</v>
      </c>
      <c r="E7" s="47" t="n">
        <v>0</v>
      </c>
      <c r="F7" s="14" t="n">
        <f aca="false">(C7*D7)-((C7*D7)*E7)</f>
        <v>160.72</v>
      </c>
      <c r="L7" s="22" t="s">
        <v>335</v>
      </c>
      <c r="M7" s="46" t="n">
        <f aca="false">1+2+3+3+3</f>
        <v>12</v>
      </c>
      <c r="N7" s="16" t="n">
        <v>17.73</v>
      </c>
      <c r="O7" s="47" t="n">
        <v>0</v>
      </c>
      <c r="P7" s="14" t="n">
        <f aca="false">(M7*N7)-((M7*N7)*O7)</f>
        <v>212.76</v>
      </c>
    </row>
    <row r="8" customFormat="false" ht="15" hidden="false" customHeight="false" outlineLevel="0" collapsed="false">
      <c r="B8" s="26" t="s">
        <v>335</v>
      </c>
      <c r="C8" s="44" t="n">
        <f aca="false">3+4+3+2+4+4+5+4</f>
        <v>29</v>
      </c>
      <c r="D8" s="28" t="n">
        <v>17.73</v>
      </c>
      <c r="E8" s="45" t="n">
        <v>0</v>
      </c>
      <c r="F8" s="30" t="n">
        <f aca="false">(C8*D8)-((C8*D8)*E8)</f>
        <v>514.17</v>
      </c>
      <c r="H8" s="48" t="s">
        <v>205</v>
      </c>
      <c r="I8" s="48" t="s">
        <v>62</v>
      </c>
      <c r="J8" s="48" t="s">
        <v>206</v>
      </c>
      <c r="L8" s="26" t="s">
        <v>336</v>
      </c>
      <c r="M8" s="44" t="n">
        <v>1</v>
      </c>
      <c r="N8" s="28" t="n">
        <v>88.09</v>
      </c>
      <c r="O8" s="45" t="n">
        <v>0</v>
      </c>
      <c r="P8" s="30" t="n">
        <f aca="false">(M8*N8)-((M8*N8)*O8)</f>
        <v>88.09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336</v>
      </c>
      <c r="C9" s="46" t="n">
        <f aca="false">1+1+1</f>
        <v>3</v>
      </c>
      <c r="D9" s="16" t="n">
        <v>88.09</v>
      </c>
      <c r="E9" s="47" t="n">
        <v>0</v>
      </c>
      <c r="F9" s="14" t="n">
        <f aca="false">(C9*D9)-((C9*D9)*E9)</f>
        <v>264.27</v>
      </c>
      <c r="H9" s="23" t="s">
        <v>337</v>
      </c>
      <c r="I9" s="14" t="n">
        <v>105.36</v>
      </c>
      <c r="J9" s="24" t="n">
        <v>0.04</v>
      </c>
      <c r="R9" s="23" t="s">
        <v>106</v>
      </c>
      <c r="S9" s="14" t="n">
        <v>88.09</v>
      </c>
      <c r="T9" s="24" t="n">
        <v>0.1</v>
      </c>
    </row>
    <row r="10" customFormat="false" ht="15" hidden="false" customHeight="false" outlineLevel="0" collapsed="false">
      <c r="B10" s="26" t="s">
        <v>338</v>
      </c>
      <c r="C10" s="44" t="n">
        <f aca="false">1+1</f>
        <v>2</v>
      </c>
      <c r="D10" s="28" t="n">
        <v>11.29</v>
      </c>
      <c r="E10" s="45" t="n">
        <v>0</v>
      </c>
      <c r="F10" s="30" t="n">
        <f aca="false">(C10*D10)-((C10*D10)*E10)</f>
        <v>22.58</v>
      </c>
      <c r="H10" s="23" t="s">
        <v>339</v>
      </c>
      <c r="I10" s="14" t="n">
        <v>88.09</v>
      </c>
      <c r="J10" s="24" t="n">
        <v>0.1</v>
      </c>
      <c r="R10" s="23" t="s">
        <v>106</v>
      </c>
      <c r="S10" s="14" t="n">
        <v>40.69</v>
      </c>
      <c r="T10" s="24" t="n">
        <v>0.04</v>
      </c>
    </row>
    <row r="11" customFormat="false" ht="15" hidden="false" customHeight="false" outlineLevel="0" collapsed="false">
      <c r="H11" s="23" t="s">
        <v>339</v>
      </c>
      <c r="I11" s="14" t="n">
        <v>76.15</v>
      </c>
      <c r="J11" s="24" t="n">
        <v>0.04</v>
      </c>
      <c r="R11" s="23" t="s">
        <v>107</v>
      </c>
      <c r="S11" s="14" t="n">
        <v>35.46</v>
      </c>
      <c r="T11" s="24" t="n">
        <v>0.04</v>
      </c>
    </row>
    <row r="12" customFormat="false" ht="15" hidden="false" customHeight="false" outlineLevel="0" collapsed="false">
      <c r="H12" s="23" t="s">
        <v>340</v>
      </c>
      <c r="I12" s="14" t="n">
        <v>105.17</v>
      </c>
      <c r="J12" s="24" t="n">
        <v>0.04</v>
      </c>
      <c r="R12" s="23" t="s">
        <v>108</v>
      </c>
      <c r="S12" s="14" t="n">
        <v>76.15</v>
      </c>
      <c r="T12" s="24" t="n">
        <v>0.04</v>
      </c>
    </row>
    <row r="13" customFormat="false" ht="15" hidden="false" customHeight="false" outlineLevel="0" collapsed="false">
      <c r="H13" s="23" t="s">
        <v>341</v>
      </c>
      <c r="I13" s="14" t="n">
        <v>88.09</v>
      </c>
      <c r="J13" s="24" t="n">
        <v>0.1</v>
      </c>
      <c r="R13" s="23" t="s">
        <v>109</v>
      </c>
      <c r="S13" s="14" t="n">
        <v>53.19</v>
      </c>
      <c r="T13" s="24" t="n">
        <v>0.04</v>
      </c>
    </row>
    <row r="14" customFormat="false" ht="15" hidden="false" customHeight="false" outlineLevel="0" collapsed="false">
      <c r="H14" s="23" t="s">
        <v>341</v>
      </c>
      <c r="I14" s="14" t="n">
        <v>75.96</v>
      </c>
      <c r="J14" s="24" t="n">
        <v>0.04</v>
      </c>
      <c r="R14" s="23" t="s">
        <v>110</v>
      </c>
      <c r="S14" s="14" t="n">
        <v>87.63</v>
      </c>
      <c r="T14" s="24" t="n">
        <v>0.04</v>
      </c>
    </row>
    <row r="15" customFormat="false" ht="15" hidden="false" customHeight="false" outlineLevel="0" collapsed="false">
      <c r="H15" s="23" t="s">
        <v>342</v>
      </c>
      <c r="I15" s="14" t="n">
        <v>35.46</v>
      </c>
      <c r="J15" s="24" t="n">
        <v>0.04</v>
      </c>
    </row>
    <row r="16" customFormat="false" ht="15" hidden="false" customHeight="false" outlineLevel="0" collapsed="false">
      <c r="H16" s="23" t="s">
        <v>343</v>
      </c>
      <c r="I16" s="14" t="n">
        <v>93.88</v>
      </c>
      <c r="J16" s="24" t="n">
        <v>0.04</v>
      </c>
    </row>
    <row r="17" customFormat="false" ht="15" hidden="false" customHeight="false" outlineLevel="0" collapsed="false">
      <c r="H17" s="23" t="s">
        <v>344</v>
      </c>
      <c r="I17" s="14" t="n">
        <v>88.09</v>
      </c>
      <c r="J17" s="24" t="n">
        <v>0.1</v>
      </c>
    </row>
    <row r="18" customFormat="false" ht="15" hidden="false" customHeight="false" outlineLevel="0" collapsed="false">
      <c r="H18" s="23" t="s">
        <v>344</v>
      </c>
      <c r="I18" s="14" t="n">
        <v>93.88</v>
      </c>
      <c r="J18" s="24" t="n">
        <v>0.04</v>
      </c>
    </row>
    <row r="19" customFormat="false" ht="15" hidden="false" customHeight="false" outlineLevel="0" collapsed="false">
      <c r="H19" s="23" t="s">
        <v>345</v>
      </c>
      <c r="I19" s="14" t="n">
        <v>88.65</v>
      </c>
      <c r="J19" s="24" t="n">
        <v>0.04</v>
      </c>
    </row>
    <row r="20" customFormat="false" ht="15" hidden="false" customHeight="false" outlineLevel="0" collapsed="false">
      <c r="H20" s="23" t="s">
        <v>346</v>
      </c>
      <c r="I20" s="14" t="n">
        <v>93.88</v>
      </c>
      <c r="J20" s="24" t="n">
        <v>0.04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1295.5</v>
      </c>
      <c r="R4" s="42" t="s">
        <v>58</v>
      </c>
      <c r="S4" s="43" t="n">
        <f aca="false">SUM(P6:P300)</f>
        <v>318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1295.5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318</v>
      </c>
    </row>
    <row r="6" customFormat="false" ht="15" hidden="false" customHeight="false" outlineLevel="0" collapsed="false">
      <c r="B6" s="26" t="s">
        <v>347</v>
      </c>
      <c r="C6" s="44" t="n">
        <f aca="false">8+8+8+8</f>
        <v>32</v>
      </c>
      <c r="D6" s="28" t="n">
        <v>19</v>
      </c>
      <c r="E6" s="45" t="n">
        <v>0</v>
      </c>
      <c r="F6" s="30" t="n">
        <f aca="false">(C6*D6)-((C6*D6)*E6)</f>
        <v>608</v>
      </c>
      <c r="H6" s="40" t="s">
        <v>202</v>
      </c>
      <c r="I6" s="41" t="n">
        <f aca="false">I5-I4</f>
        <v>0</v>
      </c>
      <c r="L6" s="26" t="s">
        <v>348</v>
      </c>
      <c r="M6" s="44" t="n">
        <f aca="false">2+2</f>
        <v>4</v>
      </c>
      <c r="N6" s="28" t="n">
        <v>41.5</v>
      </c>
      <c r="O6" s="45" t="n">
        <v>0</v>
      </c>
      <c r="P6" s="30" t="n">
        <f aca="false">(M6*N6)-((M6*N6)*O6)</f>
        <v>166</v>
      </c>
      <c r="R6" s="42" t="s">
        <v>202</v>
      </c>
      <c r="S6" s="43" t="n">
        <f aca="false">S5-S4</f>
        <v>0</v>
      </c>
    </row>
    <row r="7" customFormat="false" ht="15" hidden="false" customHeight="false" outlineLevel="0" collapsed="false">
      <c r="B7" s="22" t="s">
        <v>348</v>
      </c>
      <c r="C7" s="46" t="n">
        <f aca="false">2+4+1+3+3</f>
        <v>13</v>
      </c>
      <c r="D7" s="16" t="n">
        <v>41.5</v>
      </c>
      <c r="E7" s="47" t="n">
        <v>0</v>
      </c>
      <c r="F7" s="14" t="n">
        <f aca="false">(C7*D7)-((C7*D7)*E7)</f>
        <v>539.5</v>
      </c>
      <c r="L7" s="22" t="s">
        <v>347</v>
      </c>
      <c r="M7" s="46" t="n">
        <v>8</v>
      </c>
      <c r="N7" s="16" t="n">
        <v>19</v>
      </c>
      <c r="O7" s="47" t="n">
        <v>0</v>
      </c>
      <c r="P7" s="14" t="n">
        <f aca="false">(M7*N7)-((M7*N7)*O7)</f>
        <v>152</v>
      </c>
    </row>
    <row r="8" customFormat="false" ht="15" hidden="false" customHeight="false" outlineLevel="0" collapsed="false">
      <c r="B8" s="26" t="s">
        <v>349</v>
      </c>
      <c r="C8" s="44" t="n">
        <v>8</v>
      </c>
      <c r="D8" s="28" t="n">
        <v>18.5</v>
      </c>
      <c r="E8" s="45" t="n">
        <v>0</v>
      </c>
      <c r="F8" s="30" t="n">
        <f aca="false">(C8*D8)-((C8*D8)*E8)</f>
        <v>148</v>
      </c>
      <c r="H8" s="48" t="s">
        <v>205</v>
      </c>
      <c r="I8" s="48" t="s">
        <v>62</v>
      </c>
      <c r="J8" s="48" t="s">
        <v>206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H9" s="23" t="s">
        <v>350</v>
      </c>
      <c r="I9" s="14" t="n">
        <v>152</v>
      </c>
      <c r="J9" s="24" t="n">
        <v>0.1</v>
      </c>
      <c r="R9" s="23" t="s">
        <v>111</v>
      </c>
      <c r="S9" s="14" t="n">
        <v>83</v>
      </c>
      <c r="T9" s="24" t="n">
        <v>0.1</v>
      </c>
    </row>
    <row r="10" customFormat="false" ht="15" hidden="false" customHeight="false" outlineLevel="0" collapsed="false">
      <c r="H10" s="23" t="s">
        <v>351</v>
      </c>
      <c r="I10" s="14" t="n">
        <v>83</v>
      </c>
      <c r="J10" s="24" t="n">
        <v>0.1</v>
      </c>
      <c r="R10" s="23" t="s">
        <v>112</v>
      </c>
      <c r="S10" s="14" t="n">
        <v>235</v>
      </c>
      <c r="T10" s="24" t="n">
        <v>0.1</v>
      </c>
    </row>
    <row r="11" customFormat="false" ht="15" hidden="false" customHeight="false" outlineLevel="0" collapsed="false">
      <c r="H11" s="23" t="s">
        <v>352</v>
      </c>
      <c r="I11" s="14" t="n">
        <v>314</v>
      </c>
      <c r="J11" s="24" t="n">
        <v>0.1</v>
      </c>
    </row>
    <row r="12" customFormat="false" ht="15" hidden="false" customHeight="false" outlineLevel="0" collapsed="false">
      <c r="H12" s="23" t="s">
        <v>353</v>
      </c>
      <c r="I12" s="14" t="n">
        <v>193.5</v>
      </c>
      <c r="J12" s="24" t="n">
        <v>0.1</v>
      </c>
    </row>
    <row r="13" customFormat="false" ht="15" hidden="false" customHeight="false" outlineLevel="0" collapsed="false">
      <c r="H13" s="23" t="s">
        <v>354</v>
      </c>
      <c r="I13" s="14" t="n">
        <v>276.5</v>
      </c>
      <c r="J13" s="24" t="n">
        <v>0.1</v>
      </c>
    </row>
    <row r="14" customFormat="false" ht="15" hidden="false" customHeight="false" outlineLevel="0" collapsed="false">
      <c r="H14" s="23" t="s">
        <v>355</v>
      </c>
      <c r="I14" s="14" t="n">
        <v>276.5</v>
      </c>
      <c r="J14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3131.64</v>
      </c>
      <c r="R4" s="42" t="s">
        <v>58</v>
      </c>
      <c r="S4" s="43" t="n">
        <f aca="false">SUM(P6:P300)</f>
        <v>1320.36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3131.64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1320.36</v>
      </c>
    </row>
    <row r="6" customFormat="false" ht="15" hidden="false" customHeight="false" outlineLevel="0" collapsed="false">
      <c r="B6" s="26" t="s">
        <v>356</v>
      </c>
      <c r="C6" s="44" t="n">
        <f aca="false">(23)*6</f>
        <v>138</v>
      </c>
      <c r="D6" s="28" t="n">
        <v>11.42</v>
      </c>
      <c r="E6" s="45" t="n">
        <v>0</v>
      </c>
      <c r="F6" s="30" t="n">
        <f aca="false">(C6*D6)-((C6*D6)*E6)</f>
        <v>1575.96</v>
      </c>
      <c r="H6" s="40" t="s">
        <v>202</v>
      </c>
      <c r="I6" s="41" t="n">
        <f aca="false">I5-I4</f>
        <v>0</v>
      </c>
      <c r="L6" s="26" t="s">
        <v>356</v>
      </c>
      <c r="M6" s="44" t="n">
        <f aca="false">(8+2)*6</f>
        <v>60</v>
      </c>
      <c r="N6" s="28" t="n">
        <v>11.42</v>
      </c>
      <c r="O6" s="45" t="n">
        <v>0</v>
      </c>
      <c r="P6" s="30" t="n">
        <f aca="false">(M6*N6)-((M6*N6)*O6)</f>
        <v>685.2</v>
      </c>
      <c r="R6" s="42" t="s">
        <v>202</v>
      </c>
      <c r="S6" s="43" t="n">
        <f aca="false">S5-S4</f>
        <v>0</v>
      </c>
    </row>
    <row r="7" customFormat="false" ht="15" hidden="false" customHeight="false" outlineLevel="0" collapsed="false">
      <c r="B7" s="22" t="s">
        <v>357</v>
      </c>
      <c r="C7" s="46" t="n">
        <f aca="false">(2)*6</f>
        <v>12</v>
      </c>
      <c r="D7" s="16" t="n">
        <v>15.12</v>
      </c>
      <c r="E7" s="47" t="n">
        <v>0</v>
      </c>
      <c r="F7" s="14" t="n">
        <f aca="false">(C7*D7)-((C7*D7)*E7)</f>
        <v>181.44</v>
      </c>
      <c r="L7" s="22" t="s">
        <v>358</v>
      </c>
      <c r="M7" s="46" t="n">
        <f aca="false">(3)*6</f>
        <v>18</v>
      </c>
      <c r="N7" s="16" t="n">
        <v>9.02</v>
      </c>
      <c r="O7" s="47" t="n">
        <v>0</v>
      </c>
      <c r="P7" s="14" t="n">
        <f aca="false">(M7*N7)-((M7*N7)*O7)</f>
        <v>162.36</v>
      </c>
    </row>
    <row r="8" customFormat="false" ht="15" hidden="false" customHeight="false" outlineLevel="0" collapsed="false">
      <c r="B8" s="26" t="s">
        <v>358</v>
      </c>
      <c r="C8" s="44" t="n">
        <f aca="false">(6)*6</f>
        <v>36</v>
      </c>
      <c r="D8" s="28" t="n">
        <v>9.02</v>
      </c>
      <c r="E8" s="45" t="n">
        <v>0</v>
      </c>
      <c r="F8" s="30" t="n">
        <f aca="false">(C8*D8)-((C8*D8)*E8)</f>
        <v>324.72</v>
      </c>
      <c r="H8" s="48" t="s">
        <v>205</v>
      </c>
      <c r="I8" s="48" t="s">
        <v>62</v>
      </c>
      <c r="J8" s="48" t="s">
        <v>206</v>
      </c>
      <c r="L8" s="26" t="s">
        <v>359</v>
      </c>
      <c r="M8" s="44" t="n">
        <f aca="false">(5+3)*6</f>
        <v>48</v>
      </c>
      <c r="N8" s="28" t="n">
        <v>2.82</v>
      </c>
      <c r="O8" s="45" t="n">
        <v>0</v>
      </c>
      <c r="P8" s="30" t="n">
        <f aca="false">(M8*N8)-((M8*N8)*O8)</f>
        <v>135.36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360</v>
      </c>
      <c r="C9" s="46" t="n">
        <f aca="false">(3)*6</f>
        <v>18</v>
      </c>
      <c r="D9" s="16" t="n">
        <v>16.1</v>
      </c>
      <c r="E9" s="47" t="n">
        <v>0</v>
      </c>
      <c r="F9" s="14" t="n">
        <f aca="false">(C9*D9)-((C9*D9)*E9)</f>
        <v>289.8</v>
      </c>
      <c r="H9" s="23" t="s">
        <v>361</v>
      </c>
      <c r="I9" s="14" t="n">
        <v>137.04</v>
      </c>
      <c r="J9" s="24" t="n">
        <v>0.21</v>
      </c>
      <c r="L9" s="22" t="s">
        <v>362</v>
      </c>
      <c r="M9" s="46" t="n">
        <f aca="false">(2+2)*12</f>
        <v>48</v>
      </c>
      <c r="N9" s="16" t="n">
        <v>7.03</v>
      </c>
      <c r="O9" s="47" t="n">
        <v>0</v>
      </c>
      <c r="P9" s="14" t="n">
        <f aca="false">(M9*N9)-((M9*N9)*O9)</f>
        <v>337.44</v>
      </c>
      <c r="R9" s="23" t="s">
        <v>113</v>
      </c>
      <c r="S9" s="14" t="n">
        <v>795.12</v>
      </c>
      <c r="T9" s="24" t="n">
        <v>0.21</v>
      </c>
    </row>
    <row r="10" customFormat="false" ht="15" hidden="false" customHeight="false" outlineLevel="0" collapsed="false">
      <c r="B10" s="26" t="s">
        <v>362</v>
      </c>
      <c r="C10" s="44" t="n">
        <f aca="false">(7)*12</f>
        <v>84</v>
      </c>
      <c r="D10" s="28" t="n">
        <v>7.03</v>
      </c>
      <c r="E10" s="45" t="n">
        <v>0</v>
      </c>
      <c r="F10" s="30" t="n">
        <f aca="false">(C10*D10)-((C10*D10)*E10)</f>
        <v>590.52</v>
      </c>
      <c r="H10" s="23" t="s">
        <v>363</v>
      </c>
      <c r="I10" s="14" t="n">
        <v>488.88</v>
      </c>
      <c r="J10" s="24" t="n">
        <v>0.21</v>
      </c>
      <c r="R10" s="23" t="s">
        <v>114</v>
      </c>
      <c r="S10" s="14" t="n">
        <v>356.52</v>
      </c>
      <c r="T10" s="24" t="n">
        <v>0.21</v>
      </c>
    </row>
    <row r="11" customFormat="false" ht="15" hidden="false" customHeight="false" outlineLevel="0" collapsed="false">
      <c r="B11" s="22" t="s">
        <v>359</v>
      </c>
      <c r="C11" s="46" t="n">
        <f aca="false">(10)*6</f>
        <v>60</v>
      </c>
      <c r="D11" s="16" t="n">
        <v>2.82</v>
      </c>
      <c r="E11" s="47" t="n">
        <v>0</v>
      </c>
      <c r="F11" s="14" t="n">
        <f aca="false">(C11*D11)-((C11*D11)*E11)</f>
        <v>169.2</v>
      </c>
      <c r="H11" s="23" t="s">
        <v>364</v>
      </c>
      <c r="I11" s="14" t="n">
        <v>799.08</v>
      </c>
      <c r="J11" s="24" t="n">
        <v>0.21</v>
      </c>
      <c r="R11" s="23" t="s">
        <v>115</v>
      </c>
      <c r="S11" s="14" t="n">
        <v>168.72</v>
      </c>
      <c r="T11" s="24" t="n">
        <v>0.21</v>
      </c>
    </row>
    <row r="12" customFormat="false" ht="15" hidden="false" customHeight="false" outlineLevel="0" collapsed="false">
      <c r="H12" s="23" t="s">
        <v>365</v>
      </c>
      <c r="I12" s="14" t="n">
        <v>411.12</v>
      </c>
      <c r="J12" s="24" t="n">
        <v>0.21</v>
      </c>
    </row>
    <row r="13" customFormat="false" ht="15" hidden="false" customHeight="false" outlineLevel="0" collapsed="false">
      <c r="H13" s="23" t="s">
        <v>366</v>
      </c>
      <c r="I13" s="14" t="n">
        <v>765.48</v>
      </c>
      <c r="J13" s="24" t="n">
        <v>0.21</v>
      </c>
    </row>
    <row r="14" customFormat="false" ht="15" hidden="false" customHeight="false" outlineLevel="0" collapsed="false">
      <c r="H14" s="23" t="s">
        <v>367</v>
      </c>
      <c r="I14" s="14" t="n">
        <v>530.04</v>
      </c>
      <c r="J14" s="24" t="n">
        <v>0.21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646.5718</v>
      </c>
      <c r="R4" s="42" t="s">
        <v>58</v>
      </c>
      <c r="S4" s="43" t="n">
        <f aca="false">SUM(P6:P300)</f>
        <v>604.0463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646.58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604.05</v>
      </c>
    </row>
    <row r="6" customFormat="false" ht="15" hidden="false" customHeight="false" outlineLevel="0" collapsed="false">
      <c r="B6" s="26" t="s">
        <v>368</v>
      </c>
      <c r="C6" s="44" t="n">
        <v>2</v>
      </c>
      <c r="D6" s="28" t="n">
        <v>120.15</v>
      </c>
      <c r="E6" s="45" t="n">
        <v>0.03</v>
      </c>
      <c r="F6" s="30" t="n">
        <f aca="false">(C6*D6)-((C6*D6)*E6)</f>
        <v>233.091</v>
      </c>
      <c r="H6" s="40" t="s">
        <v>202</v>
      </c>
      <c r="I6" s="41" t="n">
        <f aca="false">I5-I4</f>
        <v>0.008199999999988</v>
      </c>
      <c r="L6" s="26" t="s">
        <v>368</v>
      </c>
      <c r="M6" s="44" t="n">
        <v>1</v>
      </c>
      <c r="N6" s="28" t="n">
        <v>120.15</v>
      </c>
      <c r="O6" s="45" t="n">
        <v>0.03</v>
      </c>
      <c r="P6" s="30" t="n">
        <f aca="false">(M6*N6)-((M6*N6)*O6)</f>
        <v>116.5455</v>
      </c>
      <c r="R6" s="42" t="s">
        <v>202</v>
      </c>
      <c r="S6" s="43" t="n">
        <f aca="false">S5-S4</f>
        <v>0.00369999999998072</v>
      </c>
    </row>
    <row r="7" customFormat="false" ht="15" hidden="false" customHeight="false" outlineLevel="0" collapsed="false">
      <c r="B7" s="22" t="s">
        <v>369</v>
      </c>
      <c r="C7" s="46" t="n">
        <v>3</v>
      </c>
      <c r="D7" s="16" t="n">
        <v>20.88</v>
      </c>
      <c r="E7" s="47" t="n">
        <v>0</v>
      </c>
      <c r="F7" s="14" t="n">
        <f aca="false">(C7*D7)-((C7*D7)*E7)</f>
        <v>62.64</v>
      </c>
      <c r="L7" s="22" t="s">
        <v>61</v>
      </c>
      <c r="M7" s="46" t="n">
        <f aca="false">1+1</f>
        <v>2</v>
      </c>
      <c r="N7" s="16" t="n">
        <v>1</v>
      </c>
      <c r="O7" s="47" t="n">
        <v>0</v>
      </c>
      <c r="P7" s="14" t="n">
        <f aca="false">(M7*N7)-((M7*N7)*O7)</f>
        <v>2</v>
      </c>
    </row>
    <row r="8" customFormat="false" ht="15" hidden="false" customHeight="false" outlineLevel="0" collapsed="false">
      <c r="B8" s="26" t="s">
        <v>61</v>
      </c>
      <c r="C8" s="44" t="n">
        <v>4</v>
      </c>
      <c r="D8" s="28" t="n">
        <v>1</v>
      </c>
      <c r="E8" s="45" t="n">
        <v>0</v>
      </c>
      <c r="F8" s="30" t="n">
        <f aca="false">(C8*D8)-((C8*D8)*E8)</f>
        <v>4</v>
      </c>
      <c r="H8" s="48" t="s">
        <v>205</v>
      </c>
      <c r="I8" s="48" t="s">
        <v>62</v>
      </c>
      <c r="J8" s="48" t="s">
        <v>206</v>
      </c>
      <c r="L8" s="26" t="s">
        <v>370</v>
      </c>
      <c r="M8" s="44" t="n">
        <v>5</v>
      </c>
      <c r="N8" s="28" t="n">
        <v>24.84</v>
      </c>
      <c r="O8" s="45" t="n">
        <v>0</v>
      </c>
      <c r="P8" s="30" t="n">
        <f aca="false">(M8*N8)-((M8*N8)*O8)</f>
        <v>124.2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371</v>
      </c>
      <c r="C9" s="46" t="n">
        <v>5</v>
      </c>
      <c r="D9" s="16" t="n">
        <v>26.8</v>
      </c>
      <c r="E9" s="47" t="n">
        <v>0</v>
      </c>
      <c r="F9" s="14" t="n">
        <f aca="false">(C9*D9)-((C9*D9)*E9)</f>
        <v>134</v>
      </c>
      <c r="H9" s="23" t="s">
        <v>372</v>
      </c>
      <c r="I9" s="14" t="n">
        <v>138.43</v>
      </c>
      <c r="J9" s="24" t="n">
        <v>0.21</v>
      </c>
      <c r="L9" s="22" t="s">
        <v>373</v>
      </c>
      <c r="M9" s="46" t="n">
        <v>4</v>
      </c>
      <c r="N9" s="16" t="n">
        <v>21.78</v>
      </c>
      <c r="O9" s="47" t="n">
        <v>0</v>
      </c>
      <c r="P9" s="14" t="n">
        <f aca="false">(M9*N9)-((M9*N9)*O9)</f>
        <v>87.12</v>
      </c>
      <c r="R9" s="23" t="s">
        <v>116</v>
      </c>
      <c r="S9" s="14" t="n">
        <v>117.55</v>
      </c>
      <c r="T9" s="24" t="n">
        <v>0.21</v>
      </c>
    </row>
    <row r="10" customFormat="false" ht="15" hidden="false" customHeight="false" outlineLevel="0" collapsed="false">
      <c r="B10" s="26" t="s">
        <v>374</v>
      </c>
      <c r="C10" s="44" t="n">
        <v>12</v>
      </c>
      <c r="D10" s="28" t="n">
        <v>12.72</v>
      </c>
      <c r="E10" s="45" t="n">
        <v>0.03</v>
      </c>
      <c r="F10" s="30" t="n">
        <f aca="false">(C10*D10)-((C10*D10)*E10)</f>
        <v>148.0608</v>
      </c>
      <c r="H10" s="23" t="s">
        <v>375</v>
      </c>
      <c r="I10" s="14" t="n">
        <v>134</v>
      </c>
      <c r="J10" s="24" t="n">
        <v>0.1</v>
      </c>
      <c r="L10" s="26" t="s">
        <v>376</v>
      </c>
      <c r="M10" s="44" t="n">
        <v>3</v>
      </c>
      <c r="N10" s="28" t="n">
        <v>23.85</v>
      </c>
      <c r="O10" s="45" t="n">
        <v>0</v>
      </c>
      <c r="P10" s="30" t="n">
        <f aca="false">(M10*N10)-((M10*N10)*O10)</f>
        <v>71.55</v>
      </c>
      <c r="R10" s="23" t="s">
        <v>117</v>
      </c>
      <c r="S10" s="14" t="n">
        <v>283.84</v>
      </c>
      <c r="T10" s="24" t="n">
        <v>0.21</v>
      </c>
    </row>
    <row r="11" customFormat="false" ht="15" hidden="false" customHeight="false" outlineLevel="0" collapsed="false">
      <c r="B11" s="22" t="s">
        <v>377</v>
      </c>
      <c r="C11" s="46" t="n">
        <v>1</v>
      </c>
      <c r="D11" s="16" t="n">
        <v>20.88</v>
      </c>
      <c r="E11" s="47" t="n">
        <v>0</v>
      </c>
      <c r="F11" s="14" t="n">
        <f aca="false">(C11*D11)-((C11*D11)*E11)</f>
        <v>20.88</v>
      </c>
      <c r="H11" s="23" t="s">
        <v>378</v>
      </c>
      <c r="I11" s="14" t="n">
        <v>149.06</v>
      </c>
      <c r="J11" s="24" t="n">
        <v>0.21</v>
      </c>
      <c r="L11" s="22" t="s">
        <v>61</v>
      </c>
      <c r="M11" s="46" t="n">
        <v>1</v>
      </c>
      <c r="N11" s="16" t="n">
        <v>1</v>
      </c>
      <c r="O11" s="47" t="n">
        <v>0.03</v>
      </c>
      <c r="P11" s="14" t="n">
        <f aca="false">(M11*N11)-((M11*N11)*O11)</f>
        <v>0.97</v>
      </c>
      <c r="R11" s="23" t="s">
        <v>118</v>
      </c>
      <c r="S11" s="14" t="n">
        <v>53.6</v>
      </c>
      <c r="T11" s="24" t="n">
        <v>0.1</v>
      </c>
    </row>
    <row r="12" customFormat="false" ht="15" hidden="false" customHeight="false" outlineLevel="0" collapsed="false">
      <c r="B12" s="26" t="s">
        <v>379</v>
      </c>
      <c r="C12" s="44" t="n">
        <v>2</v>
      </c>
      <c r="D12" s="28" t="n">
        <v>21.95</v>
      </c>
      <c r="E12" s="45" t="n">
        <v>0</v>
      </c>
      <c r="F12" s="30" t="n">
        <f aca="false">(C12*D12)-((C12*D12)*E12)</f>
        <v>43.9</v>
      </c>
      <c r="H12" s="23" t="s">
        <v>380</v>
      </c>
      <c r="I12" s="14" t="n">
        <v>180.19</v>
      </c>
      <c r="J12" s="24" t="n">
        <v>0.21</v>
      </c>
      <c r="L12" s="26" t="s">
        <v>371</v>
      </c>
      <c r="M12" s="44" t="n">
        <v>2</v>
      </c>
      <c r="N12" s="28" t="n">
        <v>26.8</v>
      </c>
      <c r="O12" s="45" t="n">
        <v>0</v>
      </c>
      <c r="P12" s="30" t="n">
        <f aca="false">(M12*N12)-((M12*N12)*O12)</f>
        <v>53.6</v>
      </c>
      <c r="R12" s="23" t="s">
        <v>118</v>
      </c>
      <c r="S12" s="14" t="n">
        <v>1</v>
      </c>
      <c r="T12" s="24" t="n">
        <v>0.21</v>
      </c>
    </row>
    <row r="13" customFormat="false" ht="15" hidden="false" customHeight="false" outlineLevel="0" collapsed="false">
      <c r="H13" s="23" t="s">
        <v>381</v>
      </c>
      <c r="I13" s="14" t="n">
        <v>44.9</v>
      </c>
      <c r="J13" s="24" t="n">
        <v>0.21</v>
      </c>
      <c r="L13" s="22" t="s">
        <v>374</v>
      </c>
      <c r="M13" s="46" t="n">
        <v>12</v>
      </c>
      <c r="N13" s="16" t="n">
        <v>12.72</v>
      </c>
      <c r="O13" s="47" t="n">
        <v>0.03</v>
      </c>
      <c r="P13" s="14" t="n">
        <f aca="false">(M13*N13)-((M13*N13)*O13)</f>
        <v>148.0608</v>
      </c>
      <c r="R13" s="23" t="s">
        <v>119</v>
      </c>
      <c r="S13" s="14" t="n">
        <v>148.06</v>
      </c>
      <c r="T13" s="24" t="n">
        <v>0.21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1189</v>
      </c>
      <c r="R4" s="42" t="s">
        <v>58</v>
      </c>
      <c r="S4" s="43" t="n">
        <f aca="false">SUM(P6:P300)</f>
        <v>432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1189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432</v>
      </c>
    </row>
    <row r="6" customFormat="false" ht="15" hidden="false" customHeight="false" outlineLevel="0" collapsed="false">
      <c r="B6" s="26" t="s">
        <v>382</v>
      </c>
      <c r="C6" s="44" t="n">
        <f aca="false">2+4+2+1+3+3+2</f>
        <v>17</v>
      </c>
      <c r="D6" s="28" t="n">
        <v>37</v>
      </c>
      <c r="E6" s="45" t="n">
        <v>0</v>
      </c>
      <c r="F6" s="30" t="n">
        <f aca="false">(C6*D6)-((C6*D6)*E6)</f>
        <v>629</v>
      </c>
      <c r="H6" s="40" t="s">
        <v>202</v>
      </c>
      <c r="I6" s="41" t="n">
        <f aca="false">I5-I4</f>
        <v>0</v>
      </c>
      <c r="L6" s="26" t="s">
        <v>383</v>
      </c>
      <c r="M6" s="44" t="n">
        <f aca="false">3+3</f>
        <v>6</v>
      </c>
      <c r="N6" s="28" t="n">
        <v>35</v>
      </c>
      <c r="O6" s="45" t="n">
        <v>0</v>
      </c>
      <c r="P6" s="30" t="n">
        <f aca="false">(M6*N6)-((M6*N6)*O6)</f>
        <v>210</v>
      </c>
      <c r="R6" s="42" t="s">
        <v>202</v>
      </c>
      <c r="S6" s="43" t="n">
        <f aca="false">S5-S4</f>
        <v>0</v>
      </c>
    </row>
    <row r="7" customFormat="false" ht="15" hidden="false" customHeight="false" outlineLevel="0" collapsed="false">
      <c r="B7" s="22" t="s">
        <v>383</v>
      </c>
      <c r="C7" s="46" t="n">
        <f aca="false">1+4+2+1+3+3+2</f>
        <v>16</v>
      </c>
      <c r="D7" s="16" t="n">
        <v>35</v>
      </c>
      <c r="E7" s="47" t="n">
        <v>0</v>
      </c>
      <c r="F7" s="14" t="n">
        <f aca="false">(C7*D7)-((C7*D7)*E7)</f>
        <v>560</v>
      </c>
      <c r="L7" s="22" t="s">
        <v>382</v>
      </c>
      <c r="M7" s="46" t="n">
        <f aca="false">3+3</f>
        <v>6</v>
      </c>
      <c r="N7" s="16" t="n">
        <v>37</v>
      </c>
      <c r="O7" s="47" t="n">
        <v>0</v>
      </c>
      <c r="P7" s="14" t="n">
        <f aca="false">(M7*N7)-((M7*N7)*O7)</f>
        <v>222</v>
      </c>
    </row>
    <row r="8" customFormat="false" ht="15" hidden="false" customHeight="false" outlineLevel="0" collapsed="false">
      <c r="H8" s="48" t="s">
        <v>205</v>
      </c>
      <c r="I8" s="48" t="s">
        <v>62</v>
      </c>
      <c r="J8" s="48" t="s">
        <v>206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H9" s="23" t="s">
        <v>384</v>
      </c>
      <c r="I9" s="14" t="n">
        <v>109</v>
      </c>
      <c r="J9" s="24" t="n">
        <v>0.1</v>
      </c>
      <c r="R9" s="23" t="s">
        <v>120</v>
      </c>
      <c r="S9" s="14" t="n">
        <v>216</v>
      </c>
      <c r="T9" s="24" t="n">
        <v>0.1</v>
      </c>
    </row>
    <row r="10" customFormat="false" ht="15" hidden="false" customHeight="false" outlineLevel="0" collapsed="false">
      <c r="H10" s="23" t="s">
        <v>385</v>
      </c>
      <c r="I10" s="14" t="n">
        <v>288</v>
      </c>
      <c r="J10" s="24" t="n">
        <v>0.1</v>
      </c>
      <c r="R10" s="23" t="s">
        <v>121</v>
      </c>
      <c r="S10" s="14" t="n">
        <v>216</v>
      </c>
      <c r="T10" s="24" t="n">
        <v>0.1</v>
      </c>
    </row>
    <row r="11" customFormat="false" ht="15" hidden="false" customHeight="false" outlineLevel="0" collapsed="false">
      <c r="H11" s="23" t="s">
        <v>386</v>
      </c>
      <c r="I11" s="14" t="n">
        <v>144</v>
      </c>
      <c r="J11" s="24" t="n">
        <v>0.1</v>
      </c>
    </row>
    <row r="12" customFormat="false" ht="15" hidden="false" customHeight="false" outlineLevel="0" collapsed="false">
      <c r="H12" s="23" t="s">
        <v>387</v>
      </c>
      <c r="I12" s="14" t="n">
        <v>72</v>
      </c>
      <c r="J12" s="24" t="n">
        <v>0.1</v>
      </c>
    </row>
    <row r="13" customFormat="false" ht="15" hidden="false" customHeight="false" outlineLevel="0" collapsed="false">
      <c r="H13" s="23" t="s">
        <v>388</v>
      </c>
      <c r="I13" s="14" t="n">
        <v>216</v>
      </c>
      <c r="J13" s="24" t="n">
        <v>0.1</v>
      </c>
    </row>
    <row r="14" customFormat="false" ht="15" hidden="false" customHeight="false" outlineLevel="0" collapsed="false">
      <c r="H14" s="23" t="s">
        <v>389</v>
      </c>
      <c r="I14" s="14" t="n">
        <v>216</v>
      </c>
      <c r="J14" s="24" t="n">
        <v>0.1</v>
      </c>
    </row>
    <row r="15" customFormat="false" ht="15" hidden="false" customHeight="false" outlineLevel="0" collapsed="false">
      <c r="H15" s="23" t="s">
        <v>390</v>
      </c>
      <c r="I15" s="14" t="n">
        <v>144</v>
      </c>
      <c r="J15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193.69</v>
      </c>
      <c r="R4" s="42" t="s">
        <v>58</v>
      </c>
      <c r="S4" s="43" t="n">
        <f aca="false">SUM(P6:P300)</f>
        <v>84.48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193.7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84.48</v>
      </c>
    </row>
    <row r="6" customFormat="false" ht="15" hidden="false" customHeight="false" outlineLevel="0" collapsed="false">
      <c r="B6" s="26" t="s">
        <v>391</v>
      </c>
      <c r="C6" s="44" t="n">
        <f aca="false">1.15</f>
        <v>1.15</v>
      </c>
      <c r="D6" s="28" t="n">
        <v>48.6</v>
      </c>
      <c r="E6" s="45" t="n">
        <v>0</v>
      </c>
      <c r="F6" s="30" t="n">
        <f aca="false">(C6*D6)-((C6*D6)*E6)</f>
        <v>55.89</v>
      </c>
      <c r="H6" s="40" t="s">
        <v>202</v>
      </c>
      <c r="I6" s="41" t="n">
        <f aca="false">I5-I4</f>
        <v>0.00999999999999091</v>
      </c>
      <c r="L6" s="26" t="s">
        <v>391</v>
      </c>
      <c r="M6" s="44" t="n">
        <v>1.1</v>
      </c>
      <c r="N6" s="28" t="n">
        <v>51</v>
      </c>
      <c r="O6" s="45" t="n">
        <v>0</v>
      </c>
      <c r="P6" s="30" t="n">
        <f aca="false">(M6*N6)-((M6*N6)*O6)</f>
        <v>56.1</v>
      </c>
      <c r="R6" s="42" t="s">
        <v>202</v>
      </c>
      <c r="S6" s="43" t="n">
        <f aca="false">S5-S4</f>
        <v>0</v>
      </c>
    </row>
    <row r="7" customFormat="false" ht="15" hidden="false" customHeight="false" outlineLevel="0" collapsed="false">
      <c r="B7" s="22" t="s">
        <v>392</v>
      </c>
      <c r="C7" s="46" t="n">
        <f aca="false">10+15</f>
        <v>25</v>
      </c>
      <c r="D7" s="16" t="n">
        <v>2.3</v>
      </c>
      <c r="E7" s="47" t="n">
        <v>0</v>
      </c>
      <c r="F7" s="14" t="n">
        <f aca="false">(C7*D7)-((C7*D7)*E7)</f>
        <v>57.5</v>
      </c>
      <c r="L7" s="22" t="s">
        <v>393</v>
      </c>
      <c r="M7" s="46" t="n">
        <v>1.29</v>
      </c>
      <c r="N7" s="16" t="n">
        <v>22</v>
      </c>
      <c r="O7" s="47" t="n">
        <v>0</v>
      </c>
      <c r="P7" s="14" t="n">
        <f aca="false">(M7*N7)-((M7*N7)*O7)</f>
        <v>28.38</v>
      </c>
    </row>
    <row r="8" customFormat="false" ht="15" hidden="false" customHeight="false" outlineLevel="0" collapsed="false">
      <c r="B8" s="26" t="s">
        <v>393</v>
      </c>
      <c r="C8" s="44" t="n">
        <v>1.1</v>
      </c>
      <c r="D8" s="28" t="n">
        <v>22</v>
      </c>
      <c r="E8" s="45" t="n">
        <v>0</v>
      </c>
      <c r="F8" s="30" t="n">
        <f aca="false">(C8*D8)-((C8*D8)*E8)</f>
        <v>24.2</v>
      </c>
      <c r="H8" s="48" t="s">
        <v>205</v>
      </c>
      <c r="I8" s="48" t="s">
        <v>62</v>
      </c>
      <c r="J8" s="48" t="s">
        <v>206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391</v>
      </c>
      <c r="C9" s="46" t="n">
        <v>1.1</v>
      </c>
      <c r="D9" s="16" t="n">
        <v>51</v>
      </c>
      <c r="E9" s="47" t="n">
        <v>0</v>
      </c>
      <c r="F9" s="14" t="n">
        <f aca="false">(C9*D9)-((C9*D9)*E9)</f>
        <v>56.1</v>
      </c>
      <c r="H9" s="23" t="s">
        <v>394</v>
      </c>
      <c r="I9" s="14" t="n">
        <v>78.9</v>
      </c>
      <c r="J9" s="24" t="n">
        <v>0.1</v>
      </c>
      <c r="R9" s="23" t="s">
        <v>122</v>
      </c>
      <c r="S9" s="14" t="n">
        <v>84.48</v>
      </c>
      <c r="T9" s="24" t="n">
        <v>0.1</v>
      </c>
    </row>
    <row r="10" customFormat="false" ht="15" hidden="false" customHeight="false" outlineLevel="0" collapsed="false">
      <c r="H10" s="23" t="s">
        <v>395</v>
      </c>
      <c r="I10" s="14" t="n">
        <v>80.3</v>
      </c>
      <c r="J10" s="24" t="n">
        <v>0.1</v>
      </c>
    </row>
    <row r="11" customFormat="false" ht="15" hidden="false" customHeight="false" outlineLevel="0" collapsed="false">
      <c r="H11" s="23" t="s">
        <v>396</v>
      </c>
      <c r="I11" s="14" t="n">
        <v>34.5</v>
      </c>
      <c r="J11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183.2</v>
      </c>
      <c r="R4" s="42" t="s">
        <v>58</v>
      </c>
      <c r="S4" s="43" t="n">
        <f aca="false">SUM(P6:P300)</f>
        <v>91.6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183.2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91.6</v>
      </c>
    </row>
    <row r="6" customFormat="false" ht="15" hidden="false" customHeight="false" outlineLevel="0" collapsed="false">
      <c r="B6" s="26" t="s">
        <v>397</v>
      </c>
      <c r="C6" s="44" t="n">
        <f aca="false">4+4</f>
        <v>8</v>
      </c>
      <c r="D6" s="28" t="n">
        <v>22.9</v>
      </c>
      <c r="E6" s="45" t="n">
        <v>0</v>
      </c>
      <c r="F6" s="30" t="n">
        <f aca="false">(C6*D6)-((C6*D6)*E6)</f>
        <v>183.2</v>
      </c>
      <c r="H6" s="40" t="s">
        <v>202</v>
      </c>
      <c r="I6" s="41" t="n">
        <f aca="false">I5-I4</f>
        <v>0</v>
      </c>
      <c r="L6" s="26" t="s">
        <v>397</v>
      </c>
      <c r="M6" s="44" t="n">
        <v>4</v>
      </c>
      <c r="N6" s="28" t="n">
        <v>22.9</v>
      </c>
      <c r="O6" s="45" t="n">
        <v>0</v>
      </c>
      <c r="P6" s="30" t="n">
        <f aca="false">(M6*N6)-((M6*N6)*O6)</f>
        <v>91.6</v>
      </c>
      <c r="R6" s="42" t="s">
        <v>202</v>
      </c>
      <c r="S6" s="43" t="n">
        <f aca="false">S5-S4</f>
        <v>0</v>
      </c>
    </row>
    <row r="8" customFormat="false" ht="15" hidden="false" customHeight="false" outlineLevel="0" collapsed="false">
      <c r="H8" s="48" t="s">
        <v>205</v>
      </c>
      <c r="I8" s="48" t="s">
        <v>62</v>
      </c>
      <c r="J8" s="48" t="s">
        <v>206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H9" s="23" t="s">
        <v>398</v>
      </c>
      <c r="I9" s="14" t="n">
        <v>91.6</v>
      </c>
      <c r="J9" s="24" t="n">
        <v>0.1</v>
      </c>
      <c r="R9" s="23" t="s">
        <v>123</v>
      </c>
      <c r="S9" s="14" t="n">
        <v>91.6</v>
      </c>
      <c r="T9" s="24" t="n">
        <v>0.1</v>
      </c>
    </row>
    <row r="10" customFormat="false" ht="15" hidden="false" customHeight="false" outlineLevel="0" collapsed="false">
      <c r="H10" s="23" t="s">
        <v>399</v>
      </c>
      <c r="I10" s="14" t="n">
        <v>91.6</v>
      </c>
      <c r="J10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</row>
    <row r="3" customFormat="false" ht="15" hidden="false" customHeight="false" outlineLevel="0" collapsed="false">
      <c r="B3" s="38"/>
      <c r="C3" s="38"/>
      <c r="D3" s="38"/>
      <c r="E3" s="38"/>
      <c r="F3" s="38"/>
    </row>
    <row r="4" customFormat="false" ht="15" hidden="false" customHeight="false" outlineLevel="0" collapsed="false">
      <c r="H4" s="40" t="s">
        <v>58</v>
      </c>
      <c r="I4" s="41" t="n">
        <f aca="false">SUM(F6:F300)</f>
        <v>158.9995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158.99</v>
      </c>
    </row>
    <row r="6" customFormat="false" ht="15" hidden="false" customHeight="false" outlineLevel="0" collapsed="false">
      <c r="B6" s="26" t="s">
        <v>400</v>
      </c>
      <c r="C6" s="44" t="n">
        <f aca="false">9.18</f>
        <v>9.18</v>
      </c>
      <c r="D6" s="28" t="n">
        <v>3.6</v>
      </c>
      <c r="E6" s="45" t="n">
        <v>0</v>
      </c>
      <c r="F6" s="30" t="n">
        <f aca="false">(C6*D6)-((C6*D6)*E6)</f>
        <v>33.048</v>
      </c>
      <c r="H6" s="40" t="s">
        <v>202</v>
      </c>
      <c r="I6" s="41" t="n">
        <f aca="false">I5-I4</f>
        <v>-0.00949999999997431</v>
      </c>
    </row>
    <row r="7" customFormat="false" ht="15" hidden="false" customHeight="false" outlineLevel="0" collapsed="false">
      <c r="B7" s="22" t="s">
        <v>401</v>
      </c>
      <c r="C7" s="46" t="n">
        <f aca="false">3.115</f>
        <v>3.115</v>
      </c>
      <c r="D7" s="16" t="n">
        <v>4.3</v>
      </c>
      <c r="E7" s="47" t="n">
        <v>0</v>
      </c>
      <c r="F7" s="14" t="n">
        <f aca="false">(C7*D7)-((C7*D7)*E7)</f>
        <v>13.3945</v>
      </c>
    </row>
    <row r="8" customFormat="false" ht="15" hidden="false" customHeight="false" outlineLevel="0" collapsed="false">
      <c r="B8" s="26" t="s">
        <v>402</v>
      </c>
      <c r="C8" s="44" t="n">
        <v>2</v>
      </c>
      <c r="D8" s="28" t="n">
        <v>2.2</v>
      </c>
      <c r="E8" s="45" t="n">
        <v>0</v>
      </c>
      <c r="F8" s="30" t="n">
        <f aca="false">(C8*D8)-((C8*D8)*E8)</f>
        <v>4.4</v>
      </c>
      <c r="H8" s="48" t="s">
        <v>205</v>
      </c>
      <c r="I8" s="48" t="s">
        <v>62</v>
      </c>
      <c r="J8" s="48" t="s">
        <v>206</v>
      </c>
    </row>
    <row r="9" customFormat="false" ht="15" hidden="false" customHeight="false" outlineLevel="0" collapsed="false">
      <c r="B9" s="22" t="s">
        <v>403</v>
      </c>
      <c r="C9" s="46" t="n">
        <v>1</v>
      </c>
      <c r="D9" s="16" t="n">
        <v>1.6</v>
      </c>
      <c r="E9" s="47" t="n">
        <v>0</v>
      </c>
      <c r="F9" s="14" t="n">
        <f aca="false">(C9*D9)-((C9*D9)*E9)</f>
        <v>1.6</v>
      </c>
      <c r="H9" s="23" t="s">
        <v>404</v>
      </c>
      <c r="I9" s="14" t="n">
        <v>91.2</v>
      </c>
      <c r="J9" s="24" t="n">
        <v>0.04</v>
      </c>
    </row>
    <row r="10" customFormat="false" ht="15" hidden="false" customHeight="false" outlineLevel="0" collapsed="false">
      <c r="B10" s="26" t="s">
        <v>405</v>
      </c>
      <c r="C10" s="44" t="n">
        <f aca="false">5.96+5.205</f>
        <v>11.165</v>
      </c>
      <c r="D10" s="28" t="n">
        <v>5.8</v>
      </c>
      <c r="E10" s="45" t="n">
        <v>0</v>
      </c>
      <c r="F10" s="30" t="n">
        <f aca="false">(C10*D10)-((C10*D10)*E10)</f>
        <v>64.757</v>
      </c>
      <c r="H10" s="23" t="s">
        <v>406</v>
      </c>
      <c r="I10" s="14" t="n">
        <v>67.79</v>
      </c>
      <c r="J10" s="24" t="n">
        <v>0.04</v>
      </c>
    </row>
    <row r="11" customFormat="false" ht="15" hidden="false" customHeight="false" outlineLevel="0" collapsed="false">
      <c r="B11" s="22" t="s">
        <v>407</v>
      </c>
      <c r="C11" s="46" t="n">
        <v>2</v>
      </c>
      <c r="D11" s="16" t="n">
        <v>2.1</v>
      </c>
      <c r="E11" s="47" t="n">
        <v>0</v>
      </c>
      <c r="F11" s="14" t="n">
        <f aca="false">(C11*D11)-((C11*D11)*E11)</f>
        <v>4.2</v>
      </c>
    </row>
    <row r="12" customFormat="false" ht="15" hidden="false" customHeight="false" outlineLevel="0" collapsed="false">
      <c r="B12" s="26" t="s">
        <v>408</v>
      </c>
      <c r="C12" s="44" t="n">
        <v>6</v>
      </c>
      <c r="D12" s="28" t="n">
        <v>2.1</v>
      </c>
      <c r="E12" s="45" t="n">
        <v>0</v>
      </c>
      <c r="F12" s="30" t="n">
        <f aca="false">(C12*D12)-((C12*D12)*E12)</f>
        <v>12.6</v>
      </c>
    </row>
    <row r="13" customFormat="false" ht="15" hidden="false" customHeight="false" outlineLevel="0" collapsed="false">
      <c r="B13" s="22" t="s">
        <v>409</v>
      </c>
      <c r="C13" s="46" t="n">
        <v>1</v>
      </c>
      <c r="D13" s="16" t="n">
        <v>25</v>
      </c>
      <c r="E13" s="47" t="n">
        <v>0</v>
      </c>
      <c r="F13" s="14" t="n">
        <f aca="false">(C13*D13)-((C13*D13)*E13)</f>
        <v>25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9" t="n">
        <v>46235</v>
      </c>
      <c r="C2" s="39"/>
      <c r="D2" s="39"/>
      <c r="E2" s="39"/>
      <c r="F2" s="39"/>
    </row>
    <row r="3" customFormat="false" ht="15" hidden="false" customHeight="false" outlineLevel="0" collapsed="false">
      <c r="B3" s="39"/>
      <c r="C3" s="39"/>
      <c r="D3" s="39"/>
      <c r="E3" s="39"/>
      <c r="F3" s="39"/>
    </row>
    <row r="4" customFormat="false" ht="15" hidden="false" customHeight="false" outlineLevel="0" collapsed="false">
      <c r="H4" s="42" t="s">
        <v>58</v>
      </c>
      <c r="I4" s="43" t="n">
        <f aca="false">SUM(F6:F300)</f>
        <v>516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2" t="s">
        <v>200</v>
      </c>
      <c r="I5" s="43" t="n">
        <f aca="false">SUM(I9:I300)</f>
        <v>516</v>
      </c>
    </row>
    <row r="6" customFormat="false" ht="15" hidden="false" customHeight="false" outlineLevel="0" collapsed="false">
      <c r="B6" s="26" t="s">
        <v>410</v>
      </c>
      <c r="C6" s="44" t="n">
        <v>6</v>
      </c>
      <c r="D6" s="28" t="n">
        <v>83.5</v>
      </c>
      <c r="E6" s="45" t="n">
        <v>0</v>
      </c>
      <c r="F6" s="30" t="n">
        <f aca="false">(C6*D6)-((C6*D6)*E6)</f>
        <v>501</v>
      </c>
      <c r="H6" s="42" t="s">
        <v>202</v>
      </c>
      <c r="I6" s="43" t="n">
        <f aca="false">I5-I4</f>
        <v>0</v>
      </c>
    </row>
    <row r="7" customFormat="false" ht="15" hidden="false" customHeight="false" outlineLevel="0" collapsed="false">
      <c r="B7" s="22" t="s">
        <v>411</v>
      </c>
      <c r="C7" s="46" t="n">
        <v>1</v>
      </c>
      <c r="D7" s="16" t="n">
        <v>15</v>
      </c>
      <c r="E7" s="47" t="n">
        <v>0</v>
      </c>
      <c r="F7" s="14" t="n">
        <f aca="false">(C7*D7)-((C7*D7)*E7)</f>
        <v>15</v>
      </c>
    </row>
    <row r="8" customFormat="false" ht="15" hidden="false" customHeight="false" outlineLevel="0" collapsed="false">
      <c r="H8" s="11" t="s">
        <v>205</v>
      </c>
      <c r="I8" s="11" t="s">
        <v>62</v>
      </c>
      <c r="J8" s="11" t="s">
        <v>206</v>
      </c>
    </row>
    <row r="9" customFormat="false" ht="15" hidden="false" customHeight="false" outlineLevel="0" collapsed="false">
      <c r="H9" s="23" t="s">
        <v>124</v>
      </c>
      <c r="I9" s="14" t="n">
        <v>501</v>
      </c>
      <c r="J9" s="24" t="n">
        <v>0.1</v>
      </c>
    </row>
    <row r="10" customFormat="false" ht="15" hidden="false" customHeight="false" outlineLevel="0" collapsed="false">
      <c r="H10" s="23" t="s">
        <v>124</v>
      </c>
      <c r="I10" s="14" t="n">
        <v>15</v>
      </c>
      <c r="J10" s="24" t="n">
        <v>0.21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</row>
    <row r="3" customFormat="false" ht="15" hidden="false" customHeight="false" outlineLevel="0" collapsed="false">
      <c r="B3" s="38"/>
      <c r="C3" s="38"/>
      <c r="D3" s="38"/>
      <c r="E3" s="38"/>
      <c r="F3" s="38"/>
    </row>
    <row r="4" customFormat="false" ht="15" hidden="false" customHeight="false" outlineLevel="0" collapsed="false">
      <c r="H4" s="40" t="s">
        <v>58</v>
      </c>
      <c r="I4" s="41" t="n">
        <f aca="false">SUM(F6:F300)</f>
        <v>748.5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748.5</v>
      </c>
    </row>
    <row r="6" customFormat="false" ht="15" hidden="false" customHeight="false" outlineLevel="0" collapsed="false">
      <c r="B6" s="26" t="s">
        <v>412</v>
      </c>
      <c r="C6" s="44" t="n">
        <v>30</v>
      </c>
      <c r="D6" s="28" t="n">
        <v>24.95</v>
      </c>
      <c r="E6" s="45" t="n">
        <v>0</v>
      </c>
      <c r="F6" s="30" t="n">
        <f aca="false">(C6*D6)-((C6*D6)*E6)</f>
        <v>748.5</v>
      </c>
      <c r="H6" s="40" t="s">
        <v>202</v>
      </c>
      <c r="I6" s="41" t="n">
        <f aca="false">I5-I4</f>
        <v>0</v>
      </c>
    </row>
    <row r="8" customFormat="false" ht="15" hidden="false" customHeight="false" outlineLevel="0" collapsed="false">
      <c r="H8" s="48" t="s">
        <v>205</v>
      </c>
      <c r="I8" s="48" t="s">
        <v>62</v>
      </c>
      <c r="J8" s="48" t="s">
        <v>206</v>
      </c>
    </row>
    <row r="9" customFormat="false" ht="15" hidden="false" customHeight="false" outlineLevel="0" collapsed="false">
      <c r="H9" s="23" t="s">
        <v>413</v>
      </c>
      <c r="I9" s="14" t="n">
        <v>748.5</v>
      </c>
      <c r="J9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</row>
    <row r="3" customFormat="false" ht="15" hidden="false" customHeight="false" outlineLevel="0" collapsed="false">
      <c r="B3" s="38"/>
      <c r="C3" s="38"/>
      <c r="D3" s="38"/>
      <c r="E3" s="38"/>
      <c r="F3" s="38"/>
    </row>
    <row r="4" customFormat="false" ht="15" hidden="false" customHeight="false" outlineLevel="0" collapsed="false">
      <c r="H4" s="40" t="s">
        <v>58</v>
      </c>
      <c r="I4" s="41" t="n">
        <f aca="false">SUM(F6:F300)</f>
        <v>444.1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444.1</v>
      </c>
    </row>
    <row r="6" customFormat="false" ht="15" hidden="false" customHeight="false" outlineLevel="0" collapsed="false">
      <c r="B6" s="26" t="s">
        <v>204</v>
      </c>
      <c r="C6" s="44" t="n">
        <v>5</v>
      </c>
      <c r="D6" s="28" t="n">
        <v>12</v>
      </c>
      <c r="E6" s="45" t="n">
        <v>0</v>
      </c>
      <c r="F6" s="30" t="n">
        <f aca="false">(C6*D6)-((C6*D6)*E6)</f>
        <v>60</v>
      </c>
      <c r="H6" s="40" t="s">
        <v>202</v>
      </c>
      <c r="I6" s="41" t="n">
        <f aca="false">I5-I4</f>
        <v>0</v>
      </c>
    </row>
    <row r="7" customFormat="false" ht="15" hidden="false" customHeight="false" outlineLevel="0" collapsed="false">
      <c r="B7" s="22" t="s">
        <v>204</v>
      </c>
      <c r="C7" s="46" t="n">
        <f aca="false">3+2+3+3+3+3</f>
        <v>17</v>
      </c>
      <c r="D7" s="16" t="n">
        <v>11</v>
      </c>
      <c r="E7" s="47" t="n">
        <v>0</v>
      </c>
      <c r="F7" s="14" t="n">
        <f aca="false">(C7*D7)-((C7*D7)*E7)</f>
        <v>187</v>
      </c>
    </row>
    <row r="8" customFormat="false" ht="15" hidden="false" customHeight="false" outlineLevel="0" collapsed="false">
      <c r="B8" s="26" t="s">
        <v>414</v>
      </c>
      <c r="C8" s="44" t="n">
        <f aca="false">2+1+1+1+1+1</f>
        <v>7</v>
      </c>
      <c r="D8" s="28" t="n">
        <v>7</v>
      </c>
      <c r="E8" s="45" t="n">
        <v>0</v>
      </c>
      <c r="F8" s="30" t="n">
        <f aca="false">(C8*D8)-((C8*D8)*E8)</f>
        <v>49</v>
      </c>
      <c r="H8" s="48" t="s">
        <v>205</v>
      </c>
      <c r="I8" s="48" t="s">
        <v>62</v>
      </c>
      <c r="J8" s="48" t="s">
        <v>206</v>
      </c>
    </row>
    <row r="9" customFormat="false" ht="15" hidden="false" customHeight="false" outlineLevel="0" collapsed="false">
      <c r="B9" s="22" t="s">
        <v>204</v>
      </c>
      <c r="C9" s="46" t="n">
        <f aca="false">2+3</f>
        <v>5</v>
      </c>
      <c r="D9" s="16" t="n">
        <v>10</v>
      </c>
      <c r="E9" s="47" t="n">
        <v>0</v>
      </c>
      <c r="F9" s="14" t="n">
        <f aca="false">(C9*D9)-((C9*D9)*E9)</f>
        <v>50</v>
      </c>
      <c r="H9" s="23" t="s">
        <v>415</v>
      </c>
      <c r="I9" s="14" t="n">
        <v>24</v>
      </c>
      <c r="J9" s="24" t="n">
        <v>0.1</v>
      </c>
    </row>
    <row r="10" customFormat="false" ht="15" hidden="false" customHeight="false" outlineLevel="0" collapsed="false">
      <c r="B10" s="26" t="s">
        <v>414</v>
      </c>
      <c r="C10" s="44" t="n">
        <f aca="false">1+1+1</f>
        <v>3</v>
      </c>
      <c r="D10" s="28" t="n">
        <v>7.8</v>
      </c>
      <c r="E10" s="45" t="n">
        <v>0</v>
      </c>
      <c r="F10" s="30" t="n">
        <f aca="false">(C10*D10)-((C10*D10)*E10)</f>
        <v>23.4</v>
      </c>
      <c r="H10" s="23" t="s">
        <v>416</v>
      </c>
      <c r="I10" s="14" t="n">
        <v>33</v>
      </c>
      <c r="J10" s="24" t="n">
        <v>0.1</v>
      </c>
    </row>
    <row r="11" customFormat="false" ht="15" hidden="false" customHeight="false" outlineLevel="0" collapsed="false">
      <c r="B11" s="22" t="s">
        <v>204</v>
      </c>
      <c r="C11" s="46" t="n">
        <v>3</v>
      </c>
      <c r="D11" s="16" t="n">
        <v>9.5</v>
      </c>
      <c r="E11" s="47" t="n">
        <v>0</v>
      </c>
      <c r="F11" s="14" t="n">
        <f aca="false">(C11*D11)-((C11*D11)*E11)</f>
        <v>28.5</v>
      </c>
      <c r="H11" s="23" t="s">
        <v>417</v>
      </c>
      <c r="I11" s="14" t="n">
        <v>43</v>
      </c>
      <c r="J11" s="24" t="n">
        <v>0.1</v>
      </c>
    </row>
    <row r="12" customFormat="false" ht="15" hidden="false" customHeight="false" outlineLevel="0" collapsed="false">
      <c r="B12" s="26" t="s">
        <v>418</v>
      </c>
      <c r="C12" s="44" t="n">
        <v>1</v>
      </c>
      <c r="D12" s="28" t="n">
        <v>46.2</v>
      </c>
      <c r="E12" s="45" t="n">
        <v>0</v>
      </c>
      <c r="F12" s="30" t="n">
        <f aca="false">(C12*D12)-((C12*D12)*E12)</f>
        <v>46.2</v>
      </c>
      <c r="H12" s="23" t="s">
        <v>419</v>
      </c>
      <c r="I12" s="14" t="n">
        <v>7</v>
      </c>
      <c r="J12" s="24" t="n">
        <v>0.1</v>
      </c>
    </row>
    <row r="13" customFormat="false" ht="15" hidden="false" customHeight="false" outlineLevel="0" collapsed="false">
      <c r="H13" s="23" t="s">
        <v>420</v>
      </c>
      <c r="I13" s="14" t="n">
        <v>7</v>
      </c>
      <c r="J13" s="24" t="n">
        <v>0.1</v>
      </c>
    </row>
    <row r="14" customFormat="false" ht="15" hidden="false" customHeight="false" outlineLevel="0" collapsed="false">
      <c r="H14" s="23" t="s">
        <v>421</v>
      </c>
      <c r="I14" s="14" t="n">
        <v>20</v>
      </c>
      <c r="J14" s="24" t="n">
        <v>0.1</v>
      </c>
    </row>
    <row r="15" customFormat="false" ht="15" hidden="false" customHeight="false" outlineLevel="0" collapsed="false">
      <c r="H15" s="23" t="s">
        <v>422</v>
      </c>
      <c r="I15" s="14" t="n">
        <v>29</v>
      </c>
      <c r="J15" s="24" t="n">
        <v>0.1</v>
      </c>
    </row>
    <row r="16" customFormat="false" ht="15" hidden="false" customHeight="false" outlineLevel="0" collapsed="false">
      <c r="H16" s="23" t="s">
        <v>423</v>
      </c>
      <c r="I16" s="14" t="n">
        <v>40.8</v>
      </c>
      <c r="J16" s="24" t="n">
        <v>0.1</v>
      </c>
    </row>
    <row r="17" customFormat="false" ht="15" hidden="false" customHeight="false" outlineLevel="0" collapsed="false">
      <c r="H17" s="23" t="s">
        <v>424</v>
      </c>
      <c r="I17" s="14" t="n">
        <v>40</v>
      </c>
      <c r="J17" s="24" t="n">
        <v>0.1</v>
      </c>
    </row>
    <row r="18" customFormat="false" ht="15" hidden="false" customHeight="false" outlineLevel="0" collapsed="false">
      <c r="H18" s="23" t="s">
        <v>425</v>
      </c>
      <c r="I18" s="14" t="n">
        <v>37</v>
      </c>
      <c r="J18" s="24" t="n">
        <v>0.1</v>
      </c>
    </row>
    <row r="19" customFormat="false" ht="15" hidden="false" customHeight="false" outlineLevel="0" collapsed="false">
      <c r="H19" s="23" t="s">
        <v>426</v>
      </c>
      <c r="I19" s="14" t="n">
        <v>35.5</v>
      </c>
      <c r="J19" s="24" t="n">
        <v>0.1</v>
      </c>
    </row>
    <row r="20" customFormat="false" ht="15" hidden="false" customHeight="false" outlineLevel="0" collapsed="false">
      <c r="H20" s="23" t="s">
        <v>427</v>
      </c>
      <c r="I20" s="14" t="n">
        <v>40.8</v>
      </c>
      <c r="J20" s="24" t="n">
        <v>0.1</v>
      </c>
    </row>
    <row r="21" customFormat="false" ht="15" hidden="false" customHeight="false" outlineLevel="0" collapsed="false">
      <c r="H21" s="23" t="s">
        <v>428</v>
      </c>
      <c r="I21" s="14" t="n">
        <v>79.2</v>
      </c>
      <c r="J21" s="24" t="n">
        <v>0.1</v>
      </c>
    </row>
    <row r="22" customFormat="false" ht="15" hidden="false" customHeight="false" outlineLevel="0" collapsed="false">
      <c r="H22" s="23" t="s">
        <v>429</v>
      </c>
      <c r="I22" s="14" t="n">
        <v>7.8</v>
      </c>
      <c r="J22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1815.6</v>
      </c>
      <c r="R4" s="42" t="s">
        <v>58</v>
      </c>
      <c r="S4" s="43" t="n">
        <f aca="false">SUM(P6:P300)</f>
        <v>930.8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1815.6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930.8</v>
      </c>
    </row>
    <row r="6" customFormat="false" ht="15" hidden="false" customHeight="false" outlineLevel="0" collapsed="false">
      <c r="B6" s="26" t="s">
        <v>430</v>
      </c>
      <c r="C6" s="44" t="n">
        <f aca="false">(13)*3</f>
        <v>39</v>
      </c>
      <c r="D6" s="28" t="n">
        <v>23.95</v>
      </c>
      <c r="E6" s="45" t="n">
        <v>0</v>
      </c>
      <c r="F6" s="30" t="n">
        <f aca="false">(C6*D6)-((C6*D6)*E6)</f>
        <v>934.05</v>
      </c>
      <c r="H6" s="40" t="s">
        <v>202</v>
      </c>
      <c r="I6" s="41" t="n">
        <f aca="false">I5-I4</f>
        <v>0</v>
      </c>
      <c r="L6" s="26" t="s">
        <v>431</v>
      </c>
      <c r="M6" s="44" t="n">
        <f aca="false">(2+1)*1</f>
        <v>3</v>
      </c>
      <c r="N6" s="28" t="n">
        <v>45.95</v>
      </c>
      <c r="O6" s="45" t="n">
        <v>0</v>
      </c>
      <c r="P6" s="30" t="n">
        <f aca="false">(M6*N6)-((M6*N6)*O6)</f>
        <v>137.85</v>
      </c>
      <c r="R6" s="42" t="s">
        <v>202</v>
      </c>
      <c r="S6" s="43" t="n">
        <f aca="false">S5-S4</f>
        <v>0</v>
      </c>
    </row>
    <row r="7" customFormat="false" ht="15" hidden="false" customHeight="false" outlineLevel="0" collapsed="false">
      <c r="B7" s="22" t="s">
        <v>432</v>
      </c>
      <c r="C7" s="46" t="n">
        <f aca="false">(4)*15</f>
        <v>60</v>
      </c>
      <c r="D7" s="16" t="n">
        <v>7.95</v>
      </c>
      <c r="E7" s="47" t="n">
        <v>0</v>
      </c>
      <c r="F7" s="14" t="n">
        <f aca="false">(C7*D7)-((C7*D7)*E7)</f>
        <v>477</v>
      </c>
      <c r="L7" s="22" t="s">
        <v>430</v>
      </c>
      <c r="M7" s="46" t="n">
        <f aca="false">(3)*3</f>
        <v>9</v>
      </c>
      <c r="N7" s="16" t="n">
        <v>24.95</v>
      </c>
      <c r="O7" s="47" t="n">
        <v>0</v>
      </c>
      <c r="P7" s="14" t="n">
        <f aca="false">(M7*N7)-((M7*N7)*O7)</f>
        <v>224.55</v>
      </c>
    </row>
    <row r="8" customFormat="false" ht="15" hidden="false" customHeight="false" outlineLevel="0" collapsed="false">
      <c r="B8" s="26" t="s">
        <v>431</v>
      </c>
      <c r="C8" s="44" t="n">
        <f aca="false">(9)*1</f>
        <v>9</v>
      </c>
      <c r="D8" s="28" t="n">
        <v>44.95</v>
      </c>
      <c r="E8" s="45" t="n">
        <v>0</v>
      </c>
      <c r="F8" s="30" t="n">
        <f aca="false">(C8*D8)-((C8*D8)*E8)</f>
        <v>404.55</v>
      </c>
      <c r="H8" s="48" t="s">
        <v>205</v>
      </c>
      <c r="I8" s="48" t="s">
        <v>62</v>
      </c>
      <c r="J8" s="48" t="s">
        <v>206</v>
      </c>
      <c r="L8" s="26" t="s">
        <v>431</v>
      </c>
      <c r="M8" s="44" t="n">
        <f aca="false">(1+1)*1</f>
        <v>2</v>
      </c>
      <c r="N8" s="28" t="n">
        <v>44.95</v>
      </c>
      <c r="O8" s="45" t="n">
        <v>0</v>
      </c>
      <c r="P8" s="30" t="n">
        <f aca="false">(M8*N8)-((M8*N8)*O8)</f>
        <v>89.9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H9" s="23" t="s">
        <v>433</v>
      </c>
      <c r="I9" s="14" t="n">
        <v>262.95</v>
      </c>
      <c r="J9" s="24" t="n">
        <v>0.1</v>
      </c>
      <c r="L9" s="22" t="s">
        <v>430</v>
      </c>
      <c r="M9" s="46" t="n">
        <f aca="false">(2+2+1)*3</f>
        <v>15</v>
      </c>
      <c r="N9" s="16" t="n">
        <v>23.95</v>
      </c>
      <c r="O9" s="47" t="n">
        <v>0</v>
      </c>
      <c r="P9" s="14" t="n">
        <f aca="false">(M9*N9)-((M9*N9)*O9)</f>
        <v>359.25</v>
      </c>
      <c r="R9" s="23" t="s">
        <v>125</v>
      </c>
      <c r="S9" s="14" t="n">
        <v>91.9</v>
      </c>
      <c r="T9" s="24" t="n">
        <v>0.1</v>
      </c>
    </row>
    <row r="10" customFormat="false" ht="15" hidden="false" customHeight="false" outlineLevel="0" collapsed="false">
      <c r="H10" s="23" t="s">
        <v>434</v>
      </c>
      <c r="I10" s="14" t="n">
        <v>89.9</v>
      </c>
      <c r="J10" s="24" t="n">
        <v>0.1</v>
      </c>
      <c r="L10" s="26" t="s">
        <v>432</v>
      </c>
      <c r="M10" s="44" t="n">
        <f aca="false">(1)*15</f>
        <v>15</v>
      </c>
      <c r="N10" s="28" t="n">
        <v>7.95</v>
      </c>
      <c r="O10" s="45" t="n">
        <v>0</v>
      </c>
      <c r="P10" s="30" t="n">
        <f aca="false">(M10*N10)-((M10*N10)*O10)</f>
        <v>119.25</v>
      </c>
      <c r="R10" s="23" t="s">
        <v>125</v>
      </c>
      <c r="S10" s="14" t="n">
        <v>224.55</v>
      </c>
      <c r="T10" s="24" t="n">
        <v>0.04</v>
      </c>
    </row>
    <row r="11" customFormat="false" ht="15" hidden="false" customHeight="false" outlineLevel="0" collapsed="false">
      <c r="H11" s="23" t="s">
        <v>434</v>
      </c>
      <c r="I11" s="14" t="n">
        <v>262.95</v>
      </c>
      <c r="J11" s="24" t="n">
        <v>0.04</v>
      </c>
      <c r="R11" s="23" t="s">
        <v>126</v>
      </c>
      <c r="S11" s="14" t="n">
        <v>44.95</v>
      </c>
      <c r="T11" s="24" t="n">
        <v>0.1</v>
      </c>
    </row>
    <row r="12" customFormat="false" ht="15" hidden="false" customHeight="false" outlineLevel="0" collapsed="false">
      <c r="H12" s="23" t="s">
        <v>435</v>
      </c>
      <c r="I12" s="14" t="n">
        <v>44.95</v>
      </c>
      <c r="J12" s="24" t="n">
        <v>0.1</v>
      </c>
      <c r="R12" s="23" t="s">
        <v>126</v>
      </c>
      <c r="S12" s="14" t="n">
        <v>262.95</v>
      </c>
      <c r="T12" s="24" t="n">
        <v>0.04</v>
      </c>
    </row>
    <row r="13" customFormat="false" ht="15" hidden="false" customHeight="false" outlineLevel="0" collapsed="false">
      <c r="H13" s="23" t="s">
        <v>435</v>
      </c>
      <c r="I13" s="14" t="n">
        <v>71.85</v>
      </c>
      <c r="J13" s="24" t="n">
        <v>0.04</v>
      </c>
      <c r="R13" s="23" t="s">
        <v>127</v>
      </c>
      <c r="S13" s="14" t="n">
        <v>44.95</v>
      </c>
      <c r="T13" s="24" t="n">
        <v>0.1</v>
      </c>
    </row>
    <row r="14" customFormat="false" ht="15" hidden="false" customHeight="false" outlineLevel="0" collapsed="false">
      <c r="H14" s="23" t="s">
        <v>436</v>
      </c>
      <c r="I14" s="14" t="n">
        <v>143.7</v>
      </c>
      <c r="J14" s="24" t="n">
        <v>0.04</v>
      </c>
      <c r="R14" s="23" t="s">
        <v>127</v>
      </c>
      <c r="S14" s="14" t="n">
        <v>143.7</v>
      </c>
      <c r="T14" s="24" t="n">
        <v>0.04</v>
      </c>
    </row>
    <row r="15" customFormat="false" ht="15" hidden="false" customHeight="false" outlineLevel="0" collapsed="false">
      <c r="H15" s="23" t="s">
        <v>437</v>
      </c>
      <c r="I15" s="14" t="n">
        <v>89.9</v>
      </c>
      <c r="J15" s="24" t="n">
        <v>0.1</v>
      </c>
      <c r="R15" s="23" t="s">
        <v>128</v>
      </c>
      <c r="S15" s="14" t="n">
        <v>45.95</v>
      </c>
      <c r="T15" s="24" t="n">
        <v>0.1</v>
      </c>
    </row>
    <row r="16" customFormat="false" ht="15" hidden="false" customHeight="false" outlineLevel="0" collapsed="false">
      <c r="H16" s="23" t="s">
        <v>437</v>
      </c>
      <c r="I16" s="14" t="n">
        <v>143.7</v>
      </c>
      <c r="J16" s="24" t="n">
        <v>0.04</v>
      </c>
      <c r="R16" s="23" t="s">
        <v>128</v>
      </c>
      <c r="S16" s="14" t="n">
        <v>71.85</v>
      </c>
      <c r="T16" s="24" t="n">
        <v>0.04</v>
      </c>
    </row>
    <row r="17" customFormat="false" ht="15" hidden="false" customHeight="false" outlineLevel="0" collapsed="false">
      <c r="H17" s="23" t="s">
        <v>438</v>
      </c>
      <c r="I17" s="14" t="n">
        <v>262.95</v>
      </c>
      <c r="J17" s="24" t="n">
        <v>0.04</v>
      </c>
    </row>
    <row r="18" customFormat="false" ht="15" hidden="false" customHeight="false" outlineLevel="0" collapsed="false">
      <c r="H18" s="23" t="s">
        <v>439</v>
      </c>
      <c r="I18" s="14" t="n">
        <v>89.9</v>
      </c>
      <c r="J18" s="24" t="n">
        <v>0.1</v>
      </c>
    </row>
    <row r="19" customFormat="false" ht="15" hidden="false" customHeight="false" outlineLevel="0" collapsed="false">
      <c r="H19" s="23" t="s">
        <v>439</v>
      </c>
      <c r="I19" s="14" t="n">
        <v>143.7</v>
      </c>
      <c r="J19" s="24" t="n">
        <v>0.04</v>
      </c>
    </row>
    <row r="20" customFormat="false" ht="15" hidden="false" customHeight="false" outlineLevel="0" collapsed="false">
      <c r="H20" s="23" t="s">
        <v>440</v>
      </c>
      <c r="I20" s="14" t="n">
        <v>89.9</v>
      </c>
      <c r="J20" s="24" t="n">
        <v>0.1</v>
      </c>
    </row>
    <row r="21" customFormat="false" ht="15" hidden="false" customHeight="false" outlineLevel="0" collapsed="false">
      <c r="H21" s="23" t="s">
        <v>440</v>
      </c>
      <c r="I21" s="14" t="n">
        <v>119.25</v>
      </c>
      <c r="J21" s="24" t="n">
        <v>0.04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</row>
    <row r="3" customFormat="false" ht="15" hidden="false" customHeight="false" outlineLevel="0" collapsed="false">
      <c r="B3" s="38"/>
      <c r="C3" s="38"/>
      <c r="D3" s="38"/>
      <c r="E3" s="38"/>
      <c r="F3" s="38"/>
    </row>
    <row r="4" customFormat="false" ht="15" hidden="false" customHeight="false" outlineLevel="0" collapsed="false">
      <c r="H4" s="40" t="s">
        <v>58</v>
      </c>
      <c r="I4" s="41" t="n">
        <f aca="false">SUM(F6:F300)</f>
        <v>227.89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227.89</v>
      </c>
    </row>
    <row r="6" customFormat="false" ht="15" hidden="false" customHeight="false" outlineLevel="0" collapsed="false">
      <c r="B6" s="26" t="s">
        <v>441</v>
      </c>
      <c r="C6" s="44" t="n">
        <v>2</v>
      </c>
      <c r="D6" s="28" t="n">
        <v>16.19</v>
      </c>
      <c r="E6" s="45" t="n">
        <v>0</v>
      </c>
      <c r="F6" s="30" t="n">
        <f aca="false">(C6*D6)-((C6*D6)*E6)</f>
        <v>32.38</v>
      </c>
      <c r="H6" s="40" t="s">
        <v>202</v>
      </c>
      <c r="I6" s="41" t="n">
        <f aca="false">I5-I4</f>
        <v>0</v>
      </c>
    </row>
    <row r="7" customFormat="false" ht="15" hidden="false" customHeight="false" outlineLevel="0" collapsed="false">
      <c r="B7" s="22" t="s">
        <v>442</v>
      </c>
      <c r="C7" s="46" t="n">
        <v>1</v>
      </c>
      <c r="D7" s="16" t="n">
        <v>17.92</v>
      </c>
      <c r="E7" s="47" t="n">
        <v>0</v>
      </c>
      <c r="F7" s="14" t="n">
        <f aca="false">(C7*D7)-((C7*D7)*E7)</f>
        <v>17.92</v>
      </c>
    </row>
    <row r="8" customFormat="false" ht="15" hidden="false" customHeight="false" outlineLevel="0" collapsed="false">
      <c r="B8" s="26" t="s">
        <v>443</v>
      </c>
      <c r="C8" s="44" t="n">
        <v>2</v>
      </c>
      <c r="D8" s="28" t="n">
        <v>7.65</v>
      </c>
      <c r="E8" s="45" t="n">
        <v>0</v>
      </c>
      <c r="F8" s="30" t="n">
        <f aca="false">(C8*D8)-((C8*D8)*E8)</f>
        <v>15.3</v>
      </c>
      <c r="H8" s="48" t="s">
        <v>205</v>
      </c>
      <c r="I8" s="48" t="s">
        <v>62</v>
      </c>
      <c r="J8" s="48" t="s">
        <v>206</v>
      </c>
    </row>
    <row r="9" customFormat="false" ht="15" hidden="false" customHeight="false" outlineLevel="0" collapsed="false">
      <c r="B9" s="22" t="s">
        <v>444</v>
      </c>
      <c r="C9" s="46" t="n">
        <v>1</v>
      </c>
      <c r="D9" s="16" t="n">
        <v>6.11</v>
      </c>
      <c r="E9" s="47" t="n">
        <v>0</v>
      </c>
      <c r="F9" s="14" t="n">
        <f aca="false">(C9*D9)-((C9*D9)*E9)</f>
        <v>6.11</v>
      </c>
      <c r="H9" s="23" t="s">
        <v>445</v>
      </c>
      <c r="I9" s="14" t="n">
        <v>85.32</v>
      </c>
      <c r="J9" s="24" t="n">
        <v>0.1</v>
      </c>
    </row>
    <row r="10" customFormat="false" ht="15" hidden="false" customHeight="false" outlineLevel="0" collapsed="false">
      <c r="B10" s="26" t="s">
        <v>446</v>
      </c>
      <c r="C10" s="44" t="n">
        <v>4</v>
      </c>
      <c r="D10" s="28" t="n">
        <v>2.81</v>
      </c>
      <c r="E10" s="45" t="n">
        <v>0</v>
      </c>
      <c r="F10" s="30" t="n">
        <f aca="false">(C10*D10)-((C10*D10)*E10)</f>
        <v>11.24</v>
      </c>
      <c r="H10" s="23" t="s">
        <v>445</v>
      </c>
      <c r="I10" s="14" t="n">
        <v>142.57</v>
      </c>
      <c r="J10" s="24" t="n">
        <v>0.04</v>
      </c>
    </row>
    <row r="11" customFormat="false" ht="15" hidden="false" customHeight="false" outlineLevel="0" collapsed="false">
      <c r="B11" s="22" t="s">
        <v>447</v>
      </c>
      <c r="C11" s="46" t="n">
        <v>1</v>
      </c>
      <c r="D11" s="16" t="n">
        <v>4.68</v>
      </c>
      <c r="E11" s="47" t="n">
        <v>0</v>
      </c>
      <c r="F11" s="14" t="n">
        <f aca="false">(C11*D11)-((C11*D11)*E11)</f>
        <v>4.68</v>
      </c>
    </row>
    <row r="12" customFormat="false" ht="15" hidden="false" customHeight="false" outlineLevel="0" collapsed="false">
      <c r="B12" s="26" t="s">
        <v>448</v>
      </c>
      <c r="C12" s="44" t="n">
        <v>5</v>
      </c>
      <c r="D12" s="28" t="n">
        <v>11.5</v>
      </c>
      <c r="E12" s="45" t="n">
        <v>0</v>
      </c>
      <c r="F12" s="30" t="n">
        <f aca="false">(C12*D12)-((C12*D12)*E12)</f>
        <v>57.5</v>
      </c>
    </row>
    <row r="13" customFormat="false" ht="15" hidden="false" customHeight="false" outlineLevel="0" collapsed="false">
      <c r="B13" s="22" t="s">
        <v>449</v>
      </c>
      <c r="C13" s="46" t="n">
        <v>4</v>
      </c>
      <c r="D13" s="16" t="n">
        <v>1.49</v>
      </c>
      <c r="E13" s="47" t="n">
        <v>0</v>
      </c>
      <c r="F13" s="14" t="n">
        <f aca="false">(C13*D13)-((C13*D13)*E13)</f>
        <v>5.96</v>
      </c>
    </row>
    <row r="14" customFormat="false" ht="15" hidden="false" customHeight="false" outlineLevel="0" collapsed="false">
      <c r="B14" s="26" t="s">
        <v>450</v>
      </c>
      <c r="C14" s="44" t="n">
        <v>1</v>
      </c>
      <c r="D14" s="28" t="n">
        <v>10.62</v>
      </c>
      <c r="E14" s="45" t="n">
        <v>0</v>
      </c>
      <c r="F14" s="30" t="n">
        <f aca="false">(C14*D14)-((C14*D14)*E14)</f>
        <v>10.62</v>
      </c>
    </row>
    <row r="15" customFormat="false" ht="15" hidden="false" customHeight="false" outlineLevel="0" collapsed="false">
      <c r="B15" s="22" t="s">
        <v>451</v>
      </c>
      <c r="C15" s="46" t="n">
        <v>12</v>
      </c>
      <c r="D15" s="16" t="n">
        <v>2.04</v>
      </c>
      <c r="E15" s="47" t="n">
        <v>0</v>
      </c>
      <c r="F15" s="14" t="n">
        <f aca="false">(C15*D15)-((C15*D15)*E15)</f>
        <v>24.48</v>
      </c>
    </row>
    <row r="16" customFormat="false" ht="15" hidden="false" customHeight="false" outlineLevel="0" collapsed="false">
      <c r="B16" s="26" t="s">
        <v>452</v>
      </c>
      <c r="C16" s="44" t="n">
        <v>1</v>
      </c>
      <c r="D16" s="28" t="n">
        <v>23.64</v>
      </c>
      <c r="E16" s="45" t="n">
        <v>0</v>
      </c>
      <c r="F16" s="30" t="n">
        <f aca="false">(C16*D16)-((C16*D16)*E16)</f>
        <v>23.64</v>
      </c>
    </row>
    <row r="17" customFormat="false" ht="15" hidden="false" customHeight="false" outlineLevel="0" collapsed="false">
      <c r="B17" s="22" t="s">
        <v>453</v>
      </c>
      <c r="C17" s="46" t="n">
        <v>2</v>
      </c>
      <c r="D17" s="16" t="n">
        <v>9.03</v>
      </c>
      <c r="E17" s="47" t="n">
        <v>0</v>
      </c>
      <c r="F17" s="14" t="n">
        <f aca="false">(C17*D17)-((C17*D17)*E17)</f>
        <v>18.06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904.824</v>
      </c>
      <c r="R4" s="42" t="s">
        <v>58</v>
      </c>
      <c r="S4" s="43" t="n">
        <f aca="false">SUM(P6:P300)</f>
        <v>425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904.82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425</v>
      </c>
    </row>
    <row r="6" customFormat="false" ht="15" hidden="false" customHeight="false" outlineLevel="0" collapsed="false">
      <c r="B6" s="26" t="s">
        <v>454</v>
      </c>
      <c r="C6" s="44" t="n">
        <f aca="false">20+15</f>
        <v>35</v>
      </c>
      <c r="D6" s="28" t="n">
        <v>7.35</v>
      </c>
      <c r="E6" s="45" t="n">
        <v>0</v>
      </c>
      <c r="F6" s="30" t="n">
        <f aca="false">(C6*D6)-((C6*D6)*E6)</f>
        <v>257.25</v>
      </c>
      <c r="H6" s="40" t="s">
        <v>202</v>
      </c>
      <c r="I6" s="41" t="n">
        <f aca="false">I5-I4</f>
        <v>-0.0040000000000191</v>
      </c>
      <c r="L6" s="26" t="s">
        <v>455</v>
      </c>
      <c r="M6" s="44" t="n">
        <v>20</v>
      </c>
      <c r="N6" s="28" t="n">
        <v>13.9</v>
      </c>
      <c r="O6" s="45" t="n">
        <v>0</v>
      </c>
      <c r="P6" s="30" t="n">
        <f aca="false">(M6*N6)-((M6*N6)*O6)</f>
        <v>278</v>
      </c>
      <c r="R6" s="42" t="s">
        <v>202</v>
      </c>
      <c r="S6" s="43" t="n">
        <f aca="false">S5-S4</f>
        <v>0</v>
      </c>
    </row>
    <row r="7" customFormat="false" ht="15" hidden="false" customHeight="false" outlineLevel="0" collapsed="false">
      <c r="B7" s="22" t="s">
        <v>456</v>
      </c>
      <c r="C7" s="46" t="n">
        <f aca="false">-1.34</f>
        <v>-1.34</v>
      </c>
      <c r="D7" s="16" t="n">
        <v>58.9</v>
      </c>
      <c r="E7" s="47" t="n">
        <v>0</v>
      </c>
      <c r="F7" s="14" t="n">
        <f aca="false">(C7*D7)-((C7*D7)*E7)</f>
        <v>-78.926</v>
      </c>
      <c r="L7" s="22" t="s">
        <v>457</v>
      </c>
      <c r="M7" s="46" t="n">
        <v>20</v>
      </c>
      <c r="N7" s="16" t="n">
        <v>7.35</v>
      </c>
      <c r="O7" s="47" t="n">
        <v>0</v>
      </c>
      <c r="P7" s="14" t="n">
        <f aca="false">(M7*N7)-((M7*N7)*O7)</f>
        <v>147</v>
      </c>
    </row>
    <row r="8" customFormat="false" ht="15" hidden="false" customHeight="false" outlineLevel="0" collapsed="false">
      <c r="B8" s="26" t="s">
        <v>455</v>
      </c>
      <c r="C8" s="44" t="n">
        <f aca="false">15+20</f>
        <v>35</v>
      </c>
      <c r="D8" s="28" t="n">
        <v>13.9</v>
      </c>
      <c r="E8" s="45" t="n">
        <v>0</v>
      </c>
      <c r="F8" s="30" t="n">
        <f aca="false">(C8*D8)-((C8*D8)*E8)</f>
        <v>486.5</v>
      </c>
      <c r="H8" s="48" t="s">
        <v>205</v>
      </c>
      <c r="I8" s="48" t="s">
        <v>62</v>
      </c>
      <c r="J8" s="48" t="s">
        <v>206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458</v>
      </c>
      <c r="C9" s="46" t="n">
        <v>15</v>
      </c>
      <c r="D9" s="16" t="n">
        <v>16</v>
      </c>
      <c r="E9" s="47" t="n">
        <v>0</v>
      </c>
      <c r="F9" s="14" t="n">
        <f aca="false">(C9*D9)-((C9*D9)*E9)</f>
        <v>240</v>
      </c>
      <c r="H9" s="23" t="s">
        <v>459</v>
      </c>
      <c r="I9" s="14" t="n">
        <v>68.07</v>
      </c>
      <c r="J9" s="24" t="n">
        <v>0.1</v>
      </c>
      <c r="R9" s="23" t="s">
        <v>129</v>
      </c>
      <c r="S9" s="14" t="n">
        <v>425</v>
      </c>
      <c r="T9" s="24" t="n">
        <v>0.1</v>
      </c>
    </row>
    <row r="10" customFormat="false" ht="15" hidden="false" customHeight="false" outlineLevel="0" collapsed="false">
      <c r="H10" s="23" t="s">
        <v>460</v>
      </c>
      <c r="I10" s="14" t="n">
        <v>558.75</v>
      </c>
      <c r="J10" s="24" t="n">
        <v>0.1</v>
      </c>
    </row>
    <row r="11" customFormat="false" ht="15" hidden="false" customHeight="false" outlineLevel="0" collapsed="false">
      <c r="H11" s="23" t="s">
        <v>461</v>
      </c>
      <c r="I11" s="14" t="n">
        <v>278</v>
      </c>
      <c r="J11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3561.4</v>
      </c>
      <c r="R4" s="42" t="s">
        <v>58</v>
      </c>
      <c r="S4" s="43" t="n">
        <f aca="false">SUM(P6:P300)</f>
        <v>1617.8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3561.4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1617.8</v>
      </c>
    </row>
    <row r="6" customFormat="false" ht="15" hidden="false" customHeight="false" outlineLevel="0" collapsed="false">
      <c r="B6" s="26" t="s">
        <v>462</v>
      </c>
      <c r="C6" s="44" t="n">
        <f aca="false">6+2+2+2+2+2+2+2</f>
        <v>20</v>
      </c>
      <c r="D6" s="28" t="n">
        <v>25</v>
      </c>
      <c r="E6" s="45" t="n">
        <v>0</v>
      </c>
      <c r="F6" s="30" t="n">
        <f aca="false">(C6*D6)-((C6*D6)*E6)</f>
        <v>500</v>
      </c>
      <c r="H6" s="40" t="s">
        <v>202</v>
      </c>
      <c r="I6" s="41" t="n">
        <f aca="false">I5-I4</f>
        <v>0</v>
      </c>
      <c r="L6" s="26" t="s">
        <v>463</v>
      </c>
      <c r="M6" s="44" t="n">
        <f aca="false">5+5+5</f>
        <v>15</v>
      </c>
      <c r="N6" s="28" t="n">
        <v>2.7</v>
      </c>
      <c r="O6" s="45" t="n">
        <v>0</v>
      </c>
      <c r="P6" s="30" t="n">
        <f aca="false">(M6*N6)-((M6*N6)*O6)</f>
        <v>40.5</v>
      </c>
      <c r="R6" s="42" t="s">
        <v>202</v>
      </c>
      <c r="S6" s="43" t="n">
        <f aca="false">S5-S4</f>
        <v>0</v>
      </c>
    </row>
    <row r="7" customFormat="false" ht="15" hidden="false" customHeight="false" outlineLevel="0" collapsed="false">
      <c r="B7" s="22" t="s">
        <v>463</v>
      </c>
      <c r="C7" s="46" t="n">
        <f aca="false">15+5+5+5+5+5+5</f>
        <v>45</v>
      </c>
      <c r="D7" s="16" t="n">
        <v>2.7</v>
      </c>
      <c r="E7" s="47" t="n">
        <v>0</v>
      </c>
      <c r="F7" s="14" t="n">
        <f aca="false">(C7*D7)-((C7*D7)*E7)</f>
        <v>121.5</v>
      </c>
      <c r="L7" s="22" t="s">
        <v>464</v>
      </c>
      <c r="M7" s="46" t="n">
        <f aca="false">2+3+2+2+2+2+2+4</f>
        <v>19</v>
      </c>
      <c r="N7" s="16" t="n">
        <v>50</v>
      </c>
      <c r="O7" s="47" t="n">
        <v>0</v>
      </c>
      <c r="P7" s="14" t="n">
        <f aca="false">(M7*N7)-((M7*N7)*O7)</f>
        <v>950</v>
      </c>
    </row>
    <row r="8" customFormat="false" ht="15" hidden="false" customHeight="false" outlineLevel="0" collapsed="false">
      <c r="B8" s="26" t="s">
        <v>465</v>
      </c>
      <c r="C8" s="44" t="n">
        <f aca="false">1+0.3+0.5+0.5+0.5</f>
        <v>2.8</v>
      </c>
      <c r="D8" s="28" t="n">
        <v>98</v>
      </c>
      <c r="E8" s="45" t="n">
        <v>0</v>
      </c>
      <c r="F8" s="30" t="n">
        <f aca="false">(C8*D8)-((C8*D8)*E8)</f>
        <v>274.4</v>
      </c>
      <c r="H8" s="48" t="s">
        <v>205</v>
      </c>
      <c r="I8" s="48" t="s">
        <v>62</v>
      </c>
      <c r="J8" s="48" t="s">
        <v>206</v>
      </c>
      <c r="L8" s="26" t="s">
        <v>462</v>
      </c>
      <c r="M8" s="44" t="n">
        <f aca="false">2+1</f>
        <v>3</v>
      </c>
      <c r="N8" s="28" t="n">
        <v>22</v>
      </c>
      <c r="O8" s="45" t="n">
        <v>0</v>
      </c>
      <c r="P8" s="30" t="n">
        <f aca="false">(M8*N8)-((M8*N8)*O8)</f>
        <v>66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464</v>
      </c>
      <c r="C9" s="46" t="n">
        <f aca="false">10+4+2+2+4+2+2+4+4+4+2</f>
        <v>40</v>
      </c>
      <c r="D9" s="16" t="n">
        <v>50</v>
      </c>
      <c r="E9" s="47" t="n">
        <v>0</v>
      </c>
      <c r="F9" s="14" t="n">
        <f aca="false">(C9*D9)-((C9*D9)*E9)</f>
        <v>2000</v>
      </c>
      <c r="H9" s="23" t="s">
        <v>466</v>
      </c>
      <c r="I9" s="14" t="n">
        <v>63.5</v>
      </c>
      <c r="J9" s="24" t="n">
        <v>0.1</v>
      </c>
      <c r="L9" s="22" t="s">
        <v>467</v>
      </c>
      <c r="M9" s="46" t="n">
        <v>2</v>
      </c>
      <c r="N9" s="16" t="n">
        <v>50</v>
      </c>
      <c r="O9" s="47" t="n">
        <v>0</v>
      </c>
      <c r="P9" s="14" t="n">
        <f aca="false">(M9*N9)-((M9*N9)*O9)</f>
        <v>100</v>
      </c>
      <c r="R9" s="23" t="s">
        <v>130</v>
      </c>
      <c r="S9" s="14" t="n">
        <v>13.5</v>
      </c>
      <c r="T9" s="24" t="n">
        <v>0.1</v>
      </c>
    </row>
    <row r="10" customFormat="false" ht="15" hidden="false" customHeight="false" outlineLevel="0" collapsed="false">
      <c r="B10" s="26" t="s">
        <v>468</v>
      </c>
      <c r="C10" s="44" t="n">
        <f aca="false">1+0.5+0.65+0.5+0.75+0.5</f>
        <v>3.9</v>
      </c>
      <c r="D10" s="28" t="n">
        <v>95</v>
      </c>
      <c r="E10" s="45" t="n">
        <v>0</v>
      </c>
      <c r="F10" s="30" t="n">
        <f aca="false">(C10*D10)-((C10*D10)*E10)</f>
        <v>370.5</v>
      </c>
      <c r="H10" s="23" t="s">
        <v>469</v>
      </c>
      <c r="I10" s="14" t="n">
        <v>309</v>
      </c>
      <c r="J10" s="24" t="n">
        <v>0.1</v>
      </c>
      <c r="L10" s="26" t="s">
        <v>465</v>
      </c>
      <c r="M10" s="44" t="n">
        <v>0.5</v>
      </c>
      <c r="N10" s="28" t="n">
        <v>95</v>
      </c>
      <c r="O10" s="45" t="n">
        <v>0</v>
      </c>
      <c r="P10" s="30" t="n">
        <f aca="false">(M10*N10)-((M10*N10)*O10)</f>
        <v>47.5</v>
      </c>
      <c r="R10" s="23" t="s">
        <v>131</v>
      </c>
      <c r="S10" s="14" t="n">
        <v>113.5</v>
      </c>
      <c r="T10" s="24" t="n">
        <v>0.1</v>
      </c>
    </row>
    <row r="11" customFormat="false" ht="15" hidden="false" customHeight="false" outlineLevel="0" collapsed="false">
      <c r="B11" s="22" t="s">
        <v>470</v>
      </c>
      <c r="C11" s="46" t="n">
        <v>2</v>
      </c>
      <c r="D11" s="16" t="n">
        <v>0</v>
      </c>
      <c r="E11" s="47" t="n">
        <v>0</v>
      </c>
      <c r="F11" s="14" t="n">
        <f aca="false">(C11*D11)-((C11*D11)*E11)</f>
        <v>0</v>
      </c>
      <c r="H11" s="23" t="s">
        <v>471</v>
      </c>
      <c r="I11" s="14" t="n">
        <v>250</v>
      </c>
      <c r="J11" s="24" t="n">
        <v>0.1</v>
      </c>
      <c r="L11" s="22" t="s">
        <v>462</v>
      </c>
      <c r="M11" s="46" t="n">
        <f aca="false">2+2+2</f>
        <v>6</v>
      </c>
      <c r="N11" s="16" t="n">
        <v>24</v>
      </c>
      <c r="O11" s="47" t="n">
        <v>0</v>
      </c>
      <c r="P11" s="14" t="n">
        <f aca="false">(M11*N11)-((M11*N11)*O11)</f>
        <v>144</v>
      </c>
      <c r="R11" s="23" t="s">
        <v>132</v>
      </c>
      <c r="S11" s="14" t="n">
        <v>144</v>
      </c>
      <c r="T11" s="24" t="n">
        <v>0.1</v>
      </c>
    </row>
    <row r="12" customFormat="false" ht="15" hidden="false" customHeight="false" outlineLevel="0" collapsed="false">
      <c r="B12" s="26" t="s">
        <v>462</v>
      </c>
      <c r="C12" s="44" t="n">
        <f aca="false">2+1+2</f>
        <v>5</v>
      </c>
      <c r="D12" s="28" t="n">
        <v>24</v>
      </c>
      <c r="E12" s="45" t="n">
        <v>0</v>
      </c>
      <c r="F12" s="30" t="n">
        <f aca="false">(C12*D12)-((C12*D12)*E12)</f>
        <v>120</v>
      </c>
      <c r="H12" s="23" t="s">
        <v>472</v>
      </c>
      <c r="I12" s="14" t="n">
        <v>261</v>
      </c>
      <c r="J12" s="24" t="n">
        <v>0.1</v>
      </c>
      <c r="L12" s="26" t="s">
        <v>465</v>
      </c>
      <c r="M12" s="44" t="n">
        <f aca="false">0.6+0.5</f>
        <v>1.1</v>
      </c>
      <c r="N12" s="28" t="n">
        <v>98</v>
      </c>
      <c r="O12" s="45" t="n">
        <v>0</v>
      </c>
      <c r="P12" s="30" t="n">
        <f aca="false">(M12*N12)-((M12*N12)*O12)</f>
        <v>107.8</v>
      </c>
      <c r="R12" s="23" t="s">
        <v>133</v>
      </c>
      <c r="S12" s="14" t="n">
        <v>69.5</v>
      </c>
      <c r="T12" s="24" t="n">
        <v>0.1</v>
      </c>
    </row>
    <row r="13" customFormat="false" ht="15" hidden="false" customHeight="false" outlineLevel="0" collapsed="false">
      <c r="B13" s="22" t="s">
        <v>467</v>
      </c>
      <c r="C13" s="46" t="n">
        <f aca="false">1.5+2</f>
        <v>3.5</v>
      </c>
      <c r="D13" s="16" t="n">
        <v>50</v>
      </c>
      <c r="E13" s="47" t="n">
        <v>0</v>
      </c>
      <c r="F13" s="14" t="n">
        <f aca="false">(C13*D13)-((C13*D13)*E13)</f>
        <v>175</v>
      </c>
      <c r="H13" s="23" t="s">
        <v>473</v>
      </c>
      <c r="I13" s="14" t="n">
        <v>263.5</v>
      </c>
      <c r="J13" s="24" t="n">
        <v>0.1</v>
      </c>
      <c r="L13" s="22" t="s">
        <v>468</v>
      </c>
      <c r="M13" s="46" t="n">
        <f aca="false">0.7+0.5</f>
        <v>1.2</v>
      </c>
      <c r="N13" s="16" t="n">
        <v>95</v>
      </c>
      <c r="O13" s="47" t="n">
        <v>0</v>
      </c>
      <c r="P13" s="14" t="n">
        <f aca="false">(M13*N13)-((M13*N13)*O13)</f>
        <v>114</v>
      </c>
      <c r="R13" s="23" t="s">
        <v>134</v>
      </c>
      <c r="S13" s="14" t="n">
        <v>150</v>
      </c>
      <c r="T13" s="24" t="n">
        <v>0.1</v>
      </c>
    </row>
    <row r="14" customFormat="false" ht="15" hidden="false" customHeight="false" outlineLevel="0" collapsed="false">
      <c r="H14" s="23" t="s">
        <v>474</v>
      </c>
      <c r="I14" s="14" t="n">
        <v>42.9</v>
      </c>
      <c r="J14" s="24" t="n">
        <v>0.1</v>
      </c>
      <c r="L14" s="26" t="s">
        <v>465</v>
      </c>
      <c r="M14" s="44" t="n">
        <v>0.5</v>
      </c>
      <c r="N14" s="28" t="n">
        <v>96</v>
      </c>
      <c r="O14" s="45" t="n">
        <v>0</v>
      </c>
      <c r="P14" s="30" t="n">
        <f aca="false">(M14*N14)-((M14*N14)*O14)</f>
        <v>48</v>
      </c>
      <c r="R14" s="23" t="s">
        <v>135</v>
      </c>
      <c r="S14" s="14" t="n">
        <v>206.8</v>
      </c>
      <c r="T14" s="24" t="n">
        <v>0.1</v>
      </c>
    </row>
    <row r="15" customFormat="false" ht="15" hidden="false" customHeight="false" outlineLevel="0" collapsed="false">
      <c r="H15" s="23" t="s">
        <v>475</v>
      </c>
      <c r="I15" s="14" t="n">
        <v>197.5</v>
      </c>
      <c r="J15" s="24" t="n">
        <v>0.1</v>
      </c>
      <c r="R15" s="23" t="s">
        <v>136</v>
      </c>
      <c r="S15" s="14" t="n">
        <v>149</v>
      </c>
      <c r="T15" s="24" t="n">
        <v>0.1</v>
      </c>
    </row>
    <row r="16" customFormat="false" ht="15" hidden="false" customHeight="false" outlineLevel="0" collapsed="false">
      <c r="H16" s="23" t="s">
        <v>476</v>
      </c>
      <c r="I16" s="14" t="n">
        <v>100</v>
      </c>
      <c r="J16" s="24" t="n">
        <v>0.1</v>
      </c>
      <c r="R16" s="23" t="s">
        <v>137</v>
      </c>
      <c r="S16" s="14" t="n">
        <v>166.5</v>
      </c>
      <c r="T16" s="24" t="n">
        <v>0.1</v>
      </c>
    </row>
    <row r="17" customFormat="false" ht="15" hidden="false" customHeight="false" outlineLevel="0" collapsed="false">
      <c r="H17" s="23" t="s">
        <v>477</v>
      </c>
      <c r="I17" s="14" t="n">
        <v>249</v>
      </c>
      <c r="J17" s="24" t="n">
        <v>0.1</v>
      </c>
      <c r="R17" s="23" t="s">
        <v>138</v>
      </c>
      <c r="S17" s="14" t="n">
        <v>209</v>
      </c>
      <c r="T17" s="24" t="n">
        <v>0.1</v>
      </c>
    </row>
    <row r="18" customFormat="false" ht="15" hidden="false" customHeight="false" outlineLevel="0" collapsed="false">
      <c r="H18" s="23" t="s">
        <v>478</v>
      </c>
      <c r="I18" s="14" t="n">
        <v>50</v>
      </c>
      <c r="J18" s="24" t="n">
        <v>0.1</v>
      </c>
      <c r="R18" s="23" t="s">
        <v>139</v>
      </c>
      <c r="S18" s="14" t="n">
        <v>148</v>
      </c>
      <c r="T18" s="24" t="n">
        <v>0.1</v>
      </c>
    </row>
    <row r="19" customFormat="false" ht="15" hidden="false" customHeight="false" outlineLevel="0" collapsed="false">
      <c r="H19" s="23" t="s">
        <v>479</v>
      </c>
      <c r="I19" s="14" t="n">
        <v>100</v>
      </c>
      <c r="J19" s="24" t="n">
        <v>0.1</v>
      </c>
      <c r="R19" s="23" t="s">
        <v>140</v>
      </c>
      <c r="S19" s="14" t="n">
        <v>48</v>
      </c>
      <c r="T19" s="24" t="n">
        <v>0.1</v>
      </c>
    </row>
    <row r="20" customFormat="false" ht="15" hidden="false" customHeight="false" outlineLevel="0" collapsed="false">
      <c r="H20" s="23" t="s">
        <v>480</v>
      </c>
      <c r="I20" s="14" t="n">
        <v>149</v>
      </c>
      <c r="J20" s="24" t="n">
        <v>0.1</v>
      </c>
      <c r="R20" s="23" t="s">
        <v>141</v>
      </c>
      <c r="S20" s="14" t="n">
        <v>200</v>
      </c>
      <c r="T20" s="24" t="n">
        <v>0.1</v>
      </c>
    </row>
    <row r="21" customFormat="false" ht="15" hidden="false" customHeight="false" outlineLevel="0" collapsed="false">
      <c r="H21" s="23" t="s">
        <v>481</v>
      </c>
      <c r="I21" s="14" t="n">
        <v>250</v>
      </c>
      <c r="J21" s="24" t="n">
        <v>0.1</v>
      </c>
    </row>
    <row r="22" customFormat="false" ht="15" hidden="false" customHeight="false" outlineLevel="0" collapsed="false">
      <c r="H22" s="23" t="s">
        <v>482</v>
      </c>
      <c r="I22" s="14" t="n">
        <v>125.25</v>
      </c>
      <c r="J22" s="24" t="n">
        <v>0.1</v>
      </c>
    </row>
    <row r="23" customFormat="false" ht="15" hidden="false" customHeight="false" outlineLevel="0" collapsed="false">
      <c r="H23" s="23" t="s">
        <v>483</v>
      </c>
      <c r="I23" s="14" t="n">
        <v>297.5</v>
      </c>
      <c r="J23" s="24" t="n">
        <v>0.1</v>
      </c>
    </row>
    <row r="24" customFormat="false" ht="15" hidden="false" customHeight="false" outlineLevel="0" collapsed="false">
      <c r="H24" s="23" t="s">
        <v>484</v>
      </c>
      <c r="I24" s="14" t="n">
        <v>84.75</v>
      </c>
      <c r="J24" s="24" t="n">
        <v>0.1</v>
      </c>
    </row>
    <row r="25" customFormat="false" ht="15" hidden="false" customHeight="false" outlineLevel="0" collapsed="false">
      <c r="H25" s="23" t="s">
        <v>485</v>
      </c>
      <c r="I25" s="14" t="n">
        <v>63.5</v>
      </c>
      <c r="J25" s="24" t="n">
        <v>0.1</v>
      </c>
    </row>
    <row r="26" customFormat="false" ht="15" hidden="false" customHeight="false" outlineLevel="0" collapsed="false">
      <c r="H26" s="23" t="s">
        <v>486</v>
      </c>
      <c r="I26" s="14" t="n">
        <v>295.5</v>
      </c>
      <c r="J26" s="24" t="n">
        <v>0.1</v>
      </c>
    </row>
    <row r="27" customFormat="false" ht="15" hidden="false" customHeight="false" outlineLevel="0" collapsed="false">
      <c r="H27" s="23" t="s">
        <v>487</v>
      </c>
      <c r="I27" s="14" t="n">
        <v>75</v>
      </c>
      <c r="J27" s="24" t="n">
        <v>0.1</v>
      </c>
    </row>
    <row r="28" customFormat="false" ht="15" hidden="false" customHeight="false" outlineLevel="0" collapsed="false">
      <c r="H28" s="23" t="s">
        <v>488</v>
      </c>
      <c r="I28" s="14" t="n">
        <v>186.5</v>
      </c>
      <c r="J28" s="24" t="n">
        <v>0.1</v>
      </c>
    </row>
    <row r="29" customFormat="false" ht="15" hidden="false" customHeight="false" outlineLevel="0" collapsed="false">
      <c r="H29" s="23" t="s">
        <v>489</v>
      </c>
      <c r="I29" s="14" t="n">
        <v>148</v>
      </c>
      <c r="J29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</row>
    <row r="3" customFormat="false" ht="15" hidden="false" customHeight="false" outlineLevel="0" collapsed="false">
      <c r="B3" s="38"/>
      <c r="C3" s="38"/>
      <c r="D3" s="38"/>
      <c r="E3" s="38"/>
      <c r="F3" s="38"/>
    </row>
    <row r="4" customFormat="false" ht="15" hidden="false" customHeight="false" outlineLevel="0" collapsed="false">
      <c r="H4" s="40" t="s">
        <v>58</v>
      </c>
      <c r="I4" s="41" t="n">
        <f aca="false">SUM(F6:F300)</f>
        <v>171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171</v>
      </c>
    </row>
    <row r="6" customFormat="false" ht="15" hidden="false" customHeight="false" outlineLevel="0" collapsed="false">
      <c r="B6" s="26" t="s">
        <v>490</v>
      </c>
      <c r="C6" s="44" t="n">
        <f aca="false">1+1+1</f>
        <v>3</v>
      </c>
      <c r="D6" s="28" t="n">
        <v>57</v>
      </c>
      <c r="E6" s="45" t="n">
        <v>0</v>
      </c>
      <c r="F6" s="30" t="n">
        <f aca="false">(C6*D6)-((C6*D6)*E6)</f>
        <v>171</v>
      </c>
      <c r="H6" s="40" t="s">
        <v>202</v>
      </c>
      <c r="I6" s="41" t="n">
        <f aca="false">I5-I4</f>
        <v>0</v>
      </c>
    </row>
    <row r="8" customFormat="false" ht="15" hidden="false" customHeight="false" outlineLevel="0" collapsed="false">
      <c r="H8" s="48" t="s">
        <v>205</v>
      </c>
      <c r="I8" s="48" t="s">
        <v>62</v>
      </c>
      <c r="J8" s="48" t="s">
        <v>206</v>
      </c>
    </row>
    <row r="9" customFormat="false" ht="15" hidden="false" customHeight="false" outlineLevel="0" collapsed="false">
      <c r="H9" s="23" t="s">
        <v>491</v>
      </c>
      <c r="I9" s="14" t="n">
        <v>57</v>
      </c>
      <c r="J9" s="24" t="n">
        <v>0.04</v>
      </c>
    </row>
    <row r="10" customFormat="false" ht="15" hidden="false" customHeight="false" outlineLevel="0" collapsed="false">
      <c r="H10" s="23" t="s">
        <v>492</v>
      </c>
      <c r="I10" s="14" t="n">
        <v>57</v>
      </c>
      <c r="J10" s="24" t="n">
        <v>0.04</v>
      </c>
    </row>
    <row r="11" customFormat="false" ht="15" hidden="false" customHeight="false" outlineLevel="0" collapsed="false">
      <c r="H11" s="23" t="s">
        <v>493</v>
      </c>
      <c r="I11" s="14" t="n">
        <v>57</v>
      </c>
      <c r="J11" s="24" t="n">
        <v>0.04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5092.38</v>
      </c>
      <c r="R4" s="42" t="s">
        <v>58</v>
      </c>
      <c r="S4" s="43" t="n">
        <f aca="false">SUM(P6:P300)</f>
        <v>1920.54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5092.38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1920.54</v>
      </c>
    </row>
    <row r="6" customFormat="false" ht="15" hidden="false" customHeight="false" outlineLevel="0" collapsed="false">
      <c r="B6" s="26" t="s">
        <v>494</v>
      </c>
      <c r="C6" s="44" t="n">
        <f aca="false">(3)*6</f>
        <v>18</v>
      </c>
      <c r="D6" s="28" t="n">
        <v>5.63</v>
      </c>
      <c r="E6" s="45" t="n">
        <v>0</v>
      </c>
      <c r="F6" s="30" t="n">
        <f aca="false">(C6*D6)-((C6*D6)*E6)</f>
        <v>101.34</v>
      </c>
      <c r="H6" s="40" t="s">
        <v>202</v>
      </c>
      <c r="I6" s="41" t="n">
        <f aca="false">I5-I4</f>
        <v>0</v>
      </c>
      <c r="L6" s="26" t="s">
        <v>495</v>
      </c>
      <c r="M6" s="44" t="n">
        <f aca="false">(8+3)*6</f>
        <v>66</v>
      </c>
      <c r="N6" s="28" t="n">
        <v>4.67</v>
      </c>
      <c r="O6" s="45" t="n">
        <v>0</v>
      </c>
      <c r="P6" s="30" t="n">
        <f aca="false">(M6*N6)-((M6*N6)*O6)</f>
        <v>308.22</v>
      </c>
      <c r="R6" s="42" t="s">
        <v>202</v>
      </c>
      <c r="S6" s="43" t="n">
        <f aca="false">S5-S4</f>
        <v>0</v>
      </c>
    </row>
    <row r="7" customFormat="false" ht="15" hidden="false" customHeight="false" outlineLevel="0" collapsed="false">
      <c r="B7" s="22" t="s">
        <v>496</v>
      </c>
      <c r="C7" s="46" t="n">
        <f aca="false">(36)*6</f>
        <v>216</v>
      </c>
      <c r="D7" s="16" t="n">
        <v>11.77</v>
      </c>
      <c r="E7" s="47" t="n">
        <v>0</v>
      </c>
      <c r="F7" s="14" t="n">
        <f aca="false">(C7*D7)-((C7*D7)*E7)</f>
        <v>2542.32</v>
      </c>
      <c r="L7" s="22" t="s">
        <v>497</v>
      </c>
      <c r="M7" s="46" t="n">
        <f aca="false">(4)*6</f>
        <v>24</v>
      </c>
      <c r="N7" s="16" t="n">
        <v>8.78</v>
      </c>
      <c r="O7" s="47" t="n">
        <v>0</v>
      </c>
      <c r="P7" s="14" t="n">
        <f aca="false">(M7*N7)-((M7*N7)*O7)</f>
        <v>210.72</v>
      </c>
    </row>
    <row r="8" customFormat="false" ht="15" hidden="false" customHeight="false" outlineLevel="0" collapsed="false">
      <c r="B8" s="26" t="s">
        <v>495</v>
      </c>
      <c r="C8" s="44" t="n">
        <f aca="false">(27)*6</f>
        <v>162</v>
      </c>
      <c r="D8" s="28" t="n">
        <v>4.67</v>
      </c>
      <c r="E8" s="45" t="n">
        <v>0</v>
      </c>
      <c r="F8" s="30" t="n">
        <f aca="false">(C8*D8)-((C8*D8)*E8)</f>
        <v>756.54</v>
      </c>
      <c r="H8" s="48" t="s">
        <v>205</v>
      </c>
      <c r="I8" s="48" t="s">
        <v>62</v>
      </c>
      <c r="J8" s="48" t="s">
        <v>206</v>
      </c>
      <c r="L8" s="26" t="s">
        <v>496</v>
      </c>
      <c r="M8" s="44" t="n">
        <f aca="false">(7)*6</f>
        <v>42</v>
      </c>
      <c r="N8" s="28" t="n">
        <v>11.77</v>
      </c>
      <c r="O8" s="45" t="n">
        <v>0</v>
      </c>
      <c r="P8" s="30" t="n">
        <f aca="false">(M8*N8)-((M8*N8)*O8)</f>
        <v>494.34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497</v>
      </c>
      <c r="C9" s="46" t="n">
        <f aca="false">(8)*6</f>
        <v>48</v>
      </c>
      <c r="D9" s="16" t="n">
        <v>8.78</v>
      </c>
      <c r="E9" s="47" t="n">
        <v>0</v>
      </c>
      <c r="F9" s="14" t="n">
        <f aca="false">(C9*D9)-((C9*D9)*E9)</f>
        <v>421.44</v>
      </c>
      <c r="H9" s="23" t="s">
        <v>498</v>
      </c>
      <c r="I9" s="14" t="n">
        <v>528.12</v>
      </c>
      <c r="J9" s="24" t="n">
        <v>0.21</v>
      </c>
      <c r="L9" s="22" t="s">
        <v>499</v>
      </c>
      <c r="M9" s="46" t="n">
        <f aca="false">(2+2)*12</f>
        <v>48</v>
      </c>
      <c r="N9" s="16" t="n">
        <v>5.3</v>
      </c>
      <c r="O9" s="47" t="n">
        <v>0</v>
      </c>
      <c r="P9" s="14" t="n">
        <f aca="false">(M9*N9)-((M9*N9)*O9)</f>
        <v>254.4</v>
      </c>
      <c r="R9" s="23" t="s">
        <v>142</v>
      </c>
      <c r="S9" s="14" t="n">
        <v>1306.8</v>
      </c>
      <c r="T9" s="24" t="n">
        <v>0.21</v>
      </c>
    </row>
    <row r="10" customFormat="false" ht="15" hidden="false" customHeight="false" outlineLevel="0" collapsed="false">
      <c r="B10" s="26" t="s">
        <v>500</v>
      </c>
      <c r="C10" s="44" t="n">
        <f aca="false">(5)*6</f>
        <v>30</v>
      </c>
      <c r="D10" s="28" t="n">
        <v>7.88</v>
      </c>
      <c r="E10" s="45" t="n">
        <v>0</v>
      </c>
      <c r="F10" s="30" t="n">
        <f aca="false">(C10*D10)-((C10*D10)*E10)</f>
        <v>236.4</v>
      </c>
      <c r="H10" s="23" t="s">
        <v>501</v>
      </c>
      <c r="I10" s="14" t="n">
        <v>746.52</v>
      </c>
      <c r="J10" s="24" t="n">
        <v>0.21</v>
      </c>
      <c r="L10" s="26" t="s">
        <v>502</v>
      </c>
      <c r="M10" s="44" t="n">
        <f aca="false">(3+2+1)*6</f>
        <v>36</v>
      </c>
      <c r="N10" s="28" t="n">
        <v>13.91</v>
      </c>
      <c r="O10" s="45" t="n">
        <v>0</v>
      </c>
      <c r="P10" s="30" t="n">
        <f aca="false">(M10*N10)-((M10*N10)*O10)</f>
        <v>500.76</v>
      </c>
      <c r="R10" s="23" t="s">
        <v>142</v>
      </c>
      <c r="S10" s="14" t="n">
        <v>65.28</v>
      </c>
      <c r="T10" s="24" t="n">
        <v>0.1</v>
      </c>
    </row>
    <row r="11" customFormat="false" ht="15" hidden="false" customHeight="false" outlineLevel="0" collapsed="false">
      <c r="B11" s="22" t="s">
        <v>502</v>
      </c>
      <c r="C11" s="46" t="n">
        <f aca="false">(7)*6</f>
        <v>42</v>
      </c>
      <c r="D11" s="16" t="n">
        <v>13.91</v>
      </c>
      <c r="E11" s="47" t="n">
        <v>0</v>
      </c>
      <c r="F11" s="14" t="n">
        <f aca="false">(C11*D11)-((C11*D11)*E11)</f>
        <v>584.22</v>
      </c>
      <c r="H11" s="23" t="s">
        <v>503</v>
      </c>
      <c r="I11" s="14" t="n">
        <v>848.58</v>
      </c>
      <c r="J11" s="24" t="n">
        <v>0.21</v>
      </c>
      <c r="L11" s="22" t="s">
        <v>504</v>
      </c>
      <c r="M11" s="46" t="n">
        <f aca="false">(2)*6</f>
        <v>12</v>
      </c>
      <c r="N11" s="16" t="n">
        <v>5.44</v>
      </c>
      <c r="O11" s="47" t="n">
        <v>0</v>
      </c>
      <c r="P11" s="14" t="n">
        <f aca="false">(M11*N11)-((M11*N11)*O11)</f>
        <v>65.28</v>
      </c>
      <c r="R11" s="23" t="s">
        <v>143</v>
      </c>
      <c r="S11" s="14" t="n">
        <v>337.8</v>
      </c>
      <c r="T11" s="24" t="n">
        <v>0.21</v>
      </c>
    </row>
    <row r="12" customFormat="false" ht="15" hidden="false" customHeight="false" outlineLevel="0" collapsed="false">
      <c r="B12" s="26" t="s">
        <v>505</v>
      </c>
      <c r="C12" s="44" t="n">
        <f aca="false">(3)*6</f>
        <v>18</v>
      </c>
      <c r="D12" s="28" t="n">
        <v>21.38</v>
      </c>
      <c r="E12" s="45" t="n">
        <v>0</v>
      </c>
      <c r="F12" s="30" t="n">
        <f aca="false">(C12*D12)-((C12*D12)*E12)</f>
        <v>384.84</v>
      </c>
      <c r="H12" s="23" t="s">
        <v>506</v>
      </c>
      <c r="I12" s="14" t="n">
        <v>1280.7</v>
      </c>
      <c r="J12" s="24" t="n">
        <v>0.21</v>
      </c>
      <c r="L12" s="26" t="s">
        <v>494</v>
      </c>
      <c r="M12" s="44" t="n">
        <f aca="false">(1)*6</f>
        <v>6</v>
      </c>
      <c r="N12" s="28" t="n">
        <v>5.63</v>
      </c>
      <c r="O12" s="45" t="n">
        <v>0</v>
      </c>
      <c r="P12" s="30" t="n">
        <f aca="false">(M12*N12)-((M12*N12)*O12)</f>
        <v>33.78</v>
      </c>
      <c r="R12" s="23" t="s">
        <v>144</v>
      </c>
      <c r="S12" s="14" t="n">
        <v>210.66</v>
      </c>
      <c r="T12" s="24" t="n">
        <v>0.21</v>
      </c>
    </row>
    <row r="13" customFormat="false" ht="15" hidden="false" customHeight="false" outlineLevel="0" collapsed="false">
      <c r="B13" s="22" t="s">
        <v>504</v>
      </c>
      <c r="C13" s="46" t="n">
        <f aca="false">(2)*6</f>
        <v>12</v>
      </c>
      <c r="D13" s="16" t="n">
        <v>5.44</v>
      </c>
      <c r="E13" s="47" t="n">
        <v>0</v>
      </c>
      <c r="F13" s="14" t="n">
        <f aca="false">(C13*D13)-((C13*D13)*E13)</f>
        <v>65.28</v>
      </c>
      <c r="H13" s="23" t="s">
        <v>507</v>
      </c>
      <c r="I13" s="14" t="n">
        <v>1038.9</v>
      </c>
      <c r="J13" s="24" t="n">
        <v>0.21</v>
      </c>
      <c r="L13" s="22" t="s">
        <v>508</v>
      </c>
      <c r="M13" s="46" t="n">
        <f aca="false">(1)*12</f>
        <v>12</v>
      </c>
      <c r="N13" s="16" t="n">
        <v>4.42</v>
      </c>
      <c r="O13" s="47" t="n">
        <v>0</v>
      </c>
      <c r="P13" s="14" t="n">
        <f aca="false">(M13*N13)-((M13*N13)*O13)</f>
        <v>53.04</v>
      </c>
    </row>
    <row r="14" customFormat="false" ht="15" hidden="false" customHeight="false" outlineLevel="0" collapsed="false">
      <c r="H14" s="23" t="s">
        <v>509</v>
      </c>
      <c r="I14" s="14" t="n">
        <v>649.56</v>
      </c>
      <c r="J14" s="24" t="n">
        <v>0.21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611.4</v>
      </c>
      <c r="R4" s="42" t="s">
        <v>58</v>
      </c>
      <c r="S4" s="43" t="n">
        <f aca="false">SUM(P6:P300)</f>
        <v>358.9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611.4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358.9</v>
      </c>
    </row>
    <row r="6" customFormat="false" ht="15" hidden="false" customHeight="false" outlineLevel="0" collapsed="false">
      <c r="B6" s="26" t="s">
        <v>510</v>
      </c>
      <c r="C6" s="44" t="n">
        <f aca="false">(4+2+1+1)*25</f>
        <v>200</v>
      </c>
      <c r="D6" s="28" t="n">
        <v>0.89</v>
      </c>
      <c r="E6" s="45" t="n">
        <v>0</v>
      </c>
      <c r="F6" s="30" t="n">
        <f aca="false">(C6*D6)-((C6*D6)*E6)</f>
        <v>178</v>
      </c>
      <c r="H6" s="40" t="s">
        <v>202</v>
      </c>
      <c r="I6" s="41" t="n">
        <f aca="false">I5-I4</f>
        <v>0</v>
      </c>
      <c r="L6" s="26" t="s">
        <v>510</v>
      </c>
      <c r="M6" s="44" t="n">
        <f aca="false">(1+1+2+2+1+1+2+3)*25</f>
        <v>325</v>
      </c>
      <c r="N6" s="28" t="n">
        <v>0.88</v>
      </c>
      <c r="O6" s="45" t="n">
        <v>0</v>
      </c>
      <c r="P6" s="30" t="n">
        <f aca="false">(M6*N6)-((M6*N6)*O6)</f>
        <v>286</v>
      </c>
      <c r="R6" s="42" t="s">
        <v>202</v>
      </c>
      <c r="S6" s="43" t="n">
        <f aca="false">S5-S4</f>
        <v>0</v>
      </c>
    </row>
    <row r="7" customFormat="false" ht="15" hidden="false" customHeight="false" outlineLevel="0" collapsed="false">
      <c r="B7" s="22" t="s">
        <v>511</v>
      </c>
      <c r="C7" s="46" t="n">
        <f aca="false">(1+1+1+1)*25</f>
        <v>100</v>
      </c>
      <c r="D7" s="16" t="n">
        <v>0.93</v>
      </c>
      <c r="E7" s="47" t="n">
        <v>0</v>
      </c>
      <c r="F7" s="14" t="n">
        <f aca="false">(C7*D7)-((C7*D7)*E7)</f>
        <v>93</v>
      </c>
      <c r="L7" s="22" t="s">
        <v>511</v>
      </c>
      <c r="M7" s="46" t="n">
        <f aca="false">(1+1)*25</f>
        <v>50</v>
      </c>
      <c r="N7" s="16" t="n">
        <v>0.93</v>
      </c>
      <c r="O7" s="47" t="n">
        <v>0</v>
      </c>
      <c r="P7" s="14" t="n">
        <f aca="false">(M7*N7)-((M7*N7)*O7)</f>
        <v>46.5</v>
      </c>
    </row>
    <row r="8" customFormat="false" ht="15" hidden="false" customHeight="false" outlineLevel="0" collapsed="false">
      <c r="B8" s="26" t="s">
        <v>510</v>
      </c>
      <c r="C8" s="44" t="n">
        <f aca="false">(4)*25</f>
        <v>100</v>
      </c>
      <c r="D8" s="28" t="n">
        <v>0.95</v>
      </c>
      <c r="E8" s="45" t="n">
        <v>0</v>
      </c>
      <c r="F8" s="30" t="n">
        <f aca="false">(C8*D8)-((C8*D8)*E8)</f>
        <v>95</v>
      </c>
      <c r="H8" s="48" t="s">
        <v>205</v>
      </c>
      <c r="I8" s="48" t="s">
        <v>62</v>
      </c>
      <c r="J8" s="48" t="s">
        <v>206</v>
      </c>
      <c r="L8" s="26" t="s">
        <v>512</v>
      </c>
      <c r="M8" s="44" t="n">
        <f aca="false">(1.2)*25</f>
        <v>30</v>
      </c>
      <c r="N8" s="28" t="n">
        <v>0.88</v>
      </c>
      <c r="O8" s="45" t="n">
        <v>0</v>
      </c>
      <c r="P8" s="30" t="n">
        <f aca="false">(M8*N8)-((M8*N8)*O8)</f>
        <v>26.4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511</v>
      </c>
      <c r="C9" s="46" t="n">
        <f aca="false">(1)*25</f>
        <v>25</v>
      </c>
      <c r="D9" s="16" t="n">
        <v>0.9</v>
      </c>
      <c r="E9" s="47" t="n">
        <v>0</v>
      </c>
      <c r="F9" s="14" t="n">
        <f aca="false">(C9*D9)-((C9*D9)*E9)</f>
        <v>22.5</v>
      </c>
      <c r="H9" s="23" t="s">
        <v>513</v>
      </c>
      <c r="I9" s="14" t="n">
        <v>44.5</v>
      </c>
      <c r="J9" s="24" t="n">
        <v>0.04</v>
      </c>
      <c r="R9" s="23" t="s">
        <v>145</v>
      </c>
      <c r="S9" s="14" t="n">
        <v>45.25</v>
      </c>
      <c r="T9" s="24" t="n">
        <v>0.04</v>
      </c>
    </row>
    <row r="10" customFormat="false" ht="15" hidden="false" customHeight="false" outlineLevel="0" collapsed="false">
      <c r="B10" s="26" t="s">
        <v>510</v>
      </c>
      <c r="C10" s="44" t="n">
        <f aca="false">(1+1+2+1+1+1+1+1)*25</f>
        <v>225</v>
      </c>
      <c r="D10" s="28" t="n">
        <v>0.88</v>
      </c>
      <c r="E10" s="45" t="n">
        <v>0</v>
      </c>
      <c r="F10" s="30" t="n">
        <f aca="false">(C10*D10)-((C10*D10)*E10)</f>
        <v>198</v>
      </c>
      <c r="H10" s="23" t="s">
        <v>514</v>
      </c>
      <c r="I10" s="14" t="n">
        <v>23.25</v>
      </c>
      <c r="J10" s="24" t="n">
        <v>0.04</v>
      </c>
      <c r="R10" s="23" t="s">
        <v>146</v>
      </c>
      <c r="S10" s="14" t="n">
        <v>22</v>
      </c>
      <c r="T10" s="24" t="n">
        <v>0.04</v>
      </c>
    </row>
    <row r="11" customFormat="false" ht="15" hidden="false" customHeight="false" outlineLevel="0" collapsed="false">
      <c r="B11" s="22" t="s">
        <v>515</v>
      </c>
      <c r="C11" s="46" t="n">
        <f aca="false">(1.2)*25</f>
        <v>30</v>
      </c>
      <c r="D11" s="16" t="n">
        <v>0.83</v>
      </c>
      <c r="E11" s="47" t="n">
        <v>0</v>
      </c>
      <c r="F11" s="14" t="n">
        <f aca="false">(C11*D11)-((C11*D11)*E11)</f>
        <v>24.9</v>
      </c>
      <c r="H11" s="23" t="s">
        <v>516</v>
      </c>
      <c r="I11" s="14" t="n">
        <v>44.5</v>
      </c>
      <c r="J11" s="24" t="n">
        <v>0.04</v>
      </c>
      <c r="R11" s="23" t="s">
        <v>147</v>
      </c>
      <c r="S11" s="14" t="n">
        <v>67.25</v>
      </c>
      <c r="T11" s="24" t="n">
        <v>0.04</v>
      </c>
    </row>
    <row r="12" customFormat="false" ht="15" hidden="false" customHeight="false" outlineLevel="0" collapsed="false">
      <c r="H12" s="23" t="s">
        <v>517</v>
      </c>
      <c r="I12" s="14" t="n">
        <v>46.25</v>
      </c>
      <c r="J12" s="24" t="n">
        <v>0.04</v>
      </c>
      <c r="R12" s="23" t="s">
        <v>148</v>
      </c>
      <c r="S12" s="14" t="n">
        <v>44</v>
      </c>
      <c r="T12" s="24" t="n">
        <v>0.04</v>
      </c>
    </row>
    <row r="13" customFormat="false" ht="15" hidden="false" customHeight="false" outlineLevel="0" collapsed="false">
      <c r="H13" s="23" t="s">
        <v>518</v>
      </c>
      <c r="I13" s="14" t="n">
        <v>47.5</v>
      </c>
      <c r="J13" s="24" t="n">
        <v>0.04</v>
      </c>
      <c r="R13" s="23" t="s">
        <v>149</v>
      </c>
      <c r="S13" s="14" t="n">
        <v>48.4</v>
      </c>
      <c r="T13" s="24" t="n">
        <v>0.04</v>
      </c>
    </row>
    <row r="14" customFormat="false" ht="15" hidden="false" customHeight="false" outlineLevel="0" collapsed="false">
      <c r="H14" s="23" t="s">
        <v>519</v>
      </c>
      <c r="I14" s="14" t="n">
        <v>23.75</v>
      </c>
      <c r="J14" s="24" t="n">
        <v>0.04</v>
      </c>
      <c r="R14" s="23" t="s">
        <v>150</v>
      </c>
      <c r="S14" s="14" t="n">
        <v>22</v>
      </c>
      <c r="T14" s="24" t="n">
        <v>0.04</v>
      </c>
    </row>
    <row r="15" customFormat="false" ht="15" hidden="false" customHeight="false" outlineLevel="0" collapsed="false">
      <c r="H15" s="23" t="s">
        <v>520</v>
      </c>
      <c r="I15" s="14" t="n">
        <v>22</v>
      </c>
      <c r="J15" s="24" t="n">
        <v>0.04</v>
      </c>
      <c r="R15" s="23" t="s">
        <v>151</v>
      </c>
      <c r="S15" s="14" t="n">
        <v>44</v>
      </c>
      <c r="T15" s="24" t="n">
        <v>0.04</v>
      </c>
    </row>
    <row r="16" customFormat="false" ht="15" hidden="false" customHeight="false" outlineLevel="0" collapsed="false">
      <c r="H16" s="23" t="s">
        <v>521</v>
      </c>
      <c r="I16" s="14" t="n">
        <v>22</v>
      </c>
      <c r="J16" s="24" t="n">
        <v>0.04</v>
      </c>
      <c r="R16" s="23" t="s">
        <v>152</v>
      </c>
      <c r="S16" s="14" t="n">
        <v>66</v>
      </c>
      <c r="T16" s="24" t="n">
        <v>0.04</v>
      </c>
    </row>
    <row r="17" customFormat="false" ht="15" hidden="false" customHeight="false" outlineLevel="0" collapsed="false">
      <c r="H17" s="23" t="s">
        <v>522</v>
      </c>
      <c r="I17" s="14" t="n">
        <v>67.25</v>
      </c>
      <c r="J17" s="24" t="n">
        <v>0.04</v>
      </c>
    </row>
    <row r="18" customFormat="false" ht="15" hidden="false" customHeight="false" outlineLevel="0" collapsed="false">
      <c r="H18" s="23" t="s">
        <v>523</v>
      </c>
      <c r="I18" s="14" t="n">
        <v>23.25</v>
      </c>
      <c r="J18" s="24" t="n">
        <v>0.04</v>
      </c>
    </row>
    <row r="19" customFormat="false" ht="15" hidden="false" customHeight="false" outlineLevel="0" collapsed="false">
      <c r="H19" s="23" t="s">
        <v>524</v>
      </c>
      <c r="I19" s="14" t="n">
        <v>22</v>
      </c>
      <c r="J19" s="24" t="n">
        <v>0.04</v>
      </c>
    </row>
    <row r="20" customFormat="false" ht="15" hidden="false" customHeight="false" outlineLevel="0" collapsed="false">
      <c r="H20" s="23" t="s">
        <v>525</v>
      </c>
      <c r="I20" s="14" t="n">
        <v>22</v>
      </c>
      <c r="J20" s="24" t="n">
        <v>0.04</v>
      </c>
    </row>
    <row r="21" customFormat="false" ht="15" hidden="false" customHeight="false" outlineLevel="0" collapsed="false">
      <c r="H21" s="23" t="s">
        <v>526</v>
      </c>
      <c r="I21" s="14" t="n">
        <v>44.5</v>
      </c>
      <c r="J21" s="24" t="n">
        <v>0.04</v>
      </c>
    </row>
    <row r="22" customFormat="false" ht="15" hidden="false" customHeight="false" outlineLevel="0" collapsed="false">
      <c r="H22" s="23" t="s">
        <v>527</v>
      </c>
      <c r="I22" s="14" t="n">
        <v>22.25</v>
      </c>
      <c r="J22" s="24" t="n">
        <v>0.04</v>
      </c>
    </row>
    <row r="23" customFormat="false" ht="15" hidden="false" customHeight="false" outlineLevel="0" collapsed="false">
      <c r="H23" s="23" t="s">
        <v>528</v>
      </c>
      <c r="I23" s="14" t="n">
        <v>47.15</v>
      </c>
      <c r="J23" s="24" t="n">
        <v>0.04</v>
      </c>
    </row>
    <row r="24" customFormat="false" ht="15" hidden="false" customHeight="false" outlineLevel="0" collapsed="false">
      <c r="H24" s="23" t="s">
        <v>529</v>
      </c>
      <c r="I24" s="14" t="n">
        <v>22</v>
      </c>
      <c r="J24" s="24" t="n">
        <v>0.04</v>
      </c>
    </row>
    <row r="25" customFormat="false" ht="15" hidden="false" customHeight="false" outlineLevel="0" collapsed="false">
      <c r="H25" s="23" t="s">
        <v>530</v>
      </c>
      <c r="I25" s="14" t="n">
        <v>45.25</v>
      </c>
      <c r="J25" s="24" t="n">
        <v>0.04</v>
      </c>
    </row>
    <row r="26" customFormat="false" ht="15" hidden="false" customHeight="false" outlineLevel="0" collapsed="false">
      <c r="H26" s="23" t="s">
        <v>531</v>
      </c>
      <c r="I26" s="14" t="n">
        <v>22</v>
      </c>
      <c r="J26" s="24" t="n">
        <v>0.04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1400.16</v>
      </c>
      <c r="R4" s="42" t="s">
        <v>58</v>
      </c>
      <c r="S4" s="43" t="n">
        <f aca="false">SUM(P6:P300)</f>
        <v>369.6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1400.16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369.6</v>
      </c>
    </row>
    <row r="6" customFormat="false" ht="15" hidden="false" customHeight="false" outlineLevel="0" collapsed="false">
      <c r="B6" s="26" t="s">
        <v>532</v>
      </c>
      <c r="C6" s="44" t="n">
        <f aca="false">4.15+1.2+4.2+6.4+3.8+5.1+4.32</f>
        <v>29.17</v>
      </c>
      <c r="D6" s="28" t="n">
        <v>48</v>
      </c>
      <c r="E6" s="45" t="n">
        <v>0</v>
      </c>
      <c r="F6" s="30" t="n">
        <f aca="false">(C6*D6)-((C6*D6)*E6)</f>
        <v>1400.16</v>
      </c>
      <c r="H6" s="40" t="s">
        <v>202</v>
      </c>
      <c r="I6" s="41" t="n">
        <f aca="false">I5-I4</f>
        <v>0</v>
      </c>
      <c r="L6" s="26" t="s">
        <v>532</v>
      </c>
      <c r="M6" s="44" t="n">
        <f aca="false">4+3.7</f>
        <v>7.7</v>
      </c>
      <c r="N6" s="28" t="n">
        <v>48</v>
      </c>
      <c r="O6" s="45" t="n">
        <v>0</v>
      </c>
      <c r="P6" s="30" t="n">
        <f aca="false">(M6*N6)-((M6*N6)*O6)</f>
        <v>369.6</v>
      </c>
      <c r="R6" s="42" t="s">
        <v>202</v>
      </c>
      <c r="S6" s="43" t="n">
        <f aca="false">S5-S4</f>
        <v>0</v>
      </c>
    </row>
    <row r="8" customFormat="false" ht="15" hidden="false" customHeight="false" outlineLevel="0" collapsed="false">
      <c r="H8" s="48" t="s">
        <v>205</v>
      </c>
      <c r="I8" s="48" t="s">
        <v>62</v>
      </c>
      <c r="J8" s="48" t="s">
        <v>206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H9" s="23" t="s">
        <v>533</v>
      </c>
      <c r="I9" s="14" t="n">
        <v>199.2</v>
      </c>
      <c r="J9" s="24" t="n">
        <v>0.1</v>
      </c>
      <c r="R9" s="23" t="s">
        <v>153</v>
      </c>
      <c r="S9" s="14" t="n">
        <v>192</v>
      </c>
      <c r="T9" s="24" t="n">
        <v>0.1</v>
      </c>
    </row>
    <row r="10" customFormat="false" ht="15" hidden="false" customHeight="false" outlineLevel="0" collapsed="false">
      <c r="H10" s="23" t="s">
        <v>534</v>
      </c>
      <c r="I10" s="14" t="n">
        <v>259.2</v>
      </c>
      <c r="J10" s="24" t="n">
        <v>0.1</v>
      </c>
      <c r="R10" s="23" t="s">
        <v>154</v>
      </c>
      <c r="S10" s="14" t="n">
        <v>177.6</v>
      </c>
      <c r="T10" s="24" t="n">
        <v>0.1</v>
      </c>
    </row>
    <row r="11" customFormat="false" ht="15" hidden="false" customHeight="false" outlineLevel="0" collapsed="false">
      <c r="H11" s="23" t="s">
        <v>535</v>
      </c>
      <c r="I11" s="14" t="n">
        <v>307.2</v>
      </c>
      <c r="J11" s="24" t="n">
        <v>0.1</v>
      </c>
    </row>
    <row r="12" customFormat="false" ht="15" hidden="false" customHeight="false" outlineLevel="0" collapsed="false">
      <c r="H12" s="23" t="s">
        <v>536</v>
      </c>
      <c r="I12" s="14" t="n">
        <v>182.4</v>
      </c>
      <c r="J12" s="24" t="n">
        <v>0.1</v>
      </c>
    </row>
    <row r="13" customFormat="false" ht="15" hidden="false" customHeight="false" outlineLevel="0" collapsed="false">
      <c r="H13" s="23" t="s">
        <v>537</v>
      </c>
      <c r="I13" s="14" t="n">
        <v>244.8</v>
      </c>
      <c r="J13" s="24" t="n">
        <v>0.1</v>
      </c>
    </row>
    <row r="14" customFormat="false" ht="15" hidden="false" customHeight="false" outlineLevel="0" collapsed="false">
      <c r="H14" s="23" t="s">
        <v>538</v>
      </c>
      <c r="I14" s="14" t="n">
        <v>207.36</v>
      </c>
      <c r="J14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10740.80499985</v>
      </c>
      <c r="R4" s="42" t="s">
        <v>58</v>
      </c>
      <c r="S4" s="43" t="n">
        <f aca="false">SUM(P6:P300)</f>
        <v>5182.885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10740.83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5112.89</v>
      </c>
    </row>
    <row r="6" customFormat="false" ht="15" hidden="false" customHeight="false" outlineLevel="0" collapsed="false">
      <c r="B6" s="26" t="s">
        <v>539</v>
      </c>
      <c r="C6" s="44" t="n">
        <v>1</v>
      </c>
      <c r="D6" s="28" t="n">
        <v>78</v>
      </c>
      <c r="E6" s="45" t="n">
        <v>0</v>
      </c>
      <c r="F6" s="30" t="n">
        <f aca="false">(C6*D6)-((C6*D6)*E6)</f>
        <v>78</v>
      </c>
      <c r="H6" s="40" t="s">
        <v>202</v>
      </c>
      <c r="I6" s="41" t="n">
        <f aca="false">I5-I4</f>
        <v>0.0250001499989594</v>
      </c>
      <c r="L6" s="26" t="s">
        <v>540</v>
      </c>
      <c r="M6" s="44" t="n">
        <f aca="false">1.1+1.1+1.1+2.2+1.2+1.1</f>
        <v>7.8</v>
      </c>
      <c r="N6" s="28" t="n">
        <v>98</v>
      </c>
      <c r="O6" s="45" t="n">
        <v>0</v>
      </c>
      <c r="P6" s="30" t="n">
        <f aca="false">(M6*N6)-((M6*N6)*O6)</f>
        <v>764.4</v>
      </c>
      <c r="R6" s="42" t="s">
        <v>202</v>
      </c>
      <c r="S6" s="43" t="n">
        <f aca="false">S5-S4</f>
        <v>-69.9949999999999</v>
      </c>
    </row>
    <row r="7" customFormat="false" ht="15" hidden="false" customHeight="false" outlineLevel="0" collapsed="false">
      <c r="B7" s="22" t="s">
        <v>541</v>
      </c>
      <c r="C7" s="46" t="n">
        <f aca="false">5.8+5.8+6.8+7.5+4.2+10+8.6+9.2+6+8.3+6+6.5+9.5+5.9+3.9+7.2</f>
        <v>111.2</v>
      </c>
      <c r="D7" s="16" t="n">
        <v>21.5</v>
      </c>
      <c r="E7" s="47" t="n">
        <v>0</v>
      </c>
      <c r="F7" s="14" t="n">
        <f aca="false">(C7*D7)-((C7*D7)*E7)</f>
        <v>2390.8</v>
      </c>
      <c r="L7" s="22" t="s">
        <v>542</v>
      </c>
      <c r="M7" s="46" t="n">
        <f aca="false">1+1+1+1+1+1+1+1</f>
        <v>8</v>
      </c>
      <c r="N7" s="16" t="n">
        <v>25</v>
      </c>
      <c r="O7" s="47" t="n">
        <v>0</v>
      </c>
      <c r="P7" s="14" t="n">
        <f aca="false">(M7*N7)-((M7*N7)*O7)</f>
        <v>200</v>
      </c>
    </row>
    <row r="8" customFormat="false" ht="15" hidden="false" customHeight="false" outlineLevel="0" collapsed="false">
      <c r="B8" s="26" t="s">
        <v>540</v>
      </c>
      <c r="C8" s="44" t="n">
        <f aca="false">2.1+1+1+1.1+1+1.1+1.1+1</f>
        <v>9.4</v>
      </c>
      <c r="D8" s="28" t="n">
        <v>98</v>
      </c>
      <c r="E8" s="45" t="n">
        <v>0</v>
      </c>
      <c r="F8" s="30" t="n">
        <f aca="false">(C8*D8)-((C8*D8)*E8)</f>
        <v>921.2</v>
      </c>
      <c r="H8" s="48" t="s">
        <v>205</v>
      </c>
      <c r="I8" s="48" t="s">
        <v>62</v>
      </c>
      <c r="J8" s="48" t="s">
        <v>206</v>
      </c>
      <c r="L8" s="26" t="s">
        <v>543</v>
      </c>
      <c r="M8" s="44" t="n">
        <f aca="false">17.13+8.62+8.63+8.9+8.23+8.26+9.6</f>
        <v>69.37</v>
      </c>
      <c r="N8" s="28" t="n">
        <v>30.5</v>
      </c>
      <c r="O8" s="45" t="n">
        <v>0</v>
      </c>
      <c r="P8" s="30" t="n">
        <f aca="false">(M8*N8)-((M8*N8)*O8)</f>
        <v>2115.785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540</v>
      </c>
      <c r="C9" s="46" t="n">
        <v>1</v>
      </c>
      <c r="D9" s="16" t="n">
        <v>98</v>
      </c>
      <c r="E9" s="47" t="n">
        <v>0</v>
      </c>
      <c r="F9" s="14" t="n">
        <f aca="false">(C9*D9)-((C9*D9)*E9)</f>
        <v>98</v>
      </c>
      <c r="H9" s="23" t="s">
        <v>544</v>
      </c>
      <c r="I9" s="14" t="n">
        <v>568.31</v>
      </c>
      <c r="J9" s="24" t="n">
        <v>0.1</v>
      </c>
      <c r="L9" s="22" t="s">
        <v>541</v>
      </c>
      <c r="M9" s="46" t="n">
        <f aca="false">4.4+3+6.2+6+6+2.5+2.9+7</f>
        <v>38</v>
      </c>
      <c r="N9" s="16" t="n">
        <v>21.5</v>
      </c>
      <c r="O9" s="47" t="n">
        <v>0</v>
      </c>
      <c r="P9" s="14" t="n">
        <f aca="false">(M9*N9)-((M9*N9)*O9)</f>
        <v>817</v>
      </c>
      <c r="R9" s="23" t="s">
        <v>155</v>
      </c>
      <c r="S9" s="14" t="n">
        <v>132.8</v>
      </c>
      <c r="T9" s="24" t="n">
        <v>0.1</v>
      </c>
    </row>
    <row r="10" customFormat="false" ht="15" hidden="false" customHeight="false" outlineLevel="0" collapsed="false">
      <c r="B10" s="26" t="s">
        <v>545</v>
      </c>
      <c r="C10" s="44" t="n">
        <f aca="false">21+4+1+2+4+2+4+4</f>
        <v>42</v>
      </c>
      <c r="D10" s="28" t="n">
        <v>30</v>
      </c>
      <c r="E10" s="45" t="n">
        <v>0</v>
      </c>
      <c r="F10" s="30" t="n">
        <f aca="false">(C10*D10)-((C10*D10)*E10)</f>
        <v>1260</v>
      </c>
      <c r="H10" s="23" t="s">
        <v>546</v>
      </c>
      <c r="I10" s="14" t="n">
        <v>630.5</v>
      </c>
      <c r="J10" s="24" t="n">
        <v>0.1</v>
      </c>
      <c r="L10" s="26" t="s">
        <v>539</v>
      </c>
      <c r="M10" s="44" t="n">
        <f aca="false">1+1+1</f>
        <v>3</v>
      </c>
      <c r="N10" s="28" t="n">
        <v>88</v>
      </c>
      <c r="O10" s="45" t="n">
        <v>0</v>
      </c>
      <c r="P10" s="30" t="n">
        <f aca="false">(M10*N10)-((M10*N10)*O10)</f>
        <v>264</v>
      </c>
      <c r="R10" s="23" t="s">
        <v>156</v>
      </c>
      <c r="S10" s="14" t="n">
        <v>922.87</v>
      </c>
      <c r="T10" s="24" t="n">
        <v>0.1</v>
      </c>
    </row>
    <row r="11" customFormat="false" ht="15" hidden="false" customHeight="false" outlineLevel="0" collapsed="false">
      <c r="B11" s="22" t="s">
        <v>547</v>
      </c>
      <c r="C11" s="46" t="n">
        <f aca="false">1.2+1+1.2</f>
        <v>3.4</v>
      </c>
      <c r="D11" s="16" t="n">
        <v>35</v>
      </c>
      <c r="E11" s="47" t="n">
        <v>0</v>
      </c>
      <c r="F11" s="14" t="n">
        <f aca="false">(C11*D11)-((C11*D11)*E11)</f>
        <v>119</v>
      </c>
      <c r="H11" s="23" t="s">
        <v>548</v>
      </c>
      <c r="I11" s="14" t="n">
        <v>626.95</v>
      </c>
      <c r="J11" s="24" t="n">
        <v>0.1</v>
      </c>
      <c r="L11" s="22" t="s">
        <v>549</v>
      </c>
      <c r="M11" s="46" t="n">
        <f aca="false">10+8+10+10</f>
        <v>38</v>
      </c>
      <c r="N11" s="16" t="n">
        <v>15.5</v>
      </c>
      <c r="O11" s="47" t="n">
        <v>0</v>
      </c>
      <c r="P11" s="14" t="n">
        <f aca="false">(M11*N11)-((M11*N11)*O11)</f>
        <v>589</v>
      </c>
      <c r="R11" s="23" t="s">
        <v>157</v>
      </c>
      <c r="S11" s="14" t="n">
        <v>352.41</v>
      </c>
      <c r="T11" s="24" t="n">
        <v>0.1</v>
      </c>
    </row>
    <row r="12" customFormat="false" ht="15" hidden="false" customHeight="false" outlineLevel="0" collapsed="false">
      <c r="B12" s="26" t="s">
        <v>542</v>
      </c>
      <c r="C12" s="44" t="n">
        <f aca="false">5+1+1+1+1+1+1+2+2+1</f>
        <v>16</v>
      </c>
      <c r="D12" s="28" t="n">
        <v>25</v>
      </c>
      <c r="E12" s="45" t="n">
        <v>0</v>
      </c>
      <c r="F12" s="30" t="n">
        <f aca="false">(C12*D12)-((C12*D12)*E12)</f>
        <v>400</v>
      </c>
      <c r="H12" s="23" t="s">
        <v>404</v>
      </c>
      <c r="I12" s="14" t="n">
        <v>229.2</v>
      </c>
      <c r="J12" s="24" t="n">
        <v>0.1</v>
      </c>
      <c r="L12" s="26" t="s">
        <v>550</v>
      </c>
      <c r="M12" s="44" t="n">
        <v>2.3</v>
      </c>
      <c r="N12" s="28" t="n">
        <v>14</v>
      </c>
      <c r="O12" s="45" t="n">
        <v>0</v>
      </c>
      <c r="P12" s="30" t="n">
        <f aca="false">(M12*N12)-((M12*N12)*O12)</f>
        <v>32.2</v>
      </c>
      <c r="R12" s="23" t="s">
        <v>158</v>
      </c>
      <c r="S12" s="14" t="n">
        <v>195.8</v>
      </c>
      <c r="T12" s="24" t="n">
        <v>0.1</v>
      </c>
    </row>
    <row r="13" customFormat="false" ht="15" hidden="false" customHeight="false" outlineLevel="0" collapsed="false">
      <c r="B13" s="22" t="s">
        <v>542</v>
      </c>
      <c r="C13" s="46" t="n">
        <v>2</v>
      </c>
      <c r="D13" s="16" t="n">
        <v>23</v>
      </c>
      <c r="E13" s="47" t="n">
        <v>0</v>
      </c>
      <c r="F13" s="14" t="n">
        <f aca="false">(C13*D13)-((C13*D13)*E13)</f>
        <v>46</v>
      </c>
      <c r="H13" s="23" t="s">
        <v>551</v>
      </c>
      <c r="I13" s="14" t="n">
        <v>1212.78</v>
      </c>
      <c r="J13" s="24" t="n">
        <v>0.1</v>
      </c>
      <c r="L13" s="22" t="s">
        <v>545</v>
      </c>
      <c r="M13" s="46" t="n">
        <v>4</v>
      </c>
      <c r="N13" s="16" t="n">
        <v>30</v>
      </c>
      <c r="O13" s="47" t="n">
        <v>0</v>
      </c>
      <c r="P13" s="14" t="n">
        <f aca="false">(M13*N13)-((M13*N13)*O13)</f>
        <v>120</v>
      </c>
      <c r="R13" s="23" t="s">
        <v>159</v>
      </c>
      <c r="S13" s="14" t="n">
        <v>190.5</v>
      </c>
      <c r="T13" s="24" t="n">
        <v>0.1</v>
      </c>
    </row>
    <row r="14" customFormat="false" ht="15" hidden="false" customHeight="false" outlineLevel="0" collapsed="false">
      <c r="B14" s="26" t="s">
        <v>542</v>
      </c>
      <c r="C14" s="44" t="n">
        <v>1</v>
      </c>
      <c r="D14" s="28" t="n">
        <v>25.5</v>
      </c>
      <c r="E14" s="45" t="n">
        <v>0</v>
      </c>
      <c r="F14" s="30" t="n">
        <f aca="false">(C14*D14)-((C14*D14)*E14)</f>
        <v>25.5</v>
      </c>
      <c r="H14" s="23" t="s">
        <v>406</v>
      </c>
      <c r="I14" s="14" t="n">
        <v>558.22</v>
      </c>
      <c r="J14" s="24" t="n">
        <v>0.1</v>
      </c>
      <c r="L14" s="26" t="s">
        <v>552</v>
      </c>
      <c r="M14" s="44" t="n">
        <v>1</v>
      </c>
      <c r="N14" s="28" t="n">
        <v>58</v>
      </c>
      <c r="O14" s="45" t="n">
        <v>0</v>
      </c>
      <c r="P14" s="30" t="n">
        <f aca="false">(M14*N14)-((M14*N14)*O14)</f>
        <v>58</v>
      </c>
      <c r="R14" s="23" t="s">
        <v>160</v>
      </c>
      <c r="S14" s="14" t="n">
        <v>602.81</v>
      </c>
      <c r="T14" s="24" t="n">
        <v>0.1</v>
      </c>
    </row>
    <row r="15" customFormat="false" ht="15" hidden="false" customHeight="false" outlineLevel="0" collapsed="false">
      <c r="B15" s="22" t="s">
        <v>543</v>
      </c>
      <c r="C15" s="46" t="n">
        <f aca="false">16.0757377+8.5+17.46+8.63+8.9+6.5+7.44+6.4+13.03+14.73+7.39+9.41</f>
        <v>124.4657377</v>
      </c>
      <c r="D15" s="16" t="n">
        <v>30.5</v>
      </c>
      <c r="E15" s="47" t="n">
        <v>0</v>
      </c>
      <c r="F15" s="14" t="n">
        <f aca="false">(C15*D15)-((C15*D15)*E15)</f>
        <v>3796.20499985</v>
      </c>
      <c r="H15" s="23" t="s">
        <v>553</v>
      </c>
      <c r="I15" s="14" t="n">
        <v>175.8</v>
      </c>
      <c r="J15" s="24" t="n">
        <v>0.1</v>
      </c>
      <c r="L15" s="22" t="s">
        <v>545</v>
      </c>
      <c r="M15" s="46" t="n">
        <f aca="false">2+3</f>
        <v>5</v>
      </c>
      <c r="N15" s="16" t="n">
        <v>32.5</v>
      </c>
      <c r="O15" s="47" t="n">
        <v>0</v>
      </c>
      <c r="P15" s="14" t="n">
        <f aca="false">(M15*N15)-((M15*N15)*O15)</f>
        <v>162.5</v>
      </c>
      <c r="R15" s="23" t="s">
        <v>161</v>
      </c>
      <c r="S15" s="14" t="n">
        <v>332</v>
      </c>
      <c r="T15" s="24" t="n">
        <v>0.1</v>
      </c>
    </row>
    <row r="16" customFormat="false" ht="15" hidden="false" customHeight="false" outlineLevel="0" collapsed="false">
      <c r="B16" s="26" t="s">
        <v>554</v>
      </c>
      <c r="C16" s="44" t="n">
        <v>3</v>
      </c>
      <c r="D16" s="28" t="n">
        <v>58</v>
      </c>
      <c r="E16" s="45" t="n">
        <v>0</v>
      </c>
      <c r="F16" s="30" t="n">
        <f aca="false">(C16*D16)-((C16*D16)*E16)</f>
        <v>174</v>
      </c>
      <c r="H16" s="23" t="s">
        <v>555</v>
      </c>
      <c r="I16" s="14" t="n">
        <v>497.5</v>
      </c>
      <c r="J16" s="24" t="n">
        <v>0.1</v>
      </c>
      <c r="L16" s="26" t="s">
        <v>552</v>
      </c>
      <c r="M16" s="44" t="n">
        <v>1</v>
      </c>
      <c r="N16" s="28" t="n">
        <v>60</v>
      </c>
      <c r="O16" s="45" t="n">
        <v>0</v>
      </c>
      <c r="P16" s="30" t="n">
        <f aca="false">(M16*N16)-((M16*N16)*O16)</f>
        <v>60</v>
      </c>
      <c r="R16" s="23" t="s">
        <v>162</v>
      </c>
      <c r="S16" s="14" t="n">
        <v>194</v>
      </c>
      <c r="T16" s="24" t="n">
        <v>0.1</v>
      </c>
    </row>
    <row r="17" customFormat="false" ht="15" hidden="false" customHeight="false" outlineLevel="0" collapsed="false">
      <c r="B17" s="22" t="s">
        <v>549</v>
      </c>
      <c r="C17" s="46" t="n">
        <f aca="false">30+10+10+10+10+10</f>
        <v>80</v>
      </c>
      <c r="D17" s="16" t="n">
        <v>15.5</v>
      </c>
      <c r="E17" s="47" t="n">
        <v>0</v>
      </c>
      <c r="F17" s="14" t="n">
        <f aca="false">(C17*D17)-((C17*D17)*E17)</f>
        <v>1240</v>
      </c>
      <c r="H17" s="23" t="s">
        <v>556</v>
      </c>
      <c r="I17" s="14" t="n">
        <v>180</v>
      </c>
      <c r="J17" s="24" t="n">
        <v>0.1</v>
      </c>
      <c r="R17" s="23" t="s">
        <v>163</v>
      </c>
      <c r="S17" s="14" t="n">
        <v>451.45</v>
      </c>
      <c r="T17" s="24" t="n">
        <v>0.1</v>
      </c>
    </row>
    <row r="18" customFormat="false" ht="15" hidden="false" customHeight="false" outlineLevel="0" collapsed="false">
      <c r="B18" s="26" t="s">
        <v>542</v>
      </c>
      <c r="C18" s="44" t="n">
        <v>1</v>
      </c>
      <c r="D18" s="28" t="n">
        <v>29.5</v>
      </c>
      <c r="E18" s="45" t="n">
        <v>0</v>
      </c>
      <c r="F18" s="30" t="n">
        <f aca="false">(C18*D18)-((C18*D18)*E18)</f>
        <v>29.5</v>
      </c>
      <c r="H18" s="23" t="s">
        <v>557</v>
      </c>
      <c r="I18" s="14" t="n">
        <v>456.35</v>
      </c>
      <c r="J18" s="24" t="n">
        <v>0.1</v>
      </c>
      <c r="R18" s="23" t="s">
        <v>164</v>
      </c>
      <c r="S18" s="14" t="n">
        <v>304.77</v>
      </c>
      <c r="T18" s="24" t="n">
        <v>0.1</v>
      </c>
    </row>
    <row r="19" customFormat="false" ht="15" hidden="false" customHeight="false" outlineLevel="0" collapsed="false">
      <c r="B19" s="22" t="s">
        <v>558</v>
      </c>
      <c r="C19" s="46" t="n">
        <v>1</v>
      </c>
      <c r="D19" s="16" t="n">
        <v>75</v>
      </c>
      <c r="E19" s="47" t="n">
        <v>0</v>
      </c>
      <c r="F19" s="14" t="n">
        <f aca="false">(C19*D19)-((C19*D19)*E19)</f>
        <v>75</v>
      </c>
      <c r="H19" s="23" t="s">
        <v>559</v>
      </c>
      <c r="I19" s="14" t="n">
        <v>614.05</v>
      </c>
      <c r="J19" s="24" t="n">
        <v>0.1</v>
      </c>
      <c r="R19" s="23" t="s">
        <v>165</v>
      </c>
      <c r="S19" s="14" t="n">
        <v>147.35</v>
      </c>
      <c r="T19" s="24" t="n">
        <v>0.1</v>
      </c>
    </row>
    <row r="20" customFormat="false" ht="15" hidden="false" customHeight="false" outlineLevel="0" collapsed="false">
      <c r="B20" s="26" t="s">
        <v>560</v>
      </c>
      <c r="C20" s="44" t="n">
        <v>2.2</v>
      </c>
      <c r="D20" s="28" t="n">
        <v>13</v>
      </c>
      <c r="E20" s="45" t="n">
        <v>0</v>
      </c>
      <c r="F20" s="30" t="n">
        <f aca="false">(C20*D20)-((C20*D20)*E20)</f>
        <v>28.6</v>
      </c>
      <c r="H20" s="23" t="s">
        <v>561</v>
      </c>
      <c r="I20" s="14" t="n">
        <v>346.4</v>
      </c>
      <c r="J20" s="24" t="n">
        <v>0.1</v>
      </c>
      <c r="R20" s="23" t="s">
        <v>166</v>
      </c>
      <c r="S20" s="14" t="n">
        <v>457.53</v>
      </c>
      <c r="T20" s="24" t="n">
        <v>0.1</v>
      </c>
    </row>
    <row r="21" customFormat="false" ht="15" hidden="false" customHeight="false" outlineLevel="0" collapsed="false">
      <c r="B21" s="22" t="s">
        <v>554</v>
      </c>
      <c r="C21" s="46" t="n">
        <v>1</v>
      </c>
      <c r="D21" s="16" t="n">
        <v>59</v>
      </c>
      <c r="E21" s="47" t="n">
        <v>0</v>
      </c>
      <c r="F21" s="14" t="n">
        <f aca="false">(C21*D21)-((C21*D21)*E21)</f>
        <v>59</v>
      </c>
      <c r="H21" s="23" t="s">
        <v>562</v>
      </c>
      <c r="I21" s="14" t="n">
        <v>440.92</v>
      </c>
      <c r="J21" s="24" t="n">
        <v>0.1</v>
      </c>
      <c r="R21" s="23" t="s">
        <v>167</v>
      </c>
      <c r="S21" s="14" t="n">
        <v>828.6</v>
      </c>
      <c r="T21" s="24" t="n">
        <v>0.1</v>
      </c>
    </row>
    <row r="22" customFormat="false" ht="15" hidden="false" customHeight="false" outlineLevel="0" collapsed="false">
      <c r="H22" s="23" t="s">
        <v>563</v>
      </c>
      <c r="I22" s="14" t="n">
        <v>301.45</v>
      </c>
      <c r="J22" s="24" t="n">
        <v>0.1</v>
      </c>
    </row>
    <row r="23" customFormat="false" ht="15" hidden="false" customHeight="false" outlineLevel="0" collapsed="false">
      <c r="H23" s="23" t="s">
        <v>564</v>
      </c>
      <c r="I23" s="14" t="n">
        <v>284</v>
      </c>
      <c r="J23" s="24" t="n">
        <v>0.1</v>
      </c>
    </row>
    <row r="24" customFormat="false" ht="15" hidden="false" customHeight="false" outlineLevel="0" collapsed="false">
      <c r="H24" s="23" t="s">
        <v>565</v>
      </c>
      <c r="I24" s="14" t="n">
        <v>448</v>
      </c>
      <c r="J24" s="24" t="n">
        <v>0.1</v>
      </c>
    </row>
    <row r="25" customFormat="false" ht="15" hidden="false" customHeight="false" outlineLevel="0" collapsed="false">
      <c r="H25" s="23" t="s">
        <v>566</v>
      </c>
      <c r="I25" s="14" t="n">
        <v>562.17</v>
      </c>
      <c r="J25" s="24" t="n">
        <v>0.1</v>
      </c>
    </row>
    <row r="26" customFormat="false" ht="15" hidden="false" customHeight="false" outlineLevel="0" collapsed="false">
      <c r="H26" s="23" t="s">
        <v>567</v>
      </c>
      <c r="I26" s="14" t="n">
        <v>916.32</v>
      </c>
      <c r="J26" s="24" t="n">
        <v>0.1</v>
      </c>
    </row>
    <row r="27" customFormat="false" ht="15" hidden="false" customHeight="false" outlineLevel="0" collapsed="false">
      <c r="H27" s="23" t="s">
        <v>568</v>
      </c>
      <c r="I27" s="14" t="n">
        <v>110</v>
      </c>
      <c r="J27" s="24" t="n">
        <v>0.1</v>
      </c>
    </row>
    <row r="28" customFormat="false" ht="15" hidden="false" customHeight="false" outlineLevel="0" collapsed="false">
      <c r="H28" s="23" t="s">
        <v>569</v>
      </c>
      <c r="I28" s="14" t="n">
        <v>401.85</v>
      </c>
      <c r="J28" s="24" t="n">
        <v>0.1</v>
      </c>
    </row>
    <row r="29" customFormat="false" ht="15" hidden="false" customHeight="false" outlineLevel="0" collapsed="false">
      <c r="H29" s="23" t="s">
        <v>570</v>
      </c>
      <c r="I29" s="14" t="n">
        <v>671.25</v>
      </c>
      <c r="J29" s="24" t="n">
        <v>0.1</v>
      </c>
    </row>
    <row r="30" customFormat="false" ht="15" hidden="false" customHeight="false" outlineLevel="0" collapsed="false">
      <c r="H30" s="23" t="s">
        <v>571</v>
      </c>
      <c r="I30" s="14" t="n">
        <v>508.81</v>
      </c>
      <c r="J30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1635.591</v>
      </c>
      <c r="R4" s="42" t="s">
        <v>58</v>
      </c>
      <c r="S4" s="43" t="n">
        <f aca="false">SUM(P6:P300)</f>
        <v>519.685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1635.61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519.69</v>
      </c>
    </row>
    <row r="6" customFormat="false" ht="15" hidden="false" customHeight="false" outlineLevel="0" collapsed="false">
      <c r="B6" s="26" t="s">
        <v>572</v>
      </c>
      <c r="C6" s="44" t="n">
        <f aca="false">2.08+4.02+3.74+4.02+5.6+3.92+3.68</f>
        <v>27.06</v>
      </c>
      <c r="D6" s="28" t="n">
        <v>8.9</v>
      </c>
      <c r="E6" s="45" t="n">
        <v>0</v>
      </c>
      <c r="F6" s="30" t="n">
        <f aca="false">(C6*D6)-((C6*D6)*E6)</f>
        <v>240.834</v>
      </c>
      <c r="H6" s="40" t="s">
        <v>202</v>
      </c>
      <c r="I6" s="41" t="n">
        <f aca="false">I5-I4</f>
        <v>0.0190000000000055</v>
      </c>
      <c r="L6" s="26" t="s">
        <v>572</v>
      </c>
      <c r="M6" s="44" t="n">
        <f aca="false">3.64+4.07+2.01+1.9</f>
        <v>11.62</v>
      </c>
      <c r="N6" s="28" t="n">
        <v>8.9</v>
      </c>
      <c r="O6" s="45" t="n">
        <v>0</v>
      </c>
      <c r="P6" s="30" t="n">
        <f aca="false">(M6*N6)-((M6*N6)*O6)</f>
        <v>103.418</v>
      </c>
      <c r="R6" s="42" t="s">
        <v>202</v>
      </c>
      <c r="S6" s="43" t="n">
        <f aca="false">S5-S4</f>
        <v>0.00500000000010914</v>
      </c>
    </row>
    <row r="7" customFormat="false" ht="15" hidden="false" customHeight="false" outlineLevel="0" collapsed="false">
      <c r="B7" s="22" t="s">
        <v>573</v>
      </c>
      <c r="C7" s="46" t="n">
        <f aca="false">1.98+3.82+1.99+2.05+2.04+3.46+3.86</f>
        <v>19.2</v>
      </c>
      <c r="D7" s="16" t="n">
        <v>8.9</v>
      </c>
      <c r="E7" s="47" t="n">
        <v>0</v>
      </c>
      <c r="F7" s="14" t="n">
        <f aca="false">(C7*D7)-((C7*D7)*E7)</f>
        <v>170.88</v>
      </c>
      <c r="L7" s="22" t="s">
        <v>573</v>
      </c>
      <c r="M7" s="46" t="n">
        <f aca="false">1.8+1.84+1.79+1.78</f>
        <v>7.21</v>
      </c>
      <c r="N7" s="16" t="n">
        <v>8.9</v>
      </c>
      <c r="O7" s="47" t="n">
        <v>0</v>
      </c>
      <c r="P7" s="14" t="n">
        <f aca="false">(M7*N7)-((M7*N7)*O7)</f>
        <v>64.169</v>
      </c>
    </row>
    <row r="8" customFormat="false" ht="15" hidden="false" customHeight="false" outlineLevel="0" collapsed="false">
      <c r="B8" s="26" t="s">
        <v>574</v>
      </c>
      <c r="C8" s="44" t="n">
        <f aca="false">6.3+8.14+6+8.44+8.2+6.3</f>
        <v>43.38</v>
      </c>
      <c r="D8" s="28" t="n">
        <v>27.9</v>
      </c>
      <c r="E8" s="45" t="n">
        <v>0</v>
      </c>
      <c r="F8" s="30" t="n">
        <f aca="false">(C8*D8)-((C8*D8)*E8)</f>
        <v>1210.302</v>
      </c>
      <c r="H8" s="48" t="s">
        <v>205</v>
      </c>
      <c r="I8" s="48" t="s">
        <v>62</v>
      </c>
      <c r="J8" s="48" t="s">
        <v>206</v>
      </c>
      <c r="L8" s="26" t="s">
        <v>574</v>
      </c>
      <c r="M8" s="44" t="n">
        <f aca="false">6.32+6.3</f>
        <v>12.62</v>
      </c>
      <c r="N8" s="28" t="n">
        <v>27.9</v>
      </c>
      <c r="O8" s="45" t="n">
        <v>0</v>
      </c>
      <c r="P8" s="30" t="n">
        <f aca="false">(M8*N8)-((M8*N8)*O8)</f>
        <v>352.098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575</v>
      </c>
      <c r="C9" s="46" t="n">
        <v>3.62</v>
      </c>
      <c r="D9" s="16" t="n">
        <v>3.75</v>
      </c>
      <c r="E9" s="47" t="n">
        <v>0</v>
      </c>
      <c r="F9" s="14" t="n">
        <f aca="false">(C9*D9)-((C9*D9)*E9)</f>
        <v>13.575</v>
      </c>
      <c r="H9" s="23" t="s">
        <v>576</v>
      </c>
      <c r="I9" s="14" t="n">
        <v>211.9</v>
      </c>
      <c r="J9" s="24" t="n">
        <v>0.1</v>
      </c>
      <c r="R9" s="23" t="s">
        <v>168</v>
      </c>
      <c r="S9" s="14" t="n">
        <v>48.42</v>
      </c>
      <c r="T9" s="24" t="n">
        <v>0.1</v>
      </c>
    </row>
    <row r="10" customFormat="false" ht="15" hidden="false" customHeight="false" outlineLevel="0" collapsed="false">
      <c r="H10" s="23" t="s">
        <v>577</v>
      </c>
      <c r="I10" s="14" t="n">
        <v>262.89</v>
      </c>
      <c r="J10" s="24" t="n">
        <v>0.1</v>
      </c>
      <c r="R10" s="23" t="s">
        <v>169</v>
      </c>
      <c r="S10" s="14" t="n">
        <v>228.93</v>
      </c>
      <c r="T10" s="24" t="n">
        <v>0.1</v>
      </c>
    </row>
    <row r="11" customFormat="false" ht="15" hidden="false" customHeight="false" outlineLevel="0" collapsed="false">
      <c r="H11" s="23"/>
      <c r="I11" s="14" t="n">
        <v>67.29</v>
      </c>
      <c r="J11" s="24" t="n">
        <v>0.1</v>
      </c>
      <c r="R11" s="23" t="s">
        <v>170</v>
      </c>
      <c r="S11" s="14" t="n">
        <v>209.59</v>
      </c>
      <c r="T11" s="24" t="n">
        <v>0.1</v>
      </c>
    </row>
    <row r="12" customFormat="false" ht="15" hidden="false" customHeight="false" outlineLevel="0" collapsed="false">
      <c r="H12" s="23" t="s">
        <v>578</v>
      </c>
      <c r="I12" s="14" t="n">
        <v>220.89</v>
      </c>
      <c r="J12" s="24" t="n">
        <v>0.1</v>
      </c>
      <c r="R12" s="23" t="s">
        <v>171</v>
      </c>
      <c r="S12" s="14" t="n">
        <v>32.75</v>
      </c>
      <c r="T12" s="24" t="n">
        <v>0.1</v>
      </c>
    </row>
    <row r="13" customFormat="false" ht="15" hidden="false" customHeight="false" outlineLevel="0" collapsed="false">
      <c r="H13" s="23" t="s">
        <v>579</v>
      </c>
      <c r="I13" s="14" t="n">
        <v>303.57</v>
      </c>
      <c r="J13" s="24" t="n">
        <v>0.1</v>
      </c>
    </row>
    <row r="14" customFormat="false" ht="15" hidden="false" customHeight="false" outlineLevel="0" collapsed="false">
      <c r="H14" s="23" t="s">
        <v>580</v>
      </c>
      <c r="I14" s="14" t="n">
        <v>53.05</v>
      </c>
      <c r="J14" s="24" t="n">
        <v>0.1</v>
      </c>
    </row>
    <row r="15" customFormat="false" ht="15" hidden="false" customHeight="false" outlineLevel="0" collapsed="false">
      <c r="H15" s="23" t="s">
        <v>581</v>
      </c>
      <c r="I15" s="14" t="n">
        <v>292.32</v>
      </c>
      <c r="J15" s="24" t="n">
        <v>0.1</v>
      </c>
    </row>
    <row r="16" customFormat="false" ht="15" hidden="false" customHeight="false" outlineLevel="0" collapsed="false">
      <c r="H16" s="23" t="s">
        <v>582</v>
      </c>
      <c r="I16" s="14" t="n">
        <v>223.7</v>
      </c>
      <c r="J16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533.736</v>
      </c>
      <c r="R4" s="42" t="s">
        <v>58</v>
      </c>
      <c r="S4" s="43" t="n">
        <f aca="false">SUM(P6:P300)</f>
        <v>654.192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533.74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654.19</v>
      </c>
    </row>
    <row r="6" customFormat="false" ht="15" hidden="false" customHeight="false" outlineLevel="0" collapsed="false">
      <c r="B6" s="26" t="s">
        <v>583</v>
      </c>
      <c r="C6" s="44" t="n">
        <f aca="false">10.34+10.84</f>
        <v>21.18</v>
      </c>
      <c r="D6" s="28" t="n">
        <v>25.2</v>
      </c>
      <c r="E6" s="45" t="n">
        <v>0</v>
      </c>
      <c r="F6" s="30" t="n">
        <f aca="false">(C6*D6)-((C6*D6)*E6)</f>
        <v>533.736</v>
      </c>
      <c r="H6" s="40" t="s">
        <v>202</v>
      </c>
      <c r="I6" s="41" t="n">
        <f aca="false">I5-I4</f>
        <v>0.0040000000000191</v>
      </c>
      <c r="L6" s="26" t="s">
        <v>583</v>
      </c>
      <c r="M6" s="44" t="n">
        <v>10.46</v>
      </c>
      <c r="N6" s="28" t="n">
        <v>25.2</v>
      </c>
      <c r="O6" s="45" t="n">
        <v>0</v>
      </c>
      <c r="P6" s="30" t="n">
        <f aca="false">(M6*N6)-((M6*N6)*O6)</f>
        <v>263.592</v>
      </c>
      <c r="R6" s="42" t="s">
        <v>202</v>
      </c>
      <c r="S6" s="43" t="n">
        <f aca="false">S5-S4</f>
        <v>-0.00199999999995271</v>
      </c>
    </row>
    <row r="7" customFormat="false" ht="15" hidden="false" customHeight="false" outlineLevel="0" collapsed="false">
      <c r="L7" s="22" t="s">
        <v>584</v>
      </c>
      <c r="M7" s="46" t="n">
        <v>15.5</v>
      </c>
      <c r="N7" s="16" t="n">
        <v>25.2</v>
      </c>
      <c r="O7" s="47" t="n">
        <v>0</v>
      </c>
      <c r="P7" s="14" t="n">
        <f aca="false">(M7*N7)-((M7*N7)*O7)</f>
        <v>390.6</v>
      </c>
    </row>
    <row r="8" customFormat="false" ht="15" hidden="false" customHeight="false" outlineLevel="0" collapsed="false">
      <c r="H8" s="48" t="s">
        <v>205</v>
      </c>
      <c r="I8" s="48" t="s">
        <v>62</v>
      </c>
      <c r="J8" s="48" t="s">
        <v>206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H9" s="23" t="s">
        <v>585</v>
      </c>
      <c r="I9" s="14" t="n">
        <v>260.57</v>
      </c>
      <c r="J9" s="24" t="n">
        <v>0.1</v>
      </c>
      <c r="R9" s="23" t="s">
        <v>172</v>
      </c>
      <c r="S9" s="14" t="n">
        <v>263.59</v>
      </c>
      <c r="T9" s="24" t="n">
        <v>0.1</v>
      </c>
    </row>
    <row r="10" customFormat="false" ht="15" hidden="false" customHeight="false" outlineLevel="0" collapsed="false">
      <c r="H10" s="23" t="s">
        <v>586</v>
      </c>
      <c r="I10" s="14" t="n">
        <v>273.17</v>
      </c>
      <c r="J10" s="24" t="n">
        <v>0.1</v>
      </c>
      <c r="R10" s="23" t="s">
        <v>173</v>
      </c>
      <c r="S10" s="14" t="n">
        <v>390.6</v>
      </c>
      <c r="T10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3291.3008</v>
      </c>
      <c r="R4" s="42" t="s">
        <v>58</v>
      </c>
      <c r="S4" s="43" t="n">
        <f aca="false">SUM(P6:P300)</f>
        <v>712.9088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3291.32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712.94</v>
      </c>
    </row>
    <row r="6" customFormat="false" ht="15" hidden="false" customHeight="false" outlineLevel="0" collapsed="false">
      <c r="B6" s="26" t="s">
        <v>587</v>
      </c>
      <c r="C6" s="44" t="n">
        <v>18</v>
      </c>
      <c r="D6" s="28" t="n">
        <v>11.85</v>
      </c>
      <c r="E6" s="45" t="n">
        <v>0.04</v>
      </c>
      <c r="F6" s="30" t="n">
        <f aca="false">(C6*D6)-((C6*D6)*E6)</f>
        <v>204.768</v>
      </c>
      <c r="H6" s="40" t="s">
        <v>202</v>
      </c>
      <c r="I6" s="41" t="n">
        <f aca="false">I5-I4</f>
        <v>0.0192000000001826</v>
      </c>
      <c r="L6" s="26" t="s">
        <v>588</v>
      </c>
      <c r="M6" s="44" t="n">
        <v>2</v>
      </c>
      <c r="N6" s="28" t="n">
        <v>37.45</v>
      </c>
      <c r="O6" s="45" t="n">
        <v>0.04</v>
      </c>
      <c r="P6" s="30" t="n">
        <f aca="false">(M6*N6)-((M6*N6)*O6)</f>
        <v>71.904</v>
      </c>
      <c r="R6" s="42" t="s">
        <v>202</v>
      </c>
      <c r="S6" s="43" t="n">
        <f aca="false">S5-S4</f>
        <v>0.0312000000001262</v>
      </c>
    </row>
    <row r="7" customFormat="false" ht="15" hidden="false" customHeight="false" outlineLevel="0" collapsed="false">
      <c r="B7" s="22" t="s">
        <v>589</v>
      </c>
      <c r="C7" s="46" t="n">
        <v>1</v>
      </c>
      <c r="D7" s="16" t="n">
        <v>19.98</v>
      </c>
      <c r="E7" s="47" t="n">
        <v>0.04</v>
      </c>
      <c r="F7" s="14" t="n">
        <f aca="false">(C7*D7)-((C7*D7)*E7)</f>
        <v>19.1808</v>
      </c>
      <c r="L7" s="22" t="s">
        <v>590</v>
      </c>
      <c r="M7" s="46" t="n">
        <v>2</v>
      </c>
      <c r="N7" s="16" t="n">
        <v>55.17</v>
      </c>
      <c r="O7" s="47" t="n">
        <v>0.04</v>
      </c>
      <c r="P7" s="14" t="n">
        <f aca="false">(M7*N7)-((M7*N7)*O7)</f>
        <v>105.9264</v>
      </c>
    </row>
    <row r="8" customFormat="false" ht="15" hidden="false" customHeight="false" outlineLevel="0" collapsed="false">
      <c r="B8" s="26" t="s">
        <v>591</v>
      </c>
      <c r="C8" s="44" t="n">
        <v>8</v>
      </c>
      <c r="D8" s="28" t="n">
        <v>11.17</v>
      </c>
      <c r="E8" s="45" t="n">
        <v>0.04</v>
      </c>
      <c r="F8" s="30" t="n">
        <f aca="false">(C8*D8)-((C8*D8)*E8)</f>
        <v>85.7856</v>
      </c>
      <c r="H8" s="48" t="s">
        <v>205</v>
      </c>
      <c r="I8" s="48" t="s">
        <v>62</v>
      </c>
      <c r="J8" s="48" t="s">
        <v>206</v>
      </c>
      <c r="L8" s="26" t="s">
        <v>592</v>
      </c>
      <c r="M8" s="44" t="n">
        <v>1</v>
      </c>
      <c r="N8" s="28" t="n">
        <v>12.99</v>
      </c>
      <c r="O8" s="45" t="n">
        <v>0.04</v>
      </c>
      <c r="P8" s="30" t="n">
        <f aca="false">(M8*N8)-((M8*N8)*O8)</f>
        <v>12.4704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593</v>
      </c>
      <c r="C9" s="46" t="n">
        <v>4</v>
      </c>
      <c r="D9" s="16" t="n">
        <v>11.55</v>
      </c>
      <c r="E9" s="47" t="n">
        <v>0.04</v>
      </c>
      <c r="F9" s="14" t="n">
        <f aca="false">(C9*D9)-((C9*D9)*E9)</f>
        <v>44.352</v>
      </c>
      <c r="H9" s="23" t="s">
        <v>594</v>
      </c>
      <c r="I9" s="14" t="n">
        <v>1389.49</v>
      </c>
      <c r="J9" s="24" t="n">
        <v>0.21</v>
      </c>
      <c r="L9" s="22" t="s">
        <v>595</v>
      </c>
      <c r="M9" s="46" t="n">
        <v>1</v>
      </c>
      <c r="N9" s="16" t="n">
        <v>12.12</v>
      </c>
      <c r="O9" s="47" t="n">
        <v>0.04</v>
      </c>
      <c r="P9" s="14" t="n">
        <f aca="false">(M9*N9)-((M9*N9)*O9)</f>
        <v>11.6352</v>
      </c>
      <c r="R9" s="23" t="s">
        <v>174</v>
      </c>
      <c r="S9" s="14" t="n">
        <v>225.69</v>
      </c>
      <c r="T9" s="24" t="n">
        <v>0.21</v>
      </c>
    </row>
    <row r="10" customFormat="false" ht="15" hidden="false" customHeight="false" outlineLevel="0" collapsed="false">
      <c r="B10" s="26" t="s">
        <v>596</v>
      </c>
      <c r="C10" s="44" t="n">
        <v>18</v>
      </c>
      <c r="D10" s="28" t="n">
        <v>12.3</v>
      </c>
      <c r="E10" s="45" t="n">
        <v>0.04</v>
      </c>
      <c r="F10" s="30" t="n">
        <f aca="false">(C10*D10)-((C10*D10)*E10)</f>
        <v>212.544</v>
      </c>
      <c r="H10" s="23" t="s">
        <v>597</v>
      </c>
      <c r="I10" s="14" t="n">
        <v>963.55</v>
      </c>
      <c r="J10" s="24" t="n">
        <v>0.21</v>
      </c>
      <c r="L10" s="26" t="s">
        <v>587</v>
      </c>
      <c r="M10" s="44" t="n">
        <f aca="false">2+3</f>
        <v>5</v>
      </c>
      <c r="N10" s="28" t="n">
        <v>11.85</v>
      </c>
      <c r="O10" s="45" t="n">
        <v>0.04</v>
      </c>
      <c r="P10" s="30" t="n">
        <f aca="false">(M10*N10)-((M10*N10)*O10)</f>
        <v>56.88</v>
      </c>
      <c r="R10" s="23" t="s">
        <v>175</v>
      </c>
      <c r="S10" s="14" t="n">
        <v>487.25</v>
      </c>
      <c r="T10" s="24" t="n">
        <v>0.21</v>
      </c>
    </row>
    <row r="11" customFormat="false" ht="15" hidden="false" customHeight="false" outlineLevel="0" collapsed="false">
      <c r="B11" s="22" t="s">
        <v>598</v>
      </c>
      <c r="C11" s="46" t="n">
        <v>4</v>
      </c>
      <c r="D11" s="16" t="n">
        <v>14.2</v>
      </c>
      <c r="E11" s="47" t="n">
        <v>0.04</v>
      </c>
      <c r="F11" s="14" t="n">
        <f aca="false">(C11*D11)-((C11*D11)*E11)</f>
        <v>54.528</v>
      </c>
      <c r="H11" s="23" t="s">
        <v>599</v>
      </c>
      <c r="I11" s="14" t="n">
        <v>152.52</v>
      </c>
      <c r="J11" s="24" t="n">
        <v>0.21</v>
      </c>
      <c r="L11" s="22" t="s">
        <v>600</v>
      </c>
      <c r="M11" s="46" t="n">
        <f aca="false">1+1</f>
        <v>2</v>
      </c>
      <c r="N11" s="16" t="n">
        <v>1</v>
      </c>
      <c r="O11" s="47" t="n">
        <v>0</v>
      </c>
      <c r="P11" s="14" t="n">
        <f aca="false">(M11*N11)-((M11*N11)*O11)</f>
        <v>2</v>
      </c>
    </row>
    <row r="12" customFormat="false" ht="15" hidden="false" customHeight="false" outlineLevel="0" collapsed="false">
      <c r="B12" s="26" t="s">
        <v>601</v>
      </c>
      <c r="C12" s="44" t="n">
        <v>10</v>
      </c>
      <c r="D12" s="28" t="n">
        <v>11.66</v>
      </c>
      <c r="E12" s="45" t="n">
        <v>0.04</v>
      </c>
      <c r="F12" s="30" t="n">
        <f aca="false">(C12*D12)-((C12*D12)*E12)</f>
        <v>111.936</v>
      </c>
      <c r="H12" s="23" t="s">
        <v>602</v>
      </c>
      <c r="I12" s="14" t="n">
        <v>456.92</v>
      </c>
      <c r="J12" s="24" t="n">
        <v>0.21</v>
      </c>
      <c r="L12" s="26" t="s">
        <v>603</v>
      </c>
      <c r="M12" s="44" t="n">
        <v>2</v>
      </c>
      <c r="N12" s="28" t="n">
        <v>19.9</v>
      </c>
      <c r="O12" s="45" t="n">
        <v>0.04</v>
      </c>
      <c r="P12" s="30" t="n">
        <f aca="false">(M12*N12)-((M12*N12)*O12)</f>
        <v>38.208</v>
      </c>
    </row>
    <row r="13" customFormat="false" ht="15" hidden="false" customHeight="false" outlineLevel="0" collapsed="false">
      <c r="B13" s="22" t="s">
        <v>604</v>
      </c>
      <c r="C13" s="46" t="n">
        <v>1</v>
      </c>
      <c r="D13" s="16" t="n">
        <v>19.93</v>
      </c>
      <c r="E13" s="47" t="n">
        <v>0.04</v>
      </c>
      <c r="F13" s="14" t="n">
        <f aca="false">(C13*D13)-((C13*D13)*E13)</f>
        <v>19.1328</v>
      </c>
      <c r="H13" s="23" t="s">
        <v>605</v>
      </c>
      <c r="I13" s="14" t="n">
        <v>328.84</v>
      </c>
      <c r="J13" s="24" t="n">
        <v>0.21</v>
      </c>
      <c r="L13" s="22" t="s">
        <v>606</v>
      </c>
      <c r="M13" s="46" t="n">
        <v>1</v>
      </c>
      <c r="N13" s="16" t="n">
        <v>24.08</v>
      </c>
      <c r="O13" s="47" t="n">
        <v>0.04</v>
      </c>
      <c r="P13" s="14" t="n">
        <f aca="false">(M13*N13)-((M13*N13)*O13)</f>
        <v>23.1168</v>
      </c>
    </row>
    <row r="14" customFormat="false" ht="15" hidden="false" customHeight="false" outlineLevel="0" collapsed="false">
      <c r="B14" s="26" t="s">
        <v>607</v>
      </c>
      <c r="C14" s="44" t="n">
        <v>2</v>
      </c>
      <c r="D14" s="28" t="n">
        <v>23.03</v>
      </c>
      <c r="E14" s="45" t="n">
        <v>0.04</v>
      </c>
      <c r="F14" s="30" t="n">
        <f aca="false">(C14*D14)-((C14*D14)*E14)</f>
        <v>44.2176</v>
      </c>
      <c r="L14" s="26" t="s">
        <v>608</v>
      </c>
      <c r="M14" s="44" t="n">
        <v>1</v>
      </c>
      <c r="N14" s="28" t="n">
        <v>10.32</v>
      </c>
      <c r="O14" s="45" t="n">
        <v>0.04</v>
      </c>
      <c r="P14" s="30" t="n">
        <f aca="false">(M14*N14)-((M14*N14)*O14)</f>
        <v>9.9072</v>
      </c>
    </row>
    <row r="15" customFormat="false" ht="15" hidden="false" customHeight="false" outlineLevel="0" collapsed="false">
      <c r="B15" s="22" t="s">
        <v>609</v>
      </c>
      <c r="C15" s="46" t="n">
        <v>12</v>
      </c>
      <c r="D15" s="16" t="n">
        <v>5.03</v>
      </c>
      <c r="E15" s="47" t="n">
        <v>0.04</v>
      </c>
      <c r="F15" s="14" t="n">
        <f aca="false">(C15*D15)-((C15*D15)*E15)</f>
        <v>57.9456</v>
      </c>
      <c r="L15" s="22" t="s">
        <v>610</v>
      </c>
      <c r="M15" s="46" t="n">
        <v>7</v>
      </c>
      <c r="N15" s="16" t="n">
        <v>11.09</v>
      </c>
      <c r="O15" s="47" t="n">
        <v>0.04</v>
      </c>
      <c r="P15" s="14" t="n">
        <f aca="false">(M15*N15)-((M15*N15)*O15)</f>
        <v>74.5248</v>
      </c>
    </row>
    <row r="16" customFormat="false" ht="15" hidden="false" customHeight="false" outlineLevel="0" collapsed="false">
      <c r="B16" s="26" t="s">
        <v>611</v>
      </c>
      <c r="C16" s="44" t="n">
        <v>3</v>
      </c>
      <c r="D16" s="28" t="n">
        <v>15.6</v>
      </c>
      <c r="E16" s="45" t="n">
        <v>0.04</v>
      </c>
      <c r="F16" s="30" t="n">
        <f aca="false">(C16*D16)-((C16*D16)*E16)</f>
        <v>44.928</v>
      </c>
      <c r="L16" s="26" t="s">
        <v>612</v>
      </c>
      <c r="M16" s="44" t="n">
        <v>2</v>
      </c>
      <c r="N16" s="28" t="n">
        <v>14.48</v>
      </c>
      <c r="O16" s="45" t="n">
        <v>0.04</v>
      </c>
      <c r="P16" s="30" t="n">
        <f aca="false">(M16*N16)-((M16*N16)*O16)</f>
        <v>27.8016</v>
      </c>
    </row>
    <row r="17" customFormat="false" ht="15" hidden="false" customHeight="false" outlineLevel="0" collapsed="false">
      <c r="B17" s="22" t="s">
        <v>613</v>
      </c>
      <c r="C17" s="46" t="n">
        <v>2</v>
      </c>
      <c r="D17" s="16" t="n">
        <v>11.13</v>
      </c>
      <c r="E17" s="47" t="n">
        <v>0.04</v>
      </c>
      <c r="F17" s="14" t="n">
        <f aca="false">(C17*D17)-((C17*D17)*E17)</f>
        <v>21.3696</v>
      </c>
      <c r="L17" s="22" t="s">
        <v>591</v>
      </c>
      <c r="M17" s="46" t="n">
        <v>3</v>
      </c>
      <c r="N17" s="16" t="n">
        <v>11.17</v>
      </c>
      <c r="O17" s="47" t="n">
        <v>0.04</v>
      </c>
      <c r="P17" s="14" t="n">
        <f aca="false">(M17*N17)-((M17*N17)*O17)</f>
        <v>32.1696</v>
      </c>
    </row>
    <row r="18" customFormat="false" ht="15" hidden="false" customHeight="false" outlineLevel="0" collapsed="false">
      <c r="B18" s="26" t="s">
        <v>603</v>
      </c>
      <c r="C18" s="44" t="n">
        <v>3</v>
      </c>
      <c r="D18" s="28" t="n">
        <v>19.9</v>
      </c>
      <c r="E18" s="45" t="n">
        <v>0.04</v>
      </c>
      <c r="F18" s="30" t="n">
        <f aca="false">(C18*D18)-((C18*D18)*E18)</f>
        <v>57.312</v>
      </c>
      <c r="L18" s="26" t="s">
        <v>614</v>
      </c>
      <c r="M18" s="44" t="n">
        <v>3</v>
      </c>
      <c r="N18" s="28" t="n">
        <v>8.36</v>
      </c>
      <c r="O18" s="45" t="n">
        <v>0.04</v>
      </c>
      <c r="P18" s="30" t="n">
        <f aca="false">(M18*N18)-((M18*N18)*O18)</f>
        <v>24.0768</v>
      </c>
    </row>
    <row r="19" customFormat="false" ht="15" hidden="false" customHeight="false" outlineLevel="0" collapsed="false">
      <c r="B19" s="22" t="s">
        <v>615</v>
      </c>
      <c r="C19" s="46" t="n">
        <v>3</v>
      </c>
      <c r="D19" s="16" t="n">
        <v>13.73</v>
      </c>
      <c r="E19" s="47" t="n">
        <v>0.04</v>
      </c>
      <c r="F19" s="14" t="n">
        <f aca="false">(C19*D19)-((C19*D19)*E19)</f>
        <v>39.5424</v>
      </c>
      <c r="L19" s="22" t="s">
        <v>616</v>
      </c>
      <c r="M19" s="46" t="n">
        <v>1</v>
      </c>
      <c r="N19" s="16" t="n">
        <v>8.36</v>
      </c>
      <c r="O19" s="47" t="n">
        <v>1</v>
      </c>
      <c r="P19" s="14" t="n">
        <f aca="false">(M19*N19)-((M19*N19)*O19)</f>
        <v>0</v>
      </c>
    </row>
    <row r="20" customFormat="false" ht="15" hidden="false" customHeight="false" outlineLevel="0" collapsed="false">
      <c r="B20" s="26" t="s">
        <v>617</v>
      </c>
      <c r="C20" s="44" t="n">
        <v>6</v>
      </c>
      <c r="D20" s="28" t="n">
        <v>18.81</v>
      </c>
      <c r="E20" s="45" t="n">
        <v>0.04</v>
      </c>
      <c r="F20" s="30" t="n">
        <f aca="false">(C20*D20)-((C20*D20)*E20)</f>
        <v>108.3456</v>
      </c>
      <c r="L20" s="26" t="s">
        <v>618</v>
      </c>
      <c r="M20" s="44" t="n">
        <v>2</v>
      </c>
      <c r="N20" s="28" t="n">
        <v>8.36</v>
      </c>
      <c r="O20" s="45" t="n">
        <v>0.04</v>
      </c>
      <c r="P20" s="30" t="n">
        <f aca="false">(M20*N20)-((M20*N20)*O20)</f>
        <v>16.0512</v>
      </c>
    </row>
    <row r="21" customFormat="false" ht="15" hidden="false" customHeight="false" outlineLevel="0" collapsed="false">
      <c r="B21" s="22" t="s">
        <v>619</v>
      </c>
      <c r="C21" s="46" t="n">
        <v>1</v>
      </c>
      <c r="D21" s="16" t="n">
        <v>15.1</v>
      </c>
      <c r="E21" s="47" t="n">
        <v>0.04</v>
      </c>
      <c r="F21" s="14" t="n">
        <f aca="false">(C21*D21)-((C21*D21)*E21)</f>
        <v>14.496</v>
      </c>
      <c r="L21" s="22" t="s">
        <v>611</v>
      </c>
      <c r="M21" s="46" t="n">
        <v>1</v>
      </c>
      <c r="N21" s="16" t="n">
        <v>15.6</v>
      </c>
      <c r="O21" s="47" t="n">
        <v>0.04</v>
      </c>
      <c r="P21" s="14" t="n">
        <f aca="false">(M21*N21)-((M21*N21)*O21)</f>
        <v>14.976</v>
      </c>
    </row>
    <row r="22" customFormat="false" ht="15" hidden="false" customHeight="false" outlineLevel="0" collapsed="false">
      <c r="B22" s="26" t="s">
        <v>620</v>
      </c>
      <c r="C22" s="44" t="n">
        <v>12</v>
      </c>
      <c r="D22" s="28" t="n">
        <v>22.31</v>
      </c>
      <c r="E22" s="45" t="n">
        <v>0.04</v>
      </c>
      <c r="F22" s="30" t="n">
        <f aca="false">(C22*D22)-((C22*D22)*E22)</f>
        <v>257.0112</v>
      </c>
      <c r="L22" s="26" t="s">
        <v>621</v>
      </c>
      <c r="M22" s="44" t="n">
        <v>1</v>
      </c>
      <c r="N22" s="28" t="n">
        <v>14.57</v>
      </c>
      <c r="O22" s="45" t="n">
        <v>0.04</v>
      </c>
      <c r="P22" s="30" t="n">
        <f aca="false">(M22*N22)-((M22*N22)*O22)</f>
        <v>13.9872</v>
      </c>
    </row>
    <row r="23" customFormat="false" ht="15" hidden="false" customHeight="false" outlineLevel="0" collapsed="false">
      <c r="B23" s="22" t="s">
        <v>622</v>
      </c>
      <c r="C23" s="46" t="n">
        <v>21</v>
      </c>
      <c r="D23" s="16" t="n">
        <v>11.96</v>
      </c>
      <c r="E23" s="47" t="n">
        <v>0.04</v>
      </c>
      <c r="F23" s="14" t="n">
        <f aca="false">(C23*D23)-((C23*D23)*E23)</f>
        <v>241.1136</v>
      </c>
      <c r="L23" s="22" t="s">
        <v>623</v>
      </c>
      <c r="M23" s="46" t="n">
        <v>1</v>
      </c>
      <c r="N23" s="16" t="n">
        <v>15.1</v>
      </c>
      <c r="O23" s="47" t="n">
        <v>0.04</v>
      </c>
      <c r="P23" s="14" t="n">
        <f aca="false">(M23*N23)-((M23*N23)*O23)</f>
        <v>14.496</v>
      </c>
    </row>
    <row r="24" customFormat="false" ht="15" hidden="false" customHeight="false" outlineLevel="0" collapsed="false">
      <c r="B24" s="26" t="s">
        <v>624</v>
      </c>
      <c r="C24" s="44" t="n">
        <v>5</v>
      </c>
      <c r="D24" s="28" t="n">
        <v>13.66</v>
      </c>
      <c r="E24" s="45" t="n">
        <v>0.04</v>
      </c>
      <c r="F24" s="30" t="n">
        <f aca="false">(C24*D24)-((C24*D24)*E24)</f>
        <v>65.568</v>
      </c>
      <c r="L24" s="26" t="s">
        <v>625</v>
      </c>
      <c r="M24" s="44" t="n">
        <v>1</v>
      </c>
      <c r="N24" s="28" t="n">
        <v>15.96</v>
      </c>
      <c r="O24" s="45" t="n">
        <v>0.04</v>
      </c>
      <c r="P24" s="30" t="n">
        <f aca="false">(M24*N24)-((M24*N24)*O24)</f>
        <v>15.3216</v>
      </c>
    </row>
    <row r="25" customFormat="false" ht="15" hidden="false" customHeight="false" outlineLevel="0" collapsed="false">
      <c r="B25" s="22" t="s">
        <v>626</v>
      </c>
      <c r="C25" s="46" t="n">
        <v>5</v>
      </c>
      <c r="D25" s="16" t="n">
        <v>12.68</v>
      </c>
      <c r="E25" s="47" t="n">
        <v>0.04</v>
      </c>
      <c r="F25" s="14" t="n">
        <f aca="false">(C25*D25)-((C25*D25)*E25)</f>
        <v>60.864</v>
      </c>
      <c r="L25" s="22" t="s">
        <v>627</v>
      </c>
      <c r="M25" s="46" t="n">
        <v>2</v>
      </c>
      <c r="N25" s="16" t="n">
        <v>38.4</v>
      </c>
      <c r="O25" s="47" t="n">
        <v>0.04</v>
      </c>
      <c r="P25" s="14" t="n">
        <f aca="false">(M25*N25)-((M25*N25)*O25)</f>
        <v>73.728</v>
      </c>
    </row>
    <row r="26" customFormat="false" ht="15" hidden="false" customHeight="false" outlineLevel="0" collapsed="false">
      <c r="B26" s="26" t="s">
        <v>608</v>
      </c>
      <c r="C26" s="44" t="n">
        <v>2</v>
      </c>
      <c r="D26" s="28" t="n">
        <v>10.32</v>
      </c>
      <c r="E26" s="45" t="n">
        <v>0.04</v>
      </c>
      <c r="F26" s="30" t="n">
        <f aca="false">(C26*D26)-((C26*D26)*E26)</f>
        <v>19.8144</v>
      </c>
      <c r="L26" s="26" t="s">
        <v>628</v>
      </c>
      <c r="M26" s="44" t="n">
        <v>1</v>
      </c>
      <c r="N26" s="28" t="n">
        <v>38.4</v>
      </c>
      <c r="O26" s="45" t="n">
        <v>1</v>
      </c>
      <c r="P26" s="30" t="n">
        <f aca="false">(M26*N26)-((M26*N26)*O26)</f>
        <v>0</v>
      </c>
    </row>
    <row r="27" customFormat="false" ht="15" hidden="false" customHeight="false" outlineLevel="0" collapsed="false">
      <c r="B27" s="22" t="s">
        <v>629</v>
      </c>
      <c r="C27" s="46" t="n">
        <v>6</v>
      </c>
      <c r="D27" s="16" t="n">
        <v>12.12</v>
      </c>
      <c r="E27" s="47" t="n">
        <v>0.04</v>
      </c>
      <c r="F27" s="14" t="n">
        <f aca="false">(C27*D27)-((C27*D27)*E27)</f>
        <v>69.8112</v>
      </c>
      <c r="L27" s="22" t="s">
        <v>630</v>
      </c>
      <c r="M27" s="46" t="n">
        <v>2</v>
      </c>
      <c r="N27" s="16" t="n">
        <v>38.4</v>
      </c>
      <c r="O27" s="47" t="n">
        <v>0.04</v>
      </c>
      <c r="P27" s="14" t="n">
        <f aca="false">(M27*N27)-((M27*N27)*O27)</f>
        <v>73.728</v>
      </c>
    </row>
    <row r="28" customFormat="false" ht="15" hidden="false" customHeight="false" outlineLevel="0" collapsed="false">
      <c r="B28" s="26" t="s">
        <v>631</v>
      </c>
      <c r="C28" s="44" t="n">
        <v>1</v>
      </c>
      <c r="D28" s="28" t="n">
        <v>14.57</v>
      </c>
      <c r="E28" s="45" t="n">
        <v>0.04</v>
      </c>
      <c r="F28" s="30" t="n">
        <f aca="false">(C28*D28)-((C28*D28)*E28)</f>
        <v>13.9872</v>
      </c>
      <c r="L28" s="26" t="s">
        <v>632</v>
      </c>
      <c r="M28" s="44" t="n">
        <v>1</v>
      </c>
      <c r="N28" s="28" t="n">
        <v>38.4</v>
      </c>
      <c r="O28" s="45" t="n">
        <v>1</v>
      </c>
      <c r="P28" s="30" t="n">
        <f aca="false">(M28*N28)-((M28*N28)*O28)</f>
        <v>0</v>
      </c>
    </row>
    <row r="29" customFormat="false" ht="15" hidden="false" customHeight="false" outlineLevel="0" collapsed="false">
      <c r="B29" s="22" t="s">
        <v>633</v>
      </c>
      <c r="C29" s="46" t="n">
        <v>3</v>
      </c>
      <c r="D29" s="16" t="n">
        <v>56.01</v>
      </c>
      <c r="E29" s="47" t="n">
        <v>0.04</v>
      </c>
      <c r="F29" s="14" t="n">
        <f aca="false">(C29*D29)-((C29*D29)*E29)</f>
        <v>161.3088</v>
      </c>
    </row>
    <row r="30" customFormat="false" ht="15" hidden="false" customHeight="false" outlineLevel="0" collapsed="false">
      <c r="B30" s="26" t="s">
        <v>590</v>
      </c>
      <c r="C30" s="44" t="n">
        <v>2</v>
      </c>
      <c r="D30" s="28" t="n">
        <v>55.17</v>
      </c>
      <c r="E30" s="45" t="n">
        <v>0.04</v>
      </c>
      <c r="F30" s="30" t="n">
        <f aca="false">(C30*D30)-((C30*D30)*E30)</f>
        <v>105.9264</v>
      </c>
    </row>
    <row r="31" customFormat="false" ht="15" hidden="false" customHeight="false" outlineLevel="0" collapsed="false">
      <c r="B31" s="22" t="s">
        <v>634</v>
      </c>
      <c r="C31" s="46" t="n">
        <v>12</v>
      </c>
      <c r="D31" s="16" t="n">
        <v>12.1</v>
      </c>
      <c r="E31" s="47" t="n">
        <v>0.04</v>
      </c>
      <c r="F31" s="14" t="n">
        <f aca="false">(C31*D31)-((C31*D31)*E31)</f>
        <v>139.392</v>
      </c>
    </row>
    <row r="32" customFormat="false" ht="15" hidden="false" customHeight="false" outlineLevel="0" collapsed="false">
      <c r="B32" s="26" t="s">
        <v>635</v>
      </c>
      <c r="C32" s="44" t="n">
        <v>6</v>
      </c>
      <c r="D32" s="28" t="n">
        <v>72.48</v>
      </c>
      <c r="E32" s="45" t="n">
        <v>0.04</v>
      </c>
      <c r="F32" s="30" t="n">
        <f aca="false">(C32*D32)-((C32*D32)*E32)</f>
        <v>417.4848</v>
      </c>
    </row>
    <row r="33" customFormat="false" ht="15" hidden="false" customHeight="false" outlineLevel="0" collapsed="false">
      <c r="B33" s="22" t="s">
        <v>636</v>
      </c>
      <c r="C33" s="46" t="n">
        <v>3</v>
      </c>
      <c r="D33" s="16" t="n">
        <v>11.35</v>
      </c>
      <c r="E33" s="47" t="n">
        <v>0.04</v>
      </c>
      <c r="F33" s="14" t="n">
        <f aca="false">(C33*D33)-((C33*D33)*E33)</f>
        <v>32.688</v>
      </c>
    </row>
    <row r="34" customFormat="false" ht="15" hidden="false" customHeight="false" outlineLevel="0" collapsed="false">
      <c r="B34" s="26" t="s">
        <v>637</v>
      </c>
      <c r="C34" s="44" t="n">
        <f aca="false">24+12</f>
        <v>36</v>
      </c>
      <c r="D34" s="28" t="n">
        <v>13.38</v>
      </c>
      <c r="E34" s="45" t="n">
        <v>0.04</v>
      </c>
      <c r="F34" s="30" t="n">
        <f aca="false">(C34*D34)-((C34*D34)*E34)</f>
        <v>462.4128</v>
      </c>
    </row>
    <row r="35" customFormat="false" ht="15" hidden="false" customHeight="false" outlineLevel="0" collapsed="false">
      <c r="B35" s="22" t="s">
        <v>600</v>
      </c>
      <c r="C35" s="46" t="n">
        <v>5</v>
      </c>
      <c r="D35" s="16" t="n">
        <v>1</v>
      </c>
      <c r="E35" s="47" t="n">
        <v>0</v>
      </c>
      <c r="F35" s="14" t="n">
        <f aca="false">(C35*D35)-((C35*D35)*E35)</f>
        <v>5</v>
      </c>
    </row>
    <row r="36" customFormat="false" ht="15" hidden="false" customHeight="false" outlineLevel="0" collapsed="false">
      <c r="B36" s="26" t="s">
        <v>625</v>
      </c>
      <c r="C36" s="44" t="n">
        <v>2</v>
      </c>
      <c r="D36" s="28" t="n">
        <v>15.96</v>
      </c>
      <c r="E36" s="45" t="n">
        <v>0.04</v>
      </c>
      <c r="F36" s="30" t="n">
        <f aca="false">(C36*D36)-((C36*D36)*E36)</f>
        <v>30.6432</v>
      </c>
    </row>
    <row r="37" customFormat="false" ht="15" hidden="false" customHeight="false" outlineLevel="0" collapsed="false">
      <c r="B37" s="22" t="s">
        <v>614</v>
      </c>
      <c r="C37" s="46" t="n">
        <v>2</v>
      </c>
      <c r="D37" s="16" t="n">
        <v>8.36</v>
      </c>
      <c r="E37" s="47" t="n">
        <v>0.04</v>
      </c>
      <c r="F37" s="14" t="n">
        <f aca="false">(C37*D37)-((C37*D37)*E37)</f>
        <v>16.0512</v>
      </c>
    </row>
    <row r="38" customFormat="false" ht="15" hidden="false" customHeight="false" outlineLevel="0" collapsed="false">
      <c r="B38" s="26" t="s">
        <v>638</v>
      </c>
      <c r="C38" s="44" t="n">
        <v>1</v>
      </c>
      <c r="D38" s="28" t="n">
        <v>24</v>
      </c>
      <c r="E38" s="45" t="n">
        <v>0.04</v>
      </c>
      <c r="F38" s="30" t="n">
        <f aca="false">(C38*D38)-((C38*D38)*E38)</f>
        <v>23.04</v>
      </c>
    </row>
    <row r="39" customFormat="false" ht="15" hidden="false" customHeight="false" outlineLevel="0" collapsed="false">
      <c r="B39" s="22" t="s">
        <v>627</v>
      </c>
      <c r="C39" s="46" t="n">
        <v>1</v>
      </c>
      <c r="D39" s="16" t="n">
        <v>38.4</v>
      </c>
      <c r="E39" s="47" t="n">
        <v>0.25</v>
      </c>
      <c r="F39" s="14" t="n">
        <f aca="false">(C39*D39)-((C39*D39)*E39)</f>
        <v>28.8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584.97</v>
      </c>
      <c r="R4" s="42" t="s">
        <v>58</v>
      </c>
      <c r="S4" s="43" t="n">
        <f aca="false">SUM(P6:P300)</f>
        <v>319.995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584.97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320</v>
      </c>
    </row>
    <row r="6" customFormat="false" ht="15" hidden="false" customHeight="false" outlineLevel="0" collapsed="false">
      <c r="B6" s="26" t="s">
        <v>639</v>
      </c>
      <c r="C6" s="44" t="n">
        <f aca="false">6+10.5+6.085+10+10.075+6+6.53+6.035+6+6+6.2+6+6+6.07</f>
        <v>97.495</v>
      </c>
      <c r="D6" s="28" t="n">
        <v>6</v>
      </c>
      <c r="E6" s="45" t="n">
        <v>0</v>
      </c>
      <c r="F6" s="30" t="n">
        <f aca="false">(C6*D6)-((C6*D6)*E6)</f>
        <v>584.97</v>
      </c>
      <c r="H6" s="40" t="s">
        <v>202</v>
      </c>
      <c r="I6" s="41" t="n">
        <f aca="false">I5-I4</f>
        <v>0</v>
      </c>
      <c r="L6" s="26" t="s">
        <v>639</v>
      </c>
      <c r="M6" s="44" t="n">
        <f aca="false">11.025+8.085</f>
        <v>19.11</v>
      </c>
      <c r="N6" s="28" t="n">
        <v>6</v>
      </c>
      <c r="O6" s="45" t="n">
        <v>0</v>
      </c>
      <c r="P6" s="30" t="n">
        <f aca="false">(M6*N6)-((M6*N6)*O6)</f>
        <v>114.66</v>
      </c>
      <c r="R6" s="42" t="s">
        <v>202</v>
      </c>
      <c r="S6" s="43" t="n">
        <f aca="false">S5-S4</f>
        <v>0.00499999999999545</v>
      </c>
    </row>
    <row r="7" customFormat="false" ht="15" hidden="false" customHeight="false" outlineLevel="0" collapsed="false">
      <c r="L7" s="22" t="s">
        <v>639</v>
      </c>
      <c r="M7" s="46" t="n">
        <f aca="false">8.16+3.13+8+6+6.3</f>
        <v>31.59</v>
      </c>
      <c r="N7" s="16" t="n">
        <v>6.5</v>
      </c>
      <c r="O7" s="47" t="n">
        <v>0</v>
      </c>
      <c r="P7" s="14" t="n">
        <f aca="false">(M7*N7)-((M7*N7)*O7)</f>
        <v>205.335</v>
      </c>
    </row>
    <row r="8" customFormat="false" ht="15" hidden="false" customHeight="false" outlineLevel="0" collapsed="false">
      <c r="H8" s="48" t="s">
        <v>205</v>
      </c>
      <c r="I8" s="48" t="s">
        <v>62</v>
      </c>
      <c r="J8" s="48" t="s">
        <v>206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H9" s="23" t="s">
        <v>544</v>
      </c>
      <c r="I9" s="14" t="n">
        <v>36</v>
      </c>
      <c r="J9" s="24" t="n">
        <v>0.04</v>
      </c>
      <c r="R9" s="23" t="s">
        <v>155</v>
      </c>
      <c r="S9" s="14" t="n">
        <v>66.15</v>
      </c>
      <c r="T9" s="24" t="n">
        <v>0.04</v>
      </c>
    </row>
    <row r="10" customFormat="false" ht="15" hidden="false" customHeight="false" outlineLevel="0" collapsed="false">
      <c r="H10" s="23" t="s">
        <v>548</v>
      </c>
      <c r="I10" s="14" t="n">
        <v>63</v>
      </c>
      <c r="J10" s="24" t="n">
        <v>0.04</v>
      </c>
      <c r="R10" s="23" t="s">
        <v>176</v>
      </c>
      <c r="S10" s="14" t="n">
        <v>48.51</v>
      </c>
      <c r="T10" s="24" t="n">
        <v>0.04</v>
      </c>
    </row>
    <row r="11" customFormat="false" ht="15" hidden="false" customHeight="false" outlineLevel="0" collapsed="false">
      <c r="H11" s="23" t="s">
        <v>404</v>
      </c>
      <c r="I11" s="14" t="n">
        <v>36.51</v>
      </c>
      <c r="J11" s="24" t="n">
        <v>0.04</v>
      </c>
      <c r="R11" s="23" t="s">
        <v>159</v>
      </c>
      <c r="S11" s="14" t="n">
        <v>53.04</v>
      </c>
      <c r="T11" s="24" t="n">
        <v>0.04</v>
      </c>
    </row>
    <row r="12" customFormat="false" ht="15" hidden="false" customHeight="false" outlineLevel="0" collapsed="false">
      <c r="H12" s="23" t="s">
        <v>551</v>
      </c>
      <c r="I12" s="14" t="n">
        <v>60</v>
      </c>
      <c r="J12" s="24" t="n">
        <v>0.04</v>
      </c>
      <c r="R12" s="23" t="s">
        <v>177</v>
      </c>
      <c r="S12" s="14" t="n">
        <v>20.35</v>
      </c>
      <c r="T12" s="24" t="n">
        <v>0.04</v>
      </c>
    </row>
    <row r="13" customFormat="false" ht="15" hidden="false" customHeight="false" outlineLevel="0" collapsed="false">
      <c r="H13" s="23" t="s">
        <v>406</v>
      </c>
      <c r="I13" s="14" t="n">
        <v>60.45</v>
      </c>
      <c r="J13" s="24" t="n">
        <v>0.04</v>
      </c>
      <c r="R13" s="23" t="s">
        <v>163</v>
      </c>
      <c r="S13" s="14" t="n">
        <v>52</v>
      </c>
      <c r="T13" s="24" t="n">
        <v>0.04</v>
      </c>
    </row>
    <row r="14" customFormat="false" ht="15" hidden="false" customHeight="false" outlineLevel="0" collapsed="false">
      <c r="H14" s="23" t="s">
        <v>640</v>
      </c>
      <c r="I14" s="14" t="n">
        <v>36</v>
      </c>
      <c r="J14" s="24" t="n">
        <v>0.04</v>
      </c>
      <c r="R14" s="23" t="s">
        <v>165</v>
      </c>
      <c r="S14" s="14" t="n">
        <v>39</v>
      </c>
      <c r="T14" s="24" t="n">
        <v>0.04</v>
      </c>
    </row>
    <row r="15" customFormat="false" ht="15" hidden="false" customHeight="false" outlineLevel="0" collapsed="false">
      <c r="H15" s="23" t="s">
        <v>557</v>
      </c>
      <c r="I15" s="14" t="n">
        <v>39.18</v>
      </c>
      <c r="J15" s="24" t="n">
        <v>0.04</v>
      </c>
      <c r="R15" s="23" t="s">
        <v>167</v>
      </c>
      <c r="S15" s="14" t="n">
        <v>40.95</v>
      </c>
      <c r="T15" s="24" t="n">
        <v>0.04</v>
      </c>
    </row>
    <row r="16" customFormat="false" ht="15" hidden="false" customHeight="false" outlineLevel="0" collapsed="false">
      <c r="H16" s="23" t="s">
        <v>559</v>
      </c>
      <c r="I16" s="14" t="n">
        <v>36.21</v>
      </c>
      <c r="J16" s="24" t="n">
        <v>0.04</v>
      </c>
    </row>
    <row r="17" customFormat="false" ht="15" hidden="false" customHeight="false" outlineLevel="0" collapsed="false">
      <c r="H17" s="23" t="s">
        <v>562</v>
      </c>
      <c r="I17" s="14" t="n">
        <v>36</v>
      </c>
      <c r="J17" s="24" t="n">
        <v>0.04</v>
      </c>
    </row>
    <row r="18" customFormat="false" ht="15" hidden="false" customHeight="false" outlineLevel="0" collapsed="false">
      <c r="H18" s="23" t="s">
        <v>567</v>
      </c>
      <c r="I18" s="14" t="n">
        <v>36</v>
      </c>
      <c r="J18" s="24" t="n">
        <v>0.04</v>
      </c>
    </row>
    <row r="19" customFormat="false" ht="15" hidden="false" customHeight="false" outlineLevel="0" collapsed="false">
      <c r="H19" s="23" t="s">
        <v>569</v>
      </c>
      <c r="I19" s="14" t="n">
        <v>37.2</v>
      </c>
      <c r="J19" s="24" t="n">
        <v>0.04</v>
      </c>
    </row>
    <row r="20" customFormat="false" ht="15" hidden="false" customHeight="false" outlineLevel="0" collapsed="false">
      <c r="H20" s="23" t="s">
        <v>570</v>
      </c>
      <c r="I20" s="14" t="n">
        <v>36</v>
      </c>
      <c r="J20" s="24" t="n">
        <v>0.04</v>
      </c>
    </row>
    <row r="21" customFormat="false" ht="15" hidden="false" customHeight="false" outlineLevel="0" collapsed="false">
      <c r="H21" s="23" t="s">
        <v>571</v>
      </c>
      <c r="I21" s="14" t="n">
        <v>36</v>
      </c>
      <c r="J21" s="24" t="n">
        <v>0.04</v>
      </c>
    </row>
    <row r="22" customFormat="false" ht="15" hidden="false" customHeight="false" outlineLevel="0" collapsed="false">
      <c r="H22" s="23" t="s">
        <v>564</v>
      </c>
      <c r="I22" s="14" t="n">
        <v>36.42</v>
      </c>
      <c r="J22" s="24" t="n">
        <v>0.04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270.4</v>
      </c>
      <c r="R4" s="42" t="s">
        <v>58</v>
      </c>
      <c r="S4" s="43" t="n">
        <f aca="false">SUM(P6:P300)</f>
        <v>271.18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270.4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271.18</v>
      </c>
    </row>
    <row r="6" customFormat="false" ht="15" hidden="false" customHeight="false" outlineLevel="0" collapsed="false">
      <c r="B6" s="26" t="s">
        <v>641</v>
      </c>
      <c r="C6" s="44" t="n">
        <v>10.4</v>
      </c>
      <c r="D6" s="28" t="n">
        <v>26</v>
      </c>
      <c r="E6" s="45" t="n">
        <v>0</v>
      </c>
      <c r="F6" s="30" t="n">
        <f aca="false">(C6*D6)-((C6*D6)*E6)</f>
        <v>270.4</v>
      </c>
      <c r="H6" s="40" t="s">
        <v>202</v>
      </c>
      <c r="I6" s="41" t="n">
        <f aca="false">I5-I4</f>
        <v>0</v>
      </c>
      <c r="L6" s="26" t="s">
        <v>641</v>
      </c>
      <c r="M6" s="44" t="n">
        <v>10.43</v>
      </c>
      <c r="N6" s="28" t="n">
        <v>26</v>
      </c>
      <c r="O6" s="45" t="n">
        <v>0</v>
      </c>
      <c r="P6" s="30" t="n">
        <f aca="false">(M6*N6)-((M6*N6)*O6)</f>
        <v>271.18</v>
      </c>
      <c r="R6" s="42" t="s">
        <v>202</v>
      </c>
      <c r="S6" s="43" t="n">
        <f aca="false">S5-S4</f>
        <v>0</v>
      </c>
    </row>
    <row r="8" customFormat="false" ht="15" hidden="false" customHeight="false" outlineLevel="0" collapsed="false">
      <c r="H8" s="48" t="s">
        <v>205</v>
      </c>
      <c r="I8" s="48" t="s">
        <v>62</v>
      </c>
      <c r="J8" s="48" t="s">
        <v>206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H9" s="23" t="s">
        <v>642</v>
      </c>
      <c r="I9" s="14" t="n">
        <v>270.4</v>
      </c>
      <c r="J9" s="24" t="n">
        <v>0.1</v>
      </c>
      <c r="R9" s="23" t="s">
        <v>178</v>
      </c>
      <c r="S9" s="14" t="n">
        <v>271.18</v>
      </c>
      <c r="T9" s="24" t="n">
        <v>0.1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</row>
    <row r="3" customFormat="false" ht="15" hidden="false" customHeight="false" outlineLevel="0" collapsed="false">
      <c r="B3" s="38"/>
      <c r="C3" s="38"/>
      <c r="D3" s="38"/>
      <c r="E3" s="38"/>
      <c r="F3" s="38"/>
    </row>
    <row r="4" customFormat="false" ht="15" hidden="false" customHeight="false" outlineLevel="0" collapsed="false">
      <c r="H4" s="40" t="s">
        <v>58</v>
      </c>
      <c r="I4" s="41" t="n">
        <f aca="false">SUM(F6:F300)</f>
        <v>202.8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202.8</v>
      </c>
    </row>
    <row r="6" customFormat="false" ht="15" hidden="false" customHeight="false" outlineLevel="0" collapsed="false">
      <c r="B6" s="26" t="s">
        <v>643</v>
      </c>
      <c r="C6" s="44" t="n">
        <v>12</v>
      </c>
      <c r="D6" s="28" t="n">
        <v>16.9</v>
      </c>
      <c r="E6" s="45" t="n">
        <v>0</v>
      </c>
      <c r="F6" s="30" t="n">
        <f aca="false">(C6*D6)-((C6*D6)*E6)</f>
        <v>202.8</v>
      </c>
      <c r="H6" s="40" t="s">
        <v>202</v>
      </c>
      <c r="I6" s="41" t="n">
        <f aca="false">I5-I4</f>
        <v>0</v>
      </c>
    </row>
    <row r="8" customFormat="false" ht="15" hidden="false" customHeight="false" outlineLevel="0" collapsed="false">
      <c r="H8" s="48" t="s">
        <v>205</v>
      </c>
      <c r="I8" s="48" t="s">
        <v>62</v>
      </c>
      <c r="J8" s="48" t="s">
        <v>206</v>
      </c>
    </row>
    <row r="9" customFormat="false" ht="15" hidden="false" customHeight="false" outlineLevel="0" collapsed="false">
      <c r="H9" s="23" t="s">
        <v>644</v>
      </c>
      <c r="I9" s="14" t="n">
        <v>202.8</v>
      </c>
      <c r="J9" s="24" t="n">
        <v>0.21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T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  <col collapsed="false" customWidth="true" hidden="false" outlineLevel="0" max="12" min="12" style="0" width="38.51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7"/>
    <col collapsed="false" customWidth="true" hidden="false" outlineLevel="0" max="21" min="21" style="0" width="4.5"/>
  </cols>
  <sheetData>
    <row r="2" customFormat="false" ht="15" hidden="false" customHeight="false" outlineLevel="0" collapsed="false">
      <c r="B2" s="38" t="n">
        <v>46204</v>
      </c>
      <c r="C2" s="38"/>
      <c r="D2" s="38"/>
      <c r="E2" s="38"/>
      <c r="F2" s="38"/>
      <c r="L2" s="39" t="n">
        <v>46235</v>
      </c>
      <c r="M2" s="39"/>
      <c r="N2" s="39"/>
      <c r="O2" s="39"/>
      <c r="P2" s="39"/>
    </row>
    <row r="3" customFormat="false" ht="15" hidden="false" customHeight="false" outlineLevel="0" collapsed="false">
      <c r="B3" s="38"/>
      <c r="C3" s="38"/>
      <c r="D3" s="38"/>
      <c r="E3" s="38"/>
      <c r="F3" s="38"/>
      <c r="L3" s="39"/>
      <c r="M3" s="39"/>
      <c r="N3" s="39"/>
      <c r="O3" s="39"/>
      <c r="P3" s="39"/>
    </row>
    <row r="4" customFormat="false" ht="15" hidden="false" customHeight="false" outlineLevel="0" collapsed="false">
      <c r="H4" s="40" t="s">
        <v>58</v>
      </c>
      <c r="I4" s="41" t="n">
        <f aca="false">SUM(F6:F300)</f>
        <v>6546.456</v>
      </c>
      <c r="R4" s="42" t="s">
        <v>58</v>
      </c>
      <c r="S4" s="43" t="n">
        <f aca="false">SUM(P6:P300)</f>
        <v>780.87</v>
      </c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58</v>
      </c>
      <c r="H5" s="40" t="s">
        <v>200</v>
      </c>
      <c r="I5" s="41" t="n">
        <f aca="false">SUM(I9:I300)</f>
        <v>6546.46</v>
      </c>
      <c r="L5" s="10" t="s">
        <v>196</v>
      </c>
      <c r="M5" s="10" t="s">
        <v>197</v>
      </c>
      <c r="N5" s="10" t="s">
        <v>198</v>
      </c>
      <c r="O5" s="10" t="s">
        <v>199</v>
      </c>
      <c r="P5" s="10" t="s">
        <v>58</v>
      </c>
      <c r="R5" s="42" t="s">
        <v>200</v>
      </c>
      <c r="S5" s="43" t="n">
        <f aca="false">SUM(S9:S300)</f>
        <v>780.87</v>
      </c>
    </row>
    <row r="6" customFormat="false" ht="15" hidden="false" customHeight="false" outlineLevel="0" collapsed="false">
      <c r="B6" s="26" t="s">
        <v>645</v>
      </c>
      <c r="C6" s="44" t="n">
        <v>41</v>
      </c>
      <c r="D6" s="28" t="n">
        <v>26.81</v>
      </c>
      <c r="E6" s="45" t="n">
        <v>0.4</v>
      </c>
      <c r="F6" s="30" t="n">
        <f aca="false">(C6*D6)-((C6*D6)*E6)</f>
        <v>659.526</v>
      </c>
      <c r="H6" s="40" t="s">
        <v>202</v>
      </c>
      <c r="I6" s="41" t="n">
        <f aca="false">I5-I4</f>
        <v>0.00399999999990541</v>
      </c>
      <c r="L6" s="26" t="s">
        <v>646</v>
      </c>
      <c r="M6" s="44" t="n">
        <v>1</v>
      </c>
      <c r="N6" s="28" t="n">
        <v>4.38</v>
      </c>
      <c r="O6" s="45" t="n">
        <v>0</v>
      </c>
      <c r="P6" s="30" t="n">
        <f aca="false">(M6*N6)-((M6*N6)*O6)</f>
        <v>4.38</v>
      </c>
      <c r="R6" s="42" t="s">
        <v>202</v>
      </c>
      <c r="S6" s="43" t="n">
        <f aca="false">S5-S4</f>
        <v>0</v>
      </c>
    </row>
    <row r="7" customFormat="false" ht="15" hidden="false" customHeight="false" outlineLevel="0" collapsed="false">
      <c r="B7" s="22" t="s">
        <v>647</v>
      </c>
      <c r="C7" s="46" t="n">
        <v>49</v>
      </c>
      <c r="D7" s="16" t="n">
        <v>12.3</v>
      </c>
      <c r="E7" s="47" t="n">
        <v>0.4</v>
      </c>
      <c r="F7" s="14" t="n">
        <f aca="false">(C7*D7)-((C7*D7)*E7)</f>
        <v>361.62</v>
      </c>
      <c r="L7" s="22" t="s">
        <v>648</v>
      </c>
      <c r="M7" s="46" t="n">
        <v>1</v>
      </c>
      <c r="N7" s="16" t="n">
        <v>484.47</v>
      </c>
      <c r="O7" s="47" t="n">
        <v>0</v>
      </c>
      <c r="P7" s="14" t="n">
        <f aca="false">(M7*N7)-((M7*N7)*O7)</f>
        <v>484.47</v>
      </c>
    </row>
    <row r="8" customFormat="false" ht="15" hidden="false" customHeight="false" outlineLevel="0" collapsed="false">
      <c r="B8" s="26" t="s">
        <v>649</v>
      </c>
      <c r="C8" s="44" t="n">
        <v>14</v>
      </c>
      <c r="D8" s="28" t="n">
        <v>41.92</v>
      </c>
      <c r="E8" s="45" t="n">
        <v>0</v>
      </c>
      <c r="F8" s="30" t="n">
        <f aca="false">(C8*D8)-((C8*D8)*E8)</f>
        <v>586.88</v>
      </c>
      <c r="H8" s="48" t="s">
        <v>205</v>
      </c>
      <c r="I8" s="48" t="s">
        <v>62</v>
      </c>
      <c r="J8" s="48" t="s">
        <v>206</v>
      </c>
      <c r="L8" s="26" t="s">
        <v>650</v>
      </c>
      <c r="M8" s="44" t="n">
        <v>1</v>
      </c>
      <c r="N8" s="28" t="n">
        <v>29.52</v>
      </c>
      <c r="O8" s="45" t="n">
        <v>0</v>
      </c>
      <c r="P8" s="30" t="n">
        <f aca="false">(M8*N8)-((M8*N8)*O8)</f>
        <v>29.52</v>
      </c>
      <c r="R8" s="11" t="s">
        <v>205</v>
      </c>
      <c r="S8" s="11" t="s">
        <v>62</v>
      </c>
      <c r="T8" s="11" t="s">
        <v>206</v>
      </c>
    </row>
    <row r="9" customFormat="false" ht="15" hidden="false" customHeight="false" outlineLevel="0" collapsed="false">
      <c r="B9" s="22" t="s">
        <v>651</v>
      </c>
      <c r="C9" s="46" t="n">
        <v>3</v>
      </c>
      <c r="D9" s="16" t="n">
        <v>33.54</v>
      </c>
      <c r="E9" s="47" t="n">
        <v>0</v>
      </c>
      <c r="F9" s="14" t="n">
        <f aca="false">(C9*D9)-((C9*D9)*E9)</f>
        <v>100.62</v>
      </c>
      <c r="H9" s="23" t="s">
        <v>652</v>
      </c>
      <c r="I9" s="14" t="n">
        <v>75.45</v>
      </c>
      <c r="J9" s="24" t="n">
        <v>0.1</v>
      </c>
      <c r="L9" s="22" t="s">
        <v>653</v>
      </c>
      <c r="M9" s="46" t="n">
        <v>1</v>
      </c>
      <c r="N9" s="16" t="n">
        <v>262.5</v>
      </c>
      <c r="O9" s="47" t="n">
        <v>0</v>
      </c>
      <c r="P9" s="14" t="n">
        <f aca="false">(M9*N9)-((M9*N9)*O9)</f>
        <v>262.5</v>
      </c>
      <c r="R9" s="23" t="s">
        <v>179</v>
      </c>
      <c r="S9" s="14" t="n">
        <v>4.38</v>
      </c>
      <c r="T9" s="24" t="n">
        <v>0.1</v>
      </c>
    </row>
    <row r="10" customFormat="false" ht="15" hidden="false" customHeight="false" outlineLevel="0" collapsed="false">
      <c r="B10" s="26" t="s">
        <v>654</v>
      </c>
      <c r="C10" s="44" t="n">
        <v>2</v>
      </c>
      <c r="D10" s="28" t="n">
        <v>33.84</v>
      </c>
      <c r="E10" s="45" t="n">
        <v>0</v>
      </c>
      <c r="F10" s="30" t="n">
        <f aca="false">(C10*D10)-((C10*D10)*E10)</f>
        <v>67.68</v>
      </c>
      <c r="H10" s="23" t="s">
        <v>652</v>
      </c>
      <c r="I10" s="14" t="n">
        <v>68.41</v>
      </c>
      <c r="J10" s="24" t="n">
        <v>0.21</v>
      </c>
      <c r="R10" s="23" t="s">
        <v>179</v>
      </c>
      <c r="S10" s="14" t="n">
        <v>484.47</v>
      </c>
      <c r="T10" s="24" t="n">
        <v>0.21</v>
      </c>
    </row>
    <row r="11" customFormat="false" ht="15" hidden="false" customHeight="false" outlineLevel="0" collapsed="false">
      <c r="B11" s="22" t="s">
        <v>655</v>
      </c>
      <c r="C11" s="46" t="n">
        <v>-6</v>
      </c>
      <c r="D11" s="16" t="n">
        <v>1</v>
      </c>
      <c r="E11" s="47" t="n">
        <v>0</v>
      </c>
      <c r="F11" s="14" t="n">
        <f aca="false">(C11*D11)-((C11*D11)*E11)</f>
        <v>-6</v>
      </c>
      <c r="H11" s="23" t="s">
        <v>656</v>
      </c>
      <c r="I11" s="14" t="n">
        <v>156.75</v>
      </c>
      <c r="J11" s="24" t="n">
        <v>0.1</v>
      </c>
      <c r="R11" s="23" t="s">
        <v>180</v>
      </c>
      <c r="S11" s="14" t="n">
        <v>29.52</v>
      </c>
      <c r="T11" s="24" t="n">
        <v>0.1</v>
      </c>
    </row>
    <row r="12" customFormat="false" ht="15" hidden="false" customHeight="false" outlineLevel="0" collapsed="false">
      <c r="B12" s="26" t="s">
        <v>657</v>
      </c>
      <c r="C12" s="44" t="n">
        <v>-144</v>
      </c>
      <c r="D12" s="28" t="n">
        <v>0.0708333333333333</v>
      </c>
      <c r="E12" s="45" t="n">
        <v>0</v>
      </c>
      <c r="F12" s="30" t="n">
        <f aca="false">(C12*D12)-((C12*D12)*E12)</f>
        <v>-10.2</v>
      </c>
      <c r="H12" s="23" t="s">
        <v>656</v>
      </c>
      <c r="I12" s="14" t="n">
        <v>598.88</v>
      </c>
      <c r="J12" s="24" t="n">
        <v>0.21</v>
      </c>
      <c r="R12" s="23" t="s">
        <v>180</v>
      </c>
      <c r="S12" s="14" t="n">
        <v>262.5</v>
      </c>
      <c r="T12" s="24" t="n">
        <v>0.21</v>
      </c>
    </row>
    <row r="13" customFormat="false" ht="15" hidden="false" customHeight="false" outlineLevel="0" collapsed="false">
      <c r="B13" s="22" t="s">
        <v>658</v>
      </c>
      <c r="C13" s="46" t="n">
        <v>3</v>
      </c>
      <c r="D13" s="16" t="n">
        <v>20</v>
      </c>
      <c r="E13" s="47" t="n">
        <v>0</v>
      </c>
      <c r="F13" s="14" t="n">
        <f aca="false">(C13*D13)-((C13*D13)*E13)</f>
        <v>60</v>
      </c>
      <c r="H13" s="23" t="s">
        <v>659</v>
      </c>
      <c r="I13" s="14" t="n">
        <v>184.27</v>
      </c>
      <c r="J13" s="24" t="n">
        <v>0.21</v>
      </c>
    </row>
    <row r="14" customFormat="false" ht="15" hidden="false" customHeight="false" outlineLevel="0" collapsed="false">
      <c r="B14" s="26" t="s">
        <v>660</v>
      </c>
      <c r="C14" s="44" t="n">
        <v>-8</v>
      </c>
      <c r="D14" s="28" t="n">
        <v>3.14</v>
      </c>
      <c r="E14" s="45" t="n">
        <v>0</v>
      </c>
      <c r="F14" s="30" t="n">
        <f aca="false">(C14*D14)-((C14*D14)*E14)</f>
        <v>-25.12</v>
      </c>
      <c r="H14" s="23" t="s">
        <v>661</v>
      </c>
      <c r="I14" s="14" t="n">
        <v>180.34</v>
      </c>
      <c r="J14" s="24" t="n">
        <v>0.1</v>
      </c>
    </row>
    <row r="15" customFormat="false" ht="15" hidden="false" customHeight="false" outlineLevel="0" collapsed="false">
      <c r="B15" s="22" t="s">
        <v>662</v>
      </c>
      <c r="C15" s="46" t="n">
        <f aca="false">-72-72-48</f>
        <v>-192</v>
      </c>
      <c r="D15" s="16" t="n">
        <v>0.14</v>
      </c>
      <c r="E15" s="47" t="n">
        <v>0</v>
      </c>
      <c r="F15" s="14" t="n">
        <f aca="false">(C15*D15)-((C15*D15)*E15)</f>
        <v>-26.88</v>
      </c>
      <c r="H15" s="23" t="s">
        <v>661</v>
      </c>
      <c r="I15" s="14" t="n">
        <v>1256.82</v>
      </c>
      <c r="J15" s="24" t="n">
        <v>0.21</v>
      </c>
    </row>
    <row r="16" customFormat="false" ht="15" hidden="false" customHeight="false" outlineLevel="0" collapsed="false">
      <c r="B16" s="26" t="s">
        <v>663</v>
      </c>
      <c r="C16" s="44" t="n">
        <v>-4</v>
      </c>
      <c r="D16" s="28" t="n">
        <v>2.4</v>
      </c>
      <c r="E16" s="45" t="n">
        <v>0</v>
      </c>
      <c r="F16" s="30" t="n">
        <f aca="false">(C16*D16)-((C16*D16)*E16)</f>
        <v>-9.6</v>
      </c>
      <c r="H16" s="23" t="s">
        <v>664</v>
      </c>
      <c r="I16" s="14" t="n">
        <v>26.52</v>
      </c>
      <c r="J16" s="24" t="n">
        <v>0.1</v>
      </c>
    </row>
    <row r="17" customFormat="false" ht="15" hidden="false" customHeight="false" outlineLevel="0" collapsed="false">
      <c r="B17" s="22" t="s">
        <v>665</v>
      </c>
      <c r="C17" s="46" t="n">
        <f aca="false">-224+56-56+112</f>
        <v>-112</v>
      </c>
      <c r="D17" s="16" t="n">
        <f aca="false">0.1</f>
        <v>0.1</v>
      </c>
      <c r="E17" s="47" t="n">
        <v>0</v>
      </c>
      <c r="F17" s="14" t="n">
        <f aca="false">(C17*D17)-((C17*D17)*E17)</f>
        <v>-11.2</v>
      </c>
      <c r="H17" s="23" t="s">
        <v>664</v>
      </c>
      <c r="I17" s="14" t="n">
        <v>547.04</v>
      </c>
      <c r="J17" s="24" t="n">
        <v>0.21</v>
      </c>
    </row>
    <row r="18" customFormat="false" ht="15" hidden="false" customHeight="false" outlineLevel="0" collapsed="false">
      <c r="B18" s="26" t="s">
        <v>666</v>
      </c>
      <c r="C18" s="44" t="n">
        <v>0</v>
      </c>
      <c r="D18" s="28" t="n">
        <v>2.4</v>
      </c>
      <c r="E18" s="45" t="n">
        <v>0</v>
      </c>
      <c r="F18" s="30" t="n">
        <f aca="false">(C18*D18)-((C18*D18)*E18)</f>
        <v>0</v>
      </c>
      <c r="H18" s="23" t="s">
        <v>667</v>
      </c>
      <c r="I18" s="14" t="n">
        <v>148.18</v>
      </c>
      <c r="J18" s="24" t="n">
        <v>0.1</v>
      </c>
    </row>
    <row r="19" customFormat="false" ht="15" hidden="false" customHeight="false" outlineLevel="0" collapsed="false">
      <c r="B19" s="22" t="s">
        <v>668</v>
      </c>
      <c r="C19" s="46" t="n">
        <v>0</v>
      </c>
      <c r="D19" s="16" t="n">
        <v>0.1</v>
      </c>
      <c r="E19" s="47" t="n">
        <v>0</v>
      </c>
      <c r="F19" s="14" t="n">
        <f aca="false">(C19*D19)-((C19*D19)*E19)</f>
        <v>0</v>
      </c>
      <c r="H19" s="23" t="s">
        <v>667</v>
      </c>
      <c r="I19" s="14" t="n">
        <v>994.47</v>
      </c>
      <c r="J19" s="24" t="n">
        <v>0.21</v>
      </c>
    </row>
    <row r="20" customFormat="false" ht="15" hidden="false" customHeight="false" outlineLevel="0" collapsed="false">
      <c r="B20" s="26" t="s">
        <v>669</v>
      </c>
      <c r="C20" s="44" t="n">
        <v>-7</v>
      </c>
      <c r="D20" s="28" t="n">
        <v>3.31</v>
      </c>
      <c r="E20" s="45" t="n">
        <v>0</v>
      </c>
      <c r="F20" s="30" t="n">
        <f aca="false">(C20*D20)-((C20*D20)*E20)</f>
        <v>-23.17</v>
      </c>
      <c r="H20" s="23" t="s">
        <v>670</v>
      </c>
      <c r="I20" s="14" t="n">
        <v>202.48</v>
      </c>
      <c r="J20" s="24" t="n">
        <v>0.1</v>
      </c>
    </row>
    <row r="21" customFormat="false" ht="15" hidden="false" customHeight="false" outlineLevel="0" collapsed="false">
      <c r="B21" s="22" t="s">
        <v>671</v>
      </c>
      <c r="C21" s="46" t="n">
        <v>-140</v>
      </c>
      <c r="D21" s="16" t="n">
        <v>0.24</v>
      </c>
      <c r="E21" s="47" t="n">
        <v>0</v>
      </c>
      <c r="F21" s="14" t="n">
        <f aca="false">(C21*D21)-((C21*D21)*E21)</f>
        <v>-33.6</v>
      </c>
      <c r="H21" s="23" t="s">
        <v>670</v>
      </c>
      <c r="I21" s="14" t="n">
        <v>677.79</v>
      </c>
      <c r="J21" s="24" t="n">
        <v>0.21</v>
      </c>
    </row>
    <row r="22" customFormat="false" ht="15" hidden="false" customHeight="false" outlineLevel="0" collapsed="false">
      <c r="B22" s="26" t="s">
        <v>672</v>
      </c>
      <c r="C22" s="44" t="n">
        <v>3</v>
      </c>
      <c r="D22" s="28" t="n">
        <v>21.48</v>
      </c>
      <c r="E22" s="45" t="n">
        <v>0</v>
      </c>
      <c r="F22" s="30" t="n">
        <f aca="false">(C22*D22)-((C22*D22)*E22)</f>
        <v>64.44</v>
      </c>
      <c r="H22" s="23" t="s">
        <v>673</v>
      </c>
      <c r="I22" s="14" t="n">
        <v>171.64</v>
      </c>
      <c r="J22" s="24" t="n">
        <v>0.1</v>
      </c>
    </row>
    <row r="23" customFormat="false" ht="15" hidden="false" customHeight="false" outlineLevel="0" collapsed="false">
      <c r="B23" s="22" t="s">
        <v>674</v>
      </c>
      <c r="C23" s="46" t="n">
        <v>17</v>
      </c>
      <c r="D23" s="16" t="n">
        <v>24.61</v>
      </c>
      <c r="E23" s="47" t="n">
        <v>0</v>
      </c>
      <c r="F23" s="14" t="n">
        <f aca="false">(C23*D23)-((C23*D23)*E23)</f>
        <v>418.37</v>
      </c>
      <c r="H23" s="23" t="s">
        <v>673</v>
      </c>
      <c r="I23" s="14" t="n">
        <v>1257.42</v>
      </c>
      <c r="J23" s="24" t="n">
        <v>0.21</v>
      </c>
    </row>
    <row r="24" customFormat="false" ht="15" hidden="false" customHeight="false" outlineLevel="0" collapsed="false">
      <c r="B24" s="26" t="s">
        <v>675</v>
      </c>
      <c r="C24" s="44" t="n">
        <v>5</v>
      </c>
      <c r="D24" s="28" t="n">
        <v>32.88</v>
      </c>
      <c r="E24" s="45" t="n">
        <v>0</v>
      </c>
      <c r="F24" s="30" t="n">
        <f aca="false">(C24*D24)-((C24*D24)*E24)</f>
        <v>164.4</v>
      </c>
    </row>
    <row r="25" customFormat="false" ht="15" hidden="false" customHeight="false" outlineLevel="0" collapsed="false">
      <c r="B25" s="22" t="s">
        <v>676</v>
      </c>
      <c r="C25" s="46" t="n">
        <v>9</v>
      </c>
      <c r="D25" s="16" t="n">
        <v>38.3</v>
      </c>
      <c r="E25" s="47" t="n">
        <v>0</v>
      </c>
      <c r="F25" s="14" t="n">
        <f aca="false">(C25*D25)-((C25*D25)*E25)</f>
        <v>344.7</v>
      </c>
    </row>
    <row r="26" customFormat="false" ht="15" hidden="false" customHeight="false" outlineLevel="0" collapsed="false">
      <c r="B26" s="26" t="s">
        <v>677</v>
      </c>
      <c r="C26" s="44" t="n">
        <v>21</v>
      </c>
      <c r="D26" s="28" t="n">
        <v>45.52</v>
      </c>
      <c r="E26" s="45" t="n">
        <v>0</v>
      </c>
      <c r="F26" s="30" t="n">
        <f aca="false">(C26*D26)-((C26*D26)*E26)</f>
        <v>955.92</v>
      </c>
    </row>
    <row r="27" customFormat="false" ht="15" hidden="false" customHeight="false" outlineLevel="0" collapsed="false">
      <c r="B27" s="22" t="s">
        <v>678</v>
      </c>
      <c r="C27" s="46" t="n">
        <v>20</v>
      </c>
      <c r="D27" s="16" t="n">
        <v>31.26</v>
      </c>
      <c r="E27" s="47" t="n">
        <v>0</v>
      </c>
      <c r="F27" s="14" t="n">
        <f aca="false">(C27*D27)-((C27*D27)*E27)</f>
        <v>625.2</v>
      </c>
    </row>
    <row r="28" customFormat="false" ht="15" hidden="false" customHeight="false" outlineLevel="0" collapsed="false">
      <c r="B28" s="26" t="s">
        <v>679</v>
      </c>
      <c r="C28" s="44" t="n">
        <v>15</v>
      </c>
      <c r="D28" s="28" t="n">
        <v>46.21</v>
      </c>
      <c r="E28" s="45" t="n">
        <v>0</v>
      </c>
      <c r="F28" s="30" t="n">
        <f aca="false">(C28*D28)-((C28*D28)*E28)</f>
        <v>693.15</v>
      </c>
    </row>
    <row r="29" customFormat="false" ht="15" hidden="false" customHeight="false" outlineLevel="0" collapsed="false">
      <c r="B29" s="22" t="s">
        <v>680</v>
      </c>
      <c r="C29" s="46" t="n">
        <v>7</v>
      </c>
      <c r="D29" s="16" t="n">
        <v>26.04</v>
      </c>
      <c r="E29" s="47" t="n">
        <v>0</v>
      </c>
      <c r="F29" s="14" t="n">
        <f aca="false">(C29*D29)-((C29*D29)*E29)</f>
        <v>182.28</v>
      </c>
    </row>
    <row r="30" customFormat="false" ht="15" hidden="false" customHeight="false" outlineLevel="0" collapsed="false">
      <c r="B30" s="26" t="s">
        <v>681</v>
      </c>
      <c r="C30" s="44" t="n">
        <v>1</v>
      </c>
      <c r="D30" s="28" t="n">
        <v>26.04</v>
      </c>
      <c r="E30" s="45" t="n">
        <v>0</v>
      </c>
      <c r="F30" s="30" t="n">
        <f aca="false">(C30*D30)-((C30*D30)*E30)</f>
        <v>26.04</v>
      </c>
    </row>
    <row r="31" customFormat="false" ht="15" hidden="false" customHeight="false" outlineLevel="0" collapsed="false">
      <c r="B31" s="22" t="s">
        <v>682</v>
      </c>
      <c r="C31" s="46" t="n">
        <v>31</v>
      </c>
      <c r="D31" s="16" t="n">
        <v>31.92</v>
      </c>
      <c r="E31" s="47" t="n">
        <v>0</v>
      </c>
      <c r="F31" s="14" t="n">
        <f aca="false">(C31*D31)-((C31*D31)*E31)</f>
        <v>989.52</v>
      </c>
    </row>
    <row r="32" customFormat="false" ht="15" hidden="false" customHeight="false" outlineLevel="0" collapsed="false">
      <c r="B32" s="26" t="s">
        <v>683</v>
      </c>
      <c r="C32" s="44" t="n">
        <v>12</v>
      </c>
      <c r="D32" s="28" t="n">
        <v>23.28</v>
      </c>
      <c r="E32" s="45" t="n">
        <v>0</v>
      </c>
      <c r="F32" s="30" t="n">
        <f aca="false">(C32*D32)-((C32*D32)*E32)</f>
        <v>279.36</v>
      </c>
    </row>
    <row r="33" customFormat="false" ht="15" hidden="false" customHeight="false" outlineLevel="0" collapsed="false">
      <c r="B33" s="22" t="s">
        <v>684</v>
      </c>
      <c r="C33" s="46" t="n">
        <v>1</v>
      </c>
      <c r="D33" s="16" t="n">
        <v>29.91</v>
      </c>
      <c r="E33" s="47" t="n">
        <v>0</v>
      </c>
      <c r="F33" s="14" t="n">
        <f aca="false">(C33*D33)-((C33*D33)*E33)</f>
        <v>29.91</v>
      </c>
    </row>
    <row r="34" customFormat="false" ht="15" hidden="false" customHeight="false" outlineLevel="0" collapsed="false">
      <c r="B34" s="26" t="s">
        <v>685</v>
      </c>
      <c r="C34" s="44" t="n">
        <v>1</v>
      </c>
      <c r="D34" s="28" t="n">
        <v>29.91</v>
      </c>
      <c r="E34" s="45" t="n">
        <v>0</v>
      </c>
      <c r="F34" s="30" t="n">
        <f aca="false">(C34*D34)-((C34*D34)*E34)</f>
        <v>29.91</v>
      </c>
    </row>
    <row r="35" customFormat="false" ht="15" hidden="false" customHeight="false" outlineLevel="0" collapsed="false">
      <c r="B35" s="22" t="s">
        <v>686</v>
      </c>
      <c r="C35" s="46" t="n">
        <v>1</v>
      </c>
      <c r="D35" s="16" t="n">
        <v>31.92</v>
      </c>
      <c r="E35" s="47" t="n">
        <v>0</v>
      </c>
      <c r="F35" s="14" t="n">
        <f aca="false">(C35*D35)-((C35*D35)*E35)</f>
        <v>31.92</v>
      </c>
    </row>
    <row r="36" customFormat="false" ht="15" hidden="false" customHeight="false" outlineLevel="0" collapsed="false">
      <c r="B36" s="26" t="s">
        <v>687</v>
      </c>
      <c r="C36" s="44" t="n">
        <v>1</v>
      </c>
      <c r="D36" s="28" t="n">
        <f aca="false">2.95+2.04+3.95+2.98-0.38+3.31+2.95+2.98</f>
        <v>20.78</v>
      </c>
      <c r="E36" s="45" t="n">
        <v>0</v>
      </c>
      <c r="F36" s="30" t="n">
        <f aca="false">(C36*D36)-((C36*D36)*E36)</f>
        <v>20.78</v>
      </c>
    </row>
  </sheetData>
  <mergeCells count="2">
    <mergeCell ref="B2:F3"/>
    <mergeCell ref="L2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2026-09-17T08:22:54Z</dcterms:created>
  <dc:creator>openpyxl</dc:creator>
  <dc:description/>
  <dc:language>en-US</dc:language>
  <cp:lastModifiedBy/>
  <dcterms:modified xsi:type="dcterms:W3CDTF">2026-09-17T08:22:54Z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
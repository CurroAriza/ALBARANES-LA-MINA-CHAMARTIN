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SEPTIEMBRE" sheetId="1" state="visible" r:id="rId1"/>
    <sheet xmlns:r="http://schemas.openxmlformats.org/officeDocument/2006/relationships" name="TOTAL SEPTIEMBRE" sheetId="2" state="visible" r:id="rId2"/>
    <sheet xmlns:r="http://schemas.openxmlformats.org/officeDocument/2006/relationships" name="CUADRE ALBARANES" sheetId="3" state="visible" r:id="rId3"/>
    <sheet xmlns:r="http://schemas.openxmlformats.org/officeDocument/2006/relationships" name="_____ACEITE Y SAL" sheetId="4" state="visible" r:id="rId4"/>
    <sheet xmlns:r="http://schemas.openxmlformats.org/officeDocument/2006/relationships" name="_____AGMASFOOD" sheetId="5" state="visible" r:id="rId5"/>
    <sheet xmlns:r="http://schemas.openxmlformats.org/officeDocument/2006/relationships" name="_____AGROFOOD" sheetId="6" state="visible" r:id="rId6"/>
    <sheet xmlns:r="http://schemas.openxmlformats.org/officeDocument/2006/relationships" name="_____ANTONIO DE MIGUEL" sheetId="7" state="visible" r:id="rId7"/>
    <sheet xmlns:r="http://schemas.openxmlformats.org/officeDocument/2006/relationships" name="_____CALIDOSCOPI" sheetId="8" state="visible" r:id="rId8"/>
    <sheet xmlns:r="http://schemas.openxmlformats.org/officeDocument/2006/relationships" name="_____CARNICAS MEAT" sheetId="9" state="visible" r:id="rId9"/>
    <sheet xmlns:r="http://schemas.openxmlformats.org/officeDocument/2006/relationships" name="_____CARNICAS OPC" sheetId="10" state="visible" r:id="rId10"/>
    <sheet xmlns:r="http://schemas.openxmlformats.org/officeDocument/2006/relationships" name="_____CASA MISU" sheetId="11" state="visible" r:id="rId11"/>
    <sheet xmlns:r="http://schemas.openxmlformats.org/officeDocument/2006/relationships" name="_____COCA-COLA" sheetId="12" state="visible" r:id="rId12"/>
    <sheet xmlns:r="http://schemas.openxmlformats.org/officeDocument/2006/relationships" name="_____CONS. SELEC. SANT" sheetId="13" state="visible" r:id="rId13"/>
    <sheet xmlns:r="http://schemas.openxmlformats.org/officeDocument/2006/relationships" name="_____CONS. Y SALAZONES" sheetId="14" state="visible" r:id="rId14"/>
    <sheet xmlns:r="http://schemas.openxmlformats.org/officeDocument/2006/relationships" name="_____CRNAS SERVAN" sheetId="15" state="visible" r:id="rId15"/>
    <sheet xmlns:r="http://schemas.openxmlformats.org/officeDocument/2006/relationships" name="_____CRUSTAPESCA" sheetId="16" state="visible" r:id="rId16"/>
    <sheet xmlns:r="http://schemas.openxmlformats.org/officeDocument/2006/relationships" name="_____DELIPAN" sheetId="17" state="visible" r:id="rId17"/>
    <sheet xmlns:r="http://schemas.openxmlformats.org/officeDocument/2006/relationships" name="_____DISOLTRIGO" sheetId="18" state="visible" r:id="rId18"/>
    <sheet xmlns:r="http://schemas.openxmlformats.org/officeDocument/2006/relationships" name="_____DIST. TENA" sheetId="19" state="visible" r:id="rId19"/>
    <sheet xmlns:r="http://schemas.openxmlformats.org/officeDocument/2006/relationships" name="_____EIF DISTRIBUCIONES" sheetId="20" state="visible" r:id="rId20"/>
    <sheet xmlns:r="http://schemas.openxmlformats.org/officeDocument/2006/relationships" name="_____ENRIQUE CAMPS" sheetId="21" state="visible" r:id="rId21"/>
    <sheet xmlns:r="http://schemas.openxmlformats.org/officeDocument/2006/relationships" name="_____ESCRIBANO SANZ" sheetId="22" state="visible" r:id="rId22"/>
    <sheet xmlns:r="http://schemas.openxmlformats.org/officeDocument/2006/relationships" name="_____EXTRAMAR" sheetId="23" state="visible" r:id="rId23"/>
    <sheet xmlns:r="http://schemas.openxmlformats.org/officeDocument/2006/relationships" name="_____FCO JAVIER LABRADOR" sheetId="24" state="visible" r:id="rId24"/>
    <sheet xmlns:r="http://schemas.openxmlformats.org/officeDocument/2006/relationships" name="_____FRUTERIA DALISTE" sheetId="25" state="visible" r:id="rId25"/>
    <sheet xmlns:r="http://schemas.openxmlformats.org/officeDocument/2006/relationships" name="_____HIELOS ANGEL ICE" sheetId="26" state="visible" r:id="rId26"/>
    <sheet xmlns:r="http://schemas.openxmlformats.org/officeDocument/2006/relationships" name="_____INESCU SERVICES" sheetId="27" state="visible" r:id="rId27"/>
    <sheet xmlns:r="http://schemas.openxmlformats.org/officeDocument/2006/relationships" name="_____JC MACKINTOSH" sheetId="28" state="visible" r:id="rId28"/>
    <sheet xmlns:r="http://schemas.openxmlformats.org/officeDocument/2006/relationships" name="_____JOSE PEÑA" sheetId="29" state="visible" r:id="rId29"/>
    <sheet xmlns:r="http://schemas.openxmlformats.org/officeDocument/2006/relationships" name="_____JOSE ROMERO PLAZA" sheetId="30" state="visible" r:id="rId30"/>
    <sheet xmlns:r="http://schemas.openxmlformats.org/officeDocument/2006/relationships" name="_____LEVADURA MADRE" sheetId="31" state="visible" r:id="rId31"/>
    <sheet xmlns:r="http://schemas.openxmlformats.org/officeDocument/2006/relationships" name="_____MAGOASE" sheetId="32" state="visible" r:id="rId32"/>
    <sheet xmlns:r="http://schemas.openxmlformats.org/officeDocument/2006/relationships" name="_____MAHOU" sheetId="33" state="visible" r:id="rId33"/>
    <sheet xmlns:r="http://schemas.openxmlformats.org/officeDocument/2006/relationships" name="_____MAKRO" sheetId="34" state="visible" r:id="rId34"/>
    <sheet xmlns:r="http://schemas.openxmlformats.org/officeDocument/2006/relationships" name="_____MANU AMBRES" sheetId="35" state="visible" r:id="rId35"/>
    <sheet xmlns:r="http://schemas.openxmlformats.org/officeDocument/2006/relationships" name="_____MARTIN CANEDA" sheetId="36" state="visible" r:id="rId36"/>
    <sheet xmlns:r="http://schemas.openxmlformats.org/officeDocument/2006/relationships" name="_____MAXXIMO" sheetId="37" state="visible" r:id="rId37"/>
    <sheet xmlns:r="http://schemas.openxmlformats.org/officeDocument/2006/relationships" name="_____MONVA" sheetId="38" state="visible" r:id="rId38"/>
    <sheet xmlns:r="http://schemas.openxmlformats.org/officeDocument/2006/relationships" name="_____MUNDELA" sheetId="39" state="visible" r:id="rId39"/>
    <sheet xmlns:r="http://schemas.openxmlformats.org/officeDocument/2006/relationships" name="_____PATATAS YAGO" sheetId="40" state="visible" r:id="rId40"/>
    <sheet xmlns:r="http://schemas.openxmlformats.org/officeDocument/2006/relationships" name="_____PESCADERIA PALACIO" sheetId="41" state="visible" r:id="rId41"/>
    <sheet xmlns:r="http://schemas.openxmlformats.org/officeDocument/2006/relationships" name="_____PESCARUM" sheetId="42" state="visible" r:id="rId42"/>
    <sheet xmlns:r="http://schemas.openxmlformats.org/officeDocument/2006/relationships" name="_____PEÑALASTALLAS" sheetId="43" state="visible" r:id="rId43"/>
    <sheet xmlns:r="http://schemas.openxmlformats.org/officeDocument/2006/relationships" name="_____REGERE AOVE" sheetId="44" state="visible" r:id="rId44"/>
    <sheet xmlns:r="http://schemas.openxmlformats.org/officeDocument/2006/relationships" name="_____ROMERO ALVAREZ" sheetId="45" state="visible" r:id="rId45"/>
    <sheet xmlns:r="http://schemas.openxmlformats.org/officeDocument/2006/relationships" name="_____SENSORVISION" sheetId="46" state="visible" r:id="rId46"/>
    <sheet xmlns:r="http://schemas.openxmlformats.org/officeDocument/2006/relationships" name="_____SUBMARINER" sheetId="47" state="visible" r:id="rId47"/>
    <sheet xmlns:r="http://schemas.openxmlformats.org/officeDocument/2006/relationships" name="_____TOMATERIA CEA" sheetId="48" state="visible" r:id="rId48"/>
    <sheet xmlns:r="http://schemas.openxmlformats.org/officeDocument/2006/relationships" name="_____VENERO CLARO" sheetId="49" state="visible" r:id="rId49"/>
    <sheet xmlns:r="http://schemas.openxmlformats.org/officeDocument/2006/relationships" name="_____VINS DES DIEUX" sheetId="50" state="visible" r:id="rId50"/>
    <sheet xmlns:r="http://schemas.openxmlformats.org/officeDocument/2006/relationships" name="_____VOLDIS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_-* #,##0.00&quot; €&quot;_-;[RED]\-* #,##0.00&quot; €&quot;_-;_-* \-??&quot; €&quot;_-;_-@_-"/>
    <numFmt numFmtId="165" formatCode="yyyy-mm-dd h:mm:ss"/>
    <numFmt numFmtId="166" formatCode="[$-C0A]mmmm\ yyyy"/>
    <numFmt numFmtId="167" formatCode="#,##0.###;[RED]\-#,##0.###;\-"/>
    <numFmt numFmtId="168" formatCode="0%;\-0%;&quot;&quot;"/>
    <numFmt numFmtId="169" formatCode="#,##0.00&quot; €&quot;;[RED]\-#,##0.00&quot; €&quot;;\-"/>
    <numFmt numFmtId="170" formatCode="#,##0.00&quot; €&quot;"/>
    <numFmt numFmtId="171" formatCode="0.0%"/>
  </numFmts>
  <fonts count="16">
    <font>
      <name val="Calibri"/>
      <family val="2"/>
      <color theme="1"/>
      <sz val="11"/>
      <scheme val="minor"/>
    </font>
    <font>
      <name val="Cambria"/>
      <b val="1"/>
      <color rgb="001F3864"/>
      <sz val="14"/>
    </font>
    <font>
      <name val="Cambria"/>
      <b val="1"/>
      <color rgb="00FFFFFF"/>
      <sz val="11"/>
    </font>
    <font>
      <name val="Calibri"/>
      <sz val="11"/>
    </font>
    <font>
      <name val="Cambria"/>
      <b val="1"/>
      <sz val="11"/>
    </font>
    <font>
      <name val="Cambria"/>
      <b val="1"/>
      <color rgb="007030A0"/>
      <sz val="12"/>
    </font>
    <font>
      <name val="Cambria"/>
      <b val="1"/>
      <color rgb="00FFFFFF"/>
      <sz val="13"/>
    </font>
    <font>
      <name val="Cambria"/>
      <b val="1"/>
      <color rgb="007030A0"/>
      <sz val="11"/>
    </font>
    <font>
      <name val="Cambria"/>
      <b val="1"/>
      <color rgb="001F7A6B"/>
      <sz val="11"/>
    </font>
    <font>
      <name val="Cambria"/>
      <b val="1"/>
      <color rgb="00C55A11"/>
      <sz val="11"/>
    </font>
    <font>
      <name val="Cambria"/>
      <i val="1"/>
      <color rgb="007F7F7F"/>
      <sz val="11"/>
    </font>
    <font>
      <name val="Cambria"/>
      <b val="1"/>
      <color rgb="001F3864"/>
      <sz val="16"/>
    </font>
    <font>
      <name val="Cambria"/>
      <b val="1"/>
      <color rgb="001F3864"/>
      <sz val="11"/>
    </font>
    <font>
      <name val="Cambria"/>
      <b val="1"/>
      <color rgb="001F3864"/>
      <sz val="8"/>
    </font>
    <font>
      <name val="Cambria"/>
      <b val="1"/>
      <color rgb="001F3864"/>
      <sz val="10"/>
    </font>
    <font>
      <name val="Cambria"/>
      <b val="1"/>
      <color rgb="001F3864"/>
      <sz val="12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030A0"/>
      </patternFill>
    </fill>
    <fill>
      <patternFill patternType="solid">
        <fgColor rgb="00E9DDF3"/>
      </patternFill>
    </fill>
    <fill>
      <patternFill patternType="solid">
        <fgColor rgb="00F5F7FB"/>
      </patternFill>
    </fill>
    <fill>
      <patternFill patternType="solid">
        <fgColor rgb="001F7A6B"/>
      </patternFill>
    </fill>
    <fill>
      <patternFill patternType="solid">
        <fgColor rgb="00D9F0EC"/>
      </patternFill>
    </fill>
    <fill>
      <patternFill patternType="solid">
        <fgColor rgb="00C55A11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1" fillId="0" borderId="0" pivotButton="0" quotePrefix="0" xfId="0"/>
    <xf numFmtId="0" fontId="5" fillId="0" borderId="0" pivotButton="0" quotePrefix="0" xfId="0"/>
    <xf numFmtId="0" fontId="1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1" fontId="1" fillId="0" borderId="0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13" fillId="4" borderId="0" applyAlignment="1" pivotButton="0" quotePrefix="0" xfId="0">
      <alignment horizontal="center" vertical="center" wrapText="1"/>
    </xf>
    <xf numFmtId="170" fontId="14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1" pivotButton="0" quotePrefix="0" xfId="0"/>
    <xf numFmtId="1" fontId="3" fillId="0" borderId="1" pivotButton="0" quotePrefix="0" xfId="0"/>
    <xf numFmtId="164" fontId="4" fillId="0" borderId="1" pivotButton="0" quotePrefix="0" xfId="0"/>
    <xf numFmtId="171" fontId="3" fillId="0" borderId="1" pivotButton="0" quotePrefix="0" xfId="0"/>
    <xf numFmtId="164" fontId="3" fillId="0" borderId="1" pivotButton="0" quotePrefix="0" xfId="0"/>
    <xf numFmtId="49" fontId="2" fillId="2" borderId="0" applyAlignment="1" pivotButton="0" quotePrefix="0" xfId="0">
      <alignment horizontal="center" vertical="center" wrapText="1"/>
    </xf>
    <xf numFmtId="1" fontId="2" fillId="2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center" vertical="center" wrapText="1"/>
    </xf>
    <xf numFmtId="171" fontId="2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0" borderId="1" pivotButton="0" quotePrefix="0" xfId="0"/>
    <xf numFmtId="49" fontId="3" fillId="0" borderId="1" pivotButton="0" quotePrefix="0" xfId="0"/>
    <xf numFmtId="9" fontId="3" fillId="0" borderId="1" pivotButton="0" quotePrefix="0" xfId="0"/>
    <xf numFmtId="164" fontId="5" fillId="0" borderId="0" pivotButton="0" quotePrefix="0" xfId="0"/>
    <xf numFmtId="164" fontId="2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7" fillId="4" borderId="1" pivotButton="0" quotePrefix="0" xfId="0"/>
    <xf numFmtId="169" fontId="3" fillId="0" borderId="1" pivotButton="0" quotePrefix="0" xfId="0"/>
    <xf numFmtId="0" fontId="3" fillId="0" borderId="1" applyAlignment="1" pivotButton="0" quotePrefix="0" xfId="0">
      <alignment horizontal="center"/>
    </xf>
    <xf numFmtId="0" fontId="8" fillId="7" borderId="1" pivotButton="0" quotePrefix="0" xfId="0"/>
    <xf numFmtId="0" fontId="9" fillId="9" borderId="1" pivotButton="0" quotePrefix="0" xfId="0"/>
    <xf numFmtId="166" fontId="6" fillId="3" borderId="0" applyAlignment="1" pivotButton="0" quotePrefix="0" xfId="0">
      <alignment horizontal="center" vertical="center" wrapText="1"/>
    </xf>
    <xf numFmtId="0" fontId="7" fillId="4" borderId="0" pivotButton="0" quotePrefix="0" xfId="0"/>
    <xf numFmtId="164" fontId="4" fillId="4" borderId="0" pivotButton="0" quotePrefix="0" xfId="0"/>
    <xf numFmtId="0" fontId="3" fillId="5" borderId="1" pivotButton="0" quotePrefix="0" xfId="0"/>
    <xf numFmtId="167" fontId="3" fillId="5" borderId="1" pivotButton="0" quotePrefix="0" xfId="0"/>
    <xf numFmtId="164" fontId="3" fillId="5" borderId="1" pivotButton="0" quotePrefix="0" xfId="0"/>
    <xf numFmtId="168" fontId="3" fillId="5" borderId="1" pivotButton="0" quotePrefix="0" xfId="0"/>
    <xf numFmtId="164" fontId="4" fillId="5" borderId="1" pivotButton="0" quotePrefix="0" xfId="0"/>
    <xf numFmtId="167" fontId="3" fillId="0" borderId="1" pivotButton="0" quotePrefix="0" xfId="0"/>
    <xf numFmtId="168" fontId="3" fillId="0" borderId="1" pivotButton="0" quotePrefix="0" xfId="0"/>
    <xf numFmtId="166" fontId="6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166" fontId="6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8" fillId="7" borderId="0" pivotButton="0" quotePrefix="0" xfId="0"/>
    <xf numFmtId="164" fontId="4" fillId="7" borderId="0" pivotButton="0" quotePrefix="0" xfId="0"/>
    <xf numFmtId="0" fontId="9" fillId="9" borderId="0" pivotButton="0" quotePrefix="0" xfId="0"/>
    <xf numFmtId="164" fontId="4" fillId="9" borderId="0" pivotButton="0" quotePrefix="0" xfId="0"/>
    <xf numFmtId="0" fontId="2" fillId="6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ont>
        <color rgb="00C00000"/>
      </font>
    </dxf>
    <dxf>
      <font>
        <color rgb="00808080"/>
      </font>
      <fill>
        <patternFill patternType="solid">
          <bgColor rgb="00EDEDED"/>
        </patternFill>
      </fill>
    </dxf>
    <dxf>
      <font>
        <color rgb="0000B050"/>
      </font>
    </dxf>
    <dxf>
      <border>
        <top style="medium">
          <color rgb="001F3864"/>
        </top>
      </border>
    </dxf>
    <dxf>
      <font>
        <color rgb="009C0006"/>
      </font>
      <fill>
        <patternFill patternType="solid">
          <bgColor rgb="00FFC7CE"/>
        </patternFill>
      </fill>
    </dxf>
    <dxf>
      <font>
        <color rgb="00006100"/>
      </font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B2:H6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6" customWidth="1" min="4" max="4"/>
    <col width="11" customWidth="1" min="5" max="5"/>
    <col width="16" customWidth="1" min="6" max="6"/>
    <col width="14" customWidth="1" min="7" max="7"/>
    <col width="11" customWidth="1" min="8" max="8"/>
    <col width="3" customWidth="1" min="9" max="9"/>
  </cols>
  <sheetData>
    <row r="2" ht="19.7" customHeight="1">
      <c r="B2" s="1" t="inlineStr">
        <is>
          <t>RESUMEN DE COMPRAS · SEPTIEMBRE 2026</t>
        </is>
      </c>
    </row>
    <row r="3">
      <c r="B3" s="2" t="inlineStr">
        <is>
          <t>LA MINA DE CHAMARTÍN</t>
        </is>
      </c>
    </row>
    <row r="4">
      <c r="B4" s="3" t="inlineStr">
        <is>
          <t>Todo se calcula desde la hoja TOTAL SEPTIEMBRE. La columna de agosto es el importe fijo del Excel de agosto.</t>
        </is>
      </c>
    </row>
    <row r="6" ht="15" customHeight="1">
      <c r="B6" s="4" t="inlineStr">
        <is>
          <t>BASE IMPONIBLE</t>
        </is>
      </c>
      <c r="C6" s="5" t="n"/>
      <c r="D6" s="4" t="inlineStr">
        <is>
          <t>CUOTA IVA</t>
        </is>
      </c>
      <c r="E6" s="5" t="n"/>
      <c r="F6" s="4" t="inlineStr">
        <is>
          <t>TOTAL CON IVA</t>
        </is>
      </c>
      <c r="G6" s="5" t="n"/>
    </row>
    <row r="7" ht="25.5" customHeight="1">
      <c r="B7" s="6">
        <f>SUM('TOTAL SEPTIEMBRE'!D4:D2000)</f>
        <v/>
      </c>
      <c r="D7" s="6">
        <f>SUM('TOTAL SEPTIEMBRE'!F4:F2000)-SUM('TOTAL SEPTIEMBRE'!D4:D2000)</f>
        <v/>
      </c>
      <c r="F7" s="6">
        <f>SUM('TOTAL SEPTIEMBRE'!F4:F2000)</f>
        <v/>
      </c>
    </row>
    <row r="9" ht="15" customHeight="1">
      <c r="B9" s="7" t="inlineStr">
        <is>
          <t>Nº ALBARANES</t>
        </is>
      </c>
      <c r="C9" s="8" t="n"/>
      <c r="D9" s="7" t="inlineStr">
        <is>
          <t>Nº PROVEEDORES</t>
        </is>
      </c>
      <c r="E9" s="8" t="n"/>
      <c r="F9" s="7" t="inlineStr">
        <is>
          <t>CUADRES A REVISAR</t>
        </is>
      </c>
      <c r="G9" s="8" t="n"/>
    </row>
    <row r="10" ht="25.5" customHeight="1">
      <c r="B10" s="9">
        <f>SUMPRODUCT(('TOTAL SEPTIEMBRE'!B4:B1000&lt;&gt;"")/COUNTIFS('TOTAL SEPTIEMBRE'!B4:B1000,'TOTAL SEPTIEMBRE'!B4:B1000&amp;"",'TOTAL SEPTIEMBRE'!C4:C1000,'TOTAL SEPTIEMBRE'!C4:C1000&amp;""))</f>
        <v/>
      </c>
      <c r="D10" s="9">
        <f>SUMPRODUCT(('TOTAL SEPTIEMBRE'!B4:B2000&lt;&gt;"")/COUNTIF('TOTAL SEPTIEMBRE'!B4:B2000,'TOTAL SEPTIEMBRE'!B4:B2000&amp;""))</f>
        <v/>
      </c>
      <c r="F10" s="9">
        <f>COUNTIF('CUADRE ALBARANES'!H:H,"REVISAR")</f>
        <v/>
      </c>
    </row>
    <row r="12" ht="15" customHeight="1">
      <c r="B12" s="10" t="inlineStr">
        <is>
          <t>BASE AL 4% DE IVA</t>
        </is>
      </c>
      <c r="C12" s="11" t="n"/>
      <c r="D12" s="10" t="inlineStr">
        <is>
          <t>BASE AL 10% DE IVA</t>
        </is>
      </c>
      <c r="E12" s="11" t="n"/>
      <c r="F12" s="10" t="inlineStr">
        <is>
          <t>BASE AL 21% DE IVA</t>
        </is>
      </c>
      <c r="G12" s="11" t="n"/>
      <c r="H12" s="12" t="inlineStr">
        <is>
          <t>SIN IVA EN EL TICKET</t>
        </is>
      </c>
    </row>
    <row r="13" ht="25.5" customHeight="1">
      <c r="B13" s="6">
        <f>SUMIF('TOTAL SEPTIEMBRE'!$E$4:$E$2000,0.04,'TOTAL SEPTIEMBRE'!$D$4:$D$2000)</f>
        <v/>
      </c>
      <c r="D13" s="6">
        <f>SUMIF('TOTAL SEPTIEMBRE'!$E$4:$E$2000,0.1,'TOTAL SEPTIEMBRE'!$D$4:$D$2000)</f>
        <v/>
      </c>
      <c r="F13" s="6">
        <f>SUMIF('TOTAL SEPTIEMBRE'!$E$4:$E$2000,0.21,'TOTAL SEPTIEMBRE'!$D$4:$D$2000)</f>
        <v/>
      </c>
      <c r="H13" s="13">
        <f>SUMIF('TOTAL SEPTIEMBRE'!$E$4:$E$2000,0,'TOTAL SEPTIEMBRE'!$D$4:$D$2000)</f>
        <v/>
      </c>
    </row>
    <row r="16">
      <c r="B16" s="14" t="inlineStr">
        <is>
          <t>COMPRAS POR PROVEEDOR</t>
        </is>
      </c>
    </row>
    <row r="17">
      <c r="B17" s="7" t="inlineStr">
        <is>
          <t>PROVEEDOR</t>
        </is>
      </c>
      <c r="C17" s="7" t="inlineStr">
        <is>
          <t>Nº ALB.</t>
        </is>
      </c>
      <c r="D17" s="7" t="inlineStr">
        <is>
          <t>BASE SEPTIEMBRE</t>
        </is>
      </c>
      <c r="E17" s="7" t="inlineStr">
        <is>
          <t>% DEL MES</t>
        </is>
      </c>
      <c r="F17" s="7" t="inlineStr">
        <is>
          <t>BASE AGOSTO</t>
        </is>
      </c>
      <c r="G17" s="7" t="inlineStr">
        <is>
          <t>DIF. €</t>
        </is>
      </c>
      <c r="H17" s="7" t="inlineStr">
        <is>
          <t>DIF. %</t>
        </is>
      </c>
    </row>
    <row r="18" ht="15" customHeight="1">
      <c r="B18" s="15" t="inlineStr">
        <is>
          <t>PESCARUM</t>
        </is>
      </c>
      <c r="C18" s="16">
        <f>SUMPRODUCT(('TOTAL SEPTIEMBRE'!$B$4:$B$1000=B18)/COUNTIFS('TOTAL SEPTIEMBRE'!$B$4:$B$1000,'TOTAL SEPTIEMBRE'!$B$4:$B$1000&amp;"",'TOTAL SEPTIEMBRE'!$C$4:$C$1000,'TOTAL SEPTIEMBRE'!$C$4:$C$1000&amp;""))</f>
        <v/>
      </c>
      <c r="D18" s="17">
        <f>SUMIF('TOTAL SEPTIEMBRE'!$B$4:$B$2000,B18,'TOTAL SEPTIEMBRE'!$D$4:$D$2000)</f>
        <v/>
      </c>
      <c r="E18" s="18">
        <f>IF($D$61=0,0,D18/$D$61)</f>
        <v/>
      </c>
      <c r="F18" s="19" t="n">
        <v>5112.89</v>
      </c>
      <c r="G18" s="19">
        <f>IF(F18="","",D18-F18)</f>
        <v/>
      </c>
      <c r="H18" s="18">
        <f>IF(OR(F18="",N(F18)=0),"",D18/F18-1)</f>
        <v/>
      </c>
    </row>
    <row r="19" ht="15" customHeight="1">
      <c r="B19" s="15" t="inlineStr">
        <is>
          <t>MAHOU</t>
        </is>
      </c>
      <c r="C19" s="16">
        <f>SUMPRODUCT(('TOTAL SEPTIEMBRE'!$B$4:$B$1000=B19)/COUNTIFS('TOTAL SEPTIEMBRE'!$B$4:$B$1000,'TOTAL SEPTIEMBRE'!$B$4:$B$1000&amp;"",'TOTAL SEPTIEMBRE'!$C$4:$C$1000,'TOTAL SEPTIEMBRE'!$C$4:$C$1000&amp;""))</f>
        <v/>
      </c>
      <c r="D19" s="17">
        <f>SUMIF('TOTAL SEPTIEMBRE'!$B$4:$B$2000,B19,'TOTAL SEPTIEMBRE'!$D$4:$D$2000)</f>
        <v/>
      </c>
      <c r="E19" s="18">
        <f>IF($D$61=0,0,D19/$D$61)</f>
        <v/>
      </c>
      <c r="F19" s="19" t="n"/>
      <c r="G19" s="19">
        <f>IF(F19="","",D19-F19)</f>
        <v/>
      </c>
      <c r="H19" s="18">
        <f>IF(OR(F19="",N(F19)=0),"",D19/F19-1)</f>
        <v/>
      </c>
    </row>
    <row r="20" ht="15" customHeight="1">
      <c r="B20" s="15" t="inlineStr">
        <is>
          <t>VOLDIS</t>
        </is>
      </c>
      <c r="C20" s="16">
        <f>SUMPRODUCT(('TOTAL SEPTIEMBRE'!$B$4:$B$1000=B20)/COUNTIFS('TOTAL SEPTIEMBRE'!$B$4:$B$1000,'TOTAL SEPTIEMBRE'!$B$4:$B$1000&amp;"",'TOTAL SEPTIEMBRE'!$C$4:$C$1000,'TOTAL SEPTIEMBRE'!$C$4:$C$1000&amp;""))</f>
        <v/>
      </c>
      <c r="D20" s="17">
        <f>SUMIF('TOTAL SEPTIEMBRE'!$B$4:$B$2000,B20,'TOTAL SEPTIEMBRE'!$D$4:$D$2000)</f>
        <v/>
      </c>
      <c r="E20" s="18">
        <f>IF($D$61=0,0,D20/$D$61)</f>
        <v/>
      </c>
      <c r="F20" s="19" t="n">
        <v>780.87</v>
      </c>
      <c r="G20" s="19">
        <f>IF(F20="","",D20-F20)</f>
        <v/>
      </c>
      <c r="H20" s="18">
        <f>IF(OR(F20="",N(F20)=0),"",D20/F20-1)</f>
        <v/>
      </c>
    </row>
    <row r="21" ht="15" customHeight="1">
      <c r="B21" s="15" t="inlineStr">
        <is>
          <t>AGROFOOD</t>
        </is>
      </c>
      <c r="C21" s="16">
        <f>SUMPRODUCT(('TOTAL SEPTIEMBRE'!$B$4:$B$1000=B21)/COUNTIFS('TOTAL SEPTIEMBRE'!$B$4:$B$1000,'TOTAL SEPTIEMBRE'!$B$4:$B$1000&amp;"",'TOTAL SEPTIEMBRE'!$C$4:$C$1000,'TOTAL SEPTIEMBRE'!$C$4:$C$1000&amp;""))</f>
        <v/>
      </c>
      <c r="D21" s="17">
        <f>SUMIF('TOTAL SEPTIEMBRE'!$B$4:$B$2000,B21,'TOTAL SEPTIEMBRE'!$D$4:$D$2000)</f>
        <v/>
      </c>
      <c r="E21" s="18">
        <f>IF($D$61=0,0,D21/$D$61)</f>
        <v/>
      </c>
      <c r="F21" s="19" t="n">
        <v>1199.46</v>
      </c>
      <c r="G21" s="19">
        <f>IF(F21="","",D21-F21)</f>
        <v/>
      </c>
      <c r="H21" s="18">
        <f>IF(OR(F21="",N(F21)=0),"",D21/F21-1)</f>
        <v/>
      </c>
    </row>
    <row r="22" ht="15" customHeight="1">
      <c r="B22" s="15" t="inlineStr">
        <is>
          <t>MAKRO</t>
        </is>
      </c>
      <c r="C22" s="16">
        <f>SUMPRODUCT(('TOTAL SEPTIEMBRE'!$B$4:$B$1000=B22)/COUNTIFS('TOTAL SEPTIEMBRE'!$B$4:$B$1000,'TOTAL SEPTIEMBRE'!$B$4:$B$1000&amp;"",'TOTAL SEPTIEMBRE'!$C$4:$C$1000,'TOTAL SEPTIEMBRE'!$C$4:$C$1000&amp;""))</f>
        <v/>
      </c>
      <c r="D22" s="17">
        <f>SUMIF('TOTAL SEPTIEMBRE'!$B$4:$B$2000,B22,'TOTAL SEPTIEMBRE'!$D$4:$D$2000)</f>
        <v/>
      </c>
      <c r="E22" s="18">
        <f>IF($D$61=0,0,D22/$D$61)</f>
        <v/>
      </c>
      <c r="F22" s="19" t="n"/>
      <c r="G22" s="19">
        <f>IF(F22="","",D22-F22)</f>
        <v/>
      </c>
      <c r="H22" s="18">
        <f>IF(OR(F22="",N(F22)=0),"",D22/F22-1)</f>
        <v/>
      </c>
    </row>
    <row r="23" ht="15" customHeight="1">
      <c r="B23" s="15" t="inlineStr">
        <is>
          <t>MARTIN CANEDA</t>
        </is>
      </c>
      <c r="C23" s="16">
        <f>SUMPRODUCT(('TOTAL SEPTIEMBRE'!$B$4:$B$1000=B23)/COUNTIFS('TOTAL SEPTIEMBRE'!$B$4:$B$1000,'TOTAL SEPTIEMBRE'!$B$4:$B$1000&amp;"",'TOTAL SEPTIEMBRE'!$C$4:$C$1000,'TOTAL SEPTIEMBRE'!$C$4:$C$1000&amp;""))</f>
        <v/>
      </c>
      <c r="D23" s="17">
        <f>SUMIF('TOTAL SEPTIEMBRE'!$B$4:$B$2000,B23,'TOTAL SEPTIEMBRE'!$D$4:$D$2000)</f>
        <v/>
      </c>
      <c r="E23" s="18">
        <f>IF($D$61=0,0,D23/$D$61)</f>
        <v/>
      </c>
      <c r="F23" s="19" t="n">
        <v>1617.8</v>
      </c>
      <c r="G23" s="19">
        <f>IF(F23="","",D23-F23)</f>
        <v/>
      </c>
      <c r="H23" s="18">
        <f>IF(OR(F23="",N(F23)=0),"",D23/F23-1)</f>
        <v/>
      </c>
    </row>
    <row r="24" ht="15" customHeight="1">
      <c r="B24" s="15" t="inlineStr">
        <is>
          <t>MUNDELA</t>
        </is>
      </c>
      <c r="C24" s="16">
        <f>SUMPRODUCT(('TOTAL SEPTIEMBRE'!$B$4:$B$1000=B24)/COUNTIFS('TOTAL SEPTIEMBRE'!$B$4:$B$1000,'TOTAL SEPTIEMBRE'!$B$4:$B$1000&amp;"",'TOTAL SEPTIEMBRE'!$C$4:$C$1000,'TOTAL SEPTIEMBRE'!$C$4:$C$1000&amp;""))</f>
        <v/>
      </c>
      <c r="D24" s="17">
        <f>SUMIF('TOTAL SEPTIEMBRE'!$B$4:$B$2000,B24,'TOTAL SEPTIEMBRE'!$D$4:$D$2000)</f>
        <v/>
      </c>
      <c r="E24" s="18">
        <f>IF($D$61=0,0,D24/$D$61)</f>
        <v/>
      </c>
      <c r="F24" s="19" t="n">
        <v>1920.54</v>
      </c>
      <c r="G24" s="19">
        <f>IF(F24="","",D24-F24)</f>
        <v/>
      </c>
      <c r="H24" s="18">
        <f>IF(OR(F24="",N(F24)=0),"",D24/F24-1)</f>
        <v/>
      </c>
    </row>
    <row r="25" ht="15" customHeight="1">
      <c r="B25" s="15" t="inlineStr">
        <is>
          <t>DIST. TENA MTNEZ</t>
        </is>
      </c>
      <c r="C25" s="16">
        <f>SUMPRODUCT(('TOTAL SEPTIEMBRE'!$B$4:$B$1000=B25)/COUNTIFS('TOTAL SEPTIEMBRE'!$B$4:$B$1000,'TOTAL SEPTIEMBRE'!$B$4:$B$1000&amp;"",'TOTAL SEPTIEMBRE'!$C$4:$C$1000,'TOTAL SEPTIEMBRE'!$C$4:$C$1000&amp;""))</f>
        <v/>
      </c>
      <c r="D25" s="17">
        <f>SUMIF('TOTAL SEPTIEMBRE'!$B$4:$B$2000,B25,'TOTAL SEPTIEMBRE'!$D$4:$D$2000)</f>
        <v/>
      </c>
      <c r="E25" s="18">
        <f>IF($D$61=0,0,D25/$D$61)</f>
        <v/>
      </c>
      <c r="F25" s="19" t="n">
        <v>1320.36</v>
      </c>
      <c r="G25" s="19">
        <f>IF(F25="","",D25-F25)</f>
        <v/>
      </c>
      <c r="H25" s="18">
        <f>IF(OR(F25="",N(F25)=0),"",D25/F25-1)</f>
        <v/>
      </c>
    </row>
    <row r="26" ht="15" customHeight="1">
      <c r="B26" s="15" t="inlineStr">
        <is>
          <t>ACEITE Y SAL</t>
        </is>
      </c>
      <c r="C26" s="16">
        <f>SUMPRODUCT(('TOTAL SEPTIEMBRE'!$B$4:$B$1000=B26)/COUNTIFS('TOTAL SEPTIEMBRE'!$B$4:$B$1000,'TOTAL SEPTIEMBRE'!$B$4:$B$1000&amp;"",'TOTAL SEPTIEMBRE'!$C$4:$C$1000,'TOTAL SEPTIEMBRE'!$C$4:$C$1000&amp;""))</f>
        <v/>
      </c>
      <c r="D26" s="17">
        <f>SUMIF('TOTAL SEPTIEMBRE'!$B$4:$B$2000,B26,'TOTAL SEPTIEMBRE'!$D$4:$D$2000)</f>
        <v/>
      </c>
      <c r="E26" s="18">
        <f>IF($D$61=0,0,D26/$D$61)</f>
        <v/>
      </c>
      <c r="F26" s="19" t="n"/>
      <c r="G26" s="19">
        <f>IF(F26="","",D26-F26)</f>
        <v/>
      </c>
      <c r="H26" s="18">
        <f>IF(OR(F26="",N(F26)=0),"",D26/F26-1)</f>
        <v/>
      </c>
    </row>
    <row r="27" ht="15" customHeight="1">
      <c r="B27" s="15" t="inlineStr">
        <is>
          <t>CONS. Y SAL. JIMENEZ</t>
        </is>
      </c>
      <c r="C27" s="16">
        <f>SUMPRODUCT(('TOTAL SEPTIEMBRE'!$B$4:$B$1000=B27)/COUNTIFS('TOTAL SEPTIEMBRE'!$B$4:$B$1000,'TOTAL SEPTIEMBRE'!$B$4:$B$1000&amp;"",'TOTAL SEPTIEMBRE'!$C$4:$C$1000,'TOTAL SEPTIEMBRE'!$C$4:$C$1000&amp;""))</f>
        <v/>
      </c>
      <c r="D27" s="17">
        <f>SUMIF('TOTAL SEPTIEMBRE'!$B$4:$B$2000,B27,'TOTAL SEPTIEMBRE'!$D$4:$D$2000)</f>
        <v/>
      </c>
      <c r="E27" s="18">
        <f>IF($D$61=0,0,D27/$D$61)</f>
        <v/>
      </c>
      <c r="F27" s="19" t="n">
        <v>1061.59</v>
      </c>
      <c r="G27" s="19">
        <f>IF(F27="","",D27-F27)</f>
        <v/>
      </c>
      <c r="H27" s="18">
        <f>IF(OR(F27="",N(F27)=0),"",D27/F27-1)</f>
        <v/>
      </c>
    </row>
    <row r="28" ht="15" customHeight="1">
      <c r="B28" s="15" t="inlineStr">
        <is>
          <t>CRUSTAPESCA</t>
        </is>
      </c>
      <c r="C28" s="16">
        <f>SUMPRODUCT(('TOTAL SEPTIEMBRE'!$B$4:$B$1000=B28)/COUNTIFS('TOTAL SEPTIEMBRE'!$B$4:$B$1000,'TOTAL SEPTIEMBRE'!$B$4:$B$1000&amp;"",'TOTAL SEPTIEMBRE'!$C$4:$C$1000,'TOTAL SEPTIEMBRE'!$C$4:$C$1000&amp;""))</f>
        <v/>
      </c>
      <c r="D28" s="17">
        <f>SUMIF('TOTAL SEPTIEMBRE'!$B$4:$B$2000,B28,'TOTAL SEPTIEMBRE'!$D$4:$D$2000)</f>
        <v/>
      </c>
      <c r="E28" s="18">
        <f>IF($D$61=0,0,D28/$D$61)</f>
        <v/>
      </c>
      <c r="F28" s="19" t="n">
        <v>772</v>
      </c>
      <c r="G28" s="19">
        <f>IF(F28="","",D28-F28)</f>
        <v/>
      </c>
      <c r="H28" s="18">
        <f>IF(OR(F28="",N(F28)=0),"",D28/F28-1)</f>
        <v/>
      </c>
    </row>
    <row r="29" ht="15" customHeight="1">
      <c r="B29" s="15" t="inlineStr">
        <is>
          <t>PEÑALASTALLAS</t>
        </is>
      </c>
      <c r="C29" s="16">
        <f>SUMPRODUCT(('TOTAL SEPTIEMBRE'!$B$4:$B$1000=B29)/COUNTIFS('TOTAL SEPTIEMBRE'!$B$4:$B$1000,'TOTAL SEPTIEMBRE'!$B$4:$B$1000&amp;"",'TOTAL SEPTIEMBRE'!$C$4:$C$1000,'TOTAL SEPTIEMBRE'!$C$4:$C$1000&amp;""))</f>
        <v/>
      </c>
      <c r="D29" s="17">
        <f>SUMIF('TOTAL SEPTIEMBRE'!$B$4:$B$2000,B29,'TOTAL SEPTIEMBRE'!$D$4:$D$2000)</f>
        <v/>
      </c>
      <c r="E29" s="18">
        <f>IF($D$61=0,0,D29/$D$61)</f>
        <v/>
      </c>
      <c r="F29" s="19" t="n">
        <v>519.6900000000001</v>
      </c>
      <c r="G29" s="19">
        <f>IF(F29="","",D29-F29)</f>
        <v/>
      </c>
      <c r="H29" s="18">
        <f>IF(OR(F29="",N(F29)=0),"",D29/F29-1)</f>
        <v/>
      </c>
    </row>
    <row r="30" ht="15" customHeight="1">
      <c r="B30" s="15" t="inlineStr">
        <is>
          <t>MANUEL AMBRES</t>
        </is>
      </c>
      <c r="C30" s="16">
        <f>SUMPRODUCT(('TOTAL SEPTIEMBRE'!$B$4:$B$1000=B30)/COUNTIFS('TOTAL SEPTIEMBRE'!$B$4:$B$1000,'TOTAL SEPTIEMBRE'!$B$4:$B$1000&amp;"",'TOTAL SEPTIEMBRE'!$C$4:$C$1000,'TOTAL SEPTIEMBRE'!$C$4:$C$1000&amp;""))</f>
        <v/>
      </c>
      <c r="D30" s="17">
        <f>SUMIF('TOTAL SEPTIEMBRE'!$B$4:$B$2000,B30,'TOTAL SEPTIEMBRE'!$D$4:$D$2000)</f>
        <v/>
      </c>
      <c r="E30" s="18">
        <f>IF($D$61=0,0,D30/$D$61)</f>
        <v/>
      </c>
      <c r="F30" s="19" t="n">
        <v>425</v>
      </c>
      <c r="G30" s="19">
        <f>IF(F30="","",D30-F30)</f>
        <v/>
      </c>
      <c r="H30" s="18">
        <f>IF(OR(F30="",N(F30)=0),"",D30/F30-1)</f>
        <v/>
      </c>
    </row>
    <row r="31" ht="15" customHeight="1">
      <c r="B31" s="15" t="inlineStr">
        <is>
          <t>AGMASFOOD</t>
        </is>
      </c>
      <c r="C31" s="16">
        <f>SUMPRODUCT(('TOTAL SEPTIEMBRE'!$B$4:$B$1000=B31)/COUNTIFS('TOTAL SEPTIEMBRE'!$B$4:$B$1000,'TOTAL SEPTIEMBRE'!$B$4:$B$1000&amp;"",'TOTAL SEPTIEMBRE'!$C$4:$C$1000,'TOTAL SEPTIEMBRE'!$C$4:$C$1000&amp;""))</f>
        <v/>
      </c>
      <c r="D31" s="17">
        <f>SUMIF('TOTAL SEPTIEMBRE'!$B$4:$B$2000,B31,'TOTAL SEPTIEMBRE'!$D$4:$D$2000)</f>
        <v/>
      </c>
      <c r="E31" s="18">
        <f>IF($D$61=0,0,D31/$D$61)</f>
        <v/>
      </c>
      <c r="F31" s="19" t="n">
        <v>1125.19</v>
      </c>
      <c r="G31" s="19">
        <f>IF(F31="","",D31-F31)</f>
        <v/>
      </c>
      <c r="H31" s="18">
        <f>IF(OR(F31="",N(F31)=0),"",D31/F31-1)</f>
        <v/>
      </c>
    </row>
    <row r="32" ht="15" customHeight="1">
      <c r="B32" s="15" t="inlineStr">
        <is>
          <t>SUBMARINER</t>
        </is>
      </c>
      <c r="C32" s="16">
        <f>SUMPRODUCT(('TOTAL SEPTIEMBRE'!$B$4:$B$1000=B32)/COUNTIFS('TOTAL SEPTIEMBRE'!$B$4:$B$1000,'TOTAL SEPTIEMBRE'!$B$4:$B$1000&amp;"",'TOTAL SEPTIEMBRE'!$C$4:$C$1000,'TOTAL SEPTIEMBRE'!$C$4:$C$1000&amp;""))</f>
        <v/>
      </c>
      <c r="D32" s="17">
        <f>SUMIF('TOTAL SEPTIEMBRE'!$B$4:$B$2000,B32,'TOTAL SEPTIEMBRE'!$D$4:$D$2000)</f>
        <v/>
      </c>
      <c r="E32" s="18">
        <f>IF($D$61=0,0,D32/$D$61)</f>
        <v/>
      </c>
      <c r="F32" s="19" t="n">
        <v>712.9400000000001</v>
      </c>
      <c r="G32" s="19">
        <f>IF(F32="","",D32-F32)</f>
        <v/>
      </c>
      <c r="H32" s="18">
        <f>IF(OR(F32="",N(F32)=0),"",D32/F32-1)</f>
        <v/>
      </c>
    </row>
    <row r="33" ht="15" customHeight="1">
      <c r="B33" s="15" t="inlineStr">
        <is>
          <t>CARNICAS MEAT</t>
        </is>
      </c>
      <c r="C33" s="16">
        <f>SUMPRODUCT(('TOTAL SEPTIEMBRE'!$B$4:$B$1000=B33)/COUNTIFS('TOTAL SEPTIEMBRE'!$B$4:$B$1000,'TOTAL SEPTIEMBRE'!$B$4:$B$1000&amp;"",'TOTAL SEPTIEMBRE'!$C$4:$C$1000,'TOTAL SEPTIEMBRE'!$C$4:$C$1000&amp;""))</f>
        <v/>
      </c>
      <c r="D33" s="17">
        <f>SUMIF('TOTAL SEPTIEMBRE'!$B$4:$B$2000,B33,'TOTAL SEPTIEMBRE'!$D$4:$D$2000)</f>
        <v/>
      </c>
      <c r="E33" s="18">
        <f>IF($D$61=0,0,D33/$D$61)</f>
        <v/>
      </c>
      <c r="F33" s="19" t="n">
        <v>640.26</v>
      </c>
      <c r="G33" s="19">
        <f>IF(F33="","",D33-F33)</f>
        <v/>
      </c>
      <c r="H33" s="18">
        <f>IF(OR(F33="",N(F33)=0),"",D33/F33-1)</f>
        <v/>
      </c>
    </row>
    <row r="34" ht="15" customHeight="1">
      <c r="B34" s="15" t="inlineStr">
        <is>
          <t>ENRIQUE CAMPS</t>
        </is>
      </c>
      <c r="C34" s="16">
        <f>SUMPRODUCT(('TOTAL SEPTIEMBRE'!$B$4:$B$1000=B34)/COUNTIFS('TOTAL SEPTIEMBRE'!$B$4:$B$1000,'TOTAL SEPTIEMBRE'!$B$4:$B$1000&amp;"",'TOTAL SEPTIEMBRE'!$C$4:$C$1000,'TOTAL SEPTIEMBRE'!$C$4:$C$1000&amp;""))</f>
        <v/>
      </c>
      <c r="D34" s="17">
        <f>SUMIF('TOTAL SEPTIEMBRE'!$B$4:$B$2000,B34,'TOTAL SEPTIEMBRE'!$D$4:$D$2000)</f>
        <v/>
      </c>
      <c r="E34" s="18">
        <f>IF($D$61=0,0,D34/$D$61)</f>
        <v/>
      </c>
      <c r="F34" s="19" t="n">
        <v>432</v>
      </c>
      <c r="G34" s="19">
        <f>IF(F34="","",D34-F34)</f>
        <v/>
      </c>
      <c r="H34" s="18">
        <f>IF(OR(F34="",N(F34)=0),"",D34/F34-1)</f>
        <v/>
      </c>
    </row>
    <row r="35" ht="15" customHeight="1">
      <c r="B35" s="15" t="inlineStr">
        <is>
          <t>CONS. SELEC. SANTO</t>
        </is>
      </c>
      <c r="C35" s="16">
        <f>SUMPRODUCT(('TOTAL SEPTIEMBRE'!$B$4:$B$1000=B35)/COUNTIFS('TOTAL SEPTIEMBRE'!$B$4:$B$1000,'TOTAL SEPTIEMBRE'!$B$4:$B$1000&amp;"",'TOTAL SEPTIEMBRE'!$C$4:$C$1000,'TOTAL SEPTIEMBRE'!$C$4:$C$1000&amp;""))</f>
        <v/>
      </c>
      <c r="D35" s="17">
        <f>SUMIF('TOTAL SEPTIEMBRE'!$B$4:$B$2000,B35,'TOTAL SEPTIEMBRE'!$D$4:$D$2000)</f>
        <v/>
      </c>
      <c r="E35" s="18">
        <f>IF($D$61=0,0,D35/$D$61)</f>
        <v/>
      </c>
      <c r="F35" s="19" t="n">
        <v>382.59</v>
      </c>
      <c r="G35" s="19">
        <f>IF(F35="","",D35-F35)</f>
        <v/>
      </c>
      <c r="H35" s="18">
        <f>IF(OR(F35="",N(F35)=0),"",D35/F35-1)</f>
        <v/>
      </c>
    </row>
    <row r="36" ht="15" customHeight="1">
      <c r="B36" s="15" t="inlineStr">
        <is>
          <t>PESCADERIA PALACIO</t>
        </is>
      </c>
      <c r="C36" s="16">
        <f>SUMPRODUCT(('TOTAL SEPTIEMBRE'!$B$4:$B$1000=B36)/COUNTIFS('TOTAL SEPTIEMBRE'!$B$4:$B$1000,'TOTAL SEPTIEMBRE'!$B$4:$B$1000&amp;"",'TOTAL SEPTIEMBRE'!$C$4:$C$1000,'TOTAL SEPTIEMBRE'!$C$4:$C$1000&amp;""))</f>
        <v/>
      </c>
      <c r="D36" s="17">
        <f>SUMIF('TOTAL SEPTIEMBRE'!$B$4:$B$2000,B36,'TOTAL SEPTIEMBRE'!$D$4:$D$2000)</f>
        <v/>
      </c>
      <c r="E36" s="18">
        <f>IF($D$61=0,0,D36/$D$61)</f>
        <v/>
      </c>
      <c r="F36" s="19" t="n">
        <v>369.6</v>
      </c>
      <c r="G36" s="19">
        <f>IF(F36="","",D36-F36)</f>
        <v/>
      </c>
      <c r="H36" s="18">
        <f>IF(OR(F36="",N(F36)=0),"",D36/F36-1)</f>
        <v/>
      </c>
    </row>
    <row r="37" ht="15" customHeight="1">
      <c r="B37" s="15" t="inlineStr">
        <is>
          <t>MAGOASE</t>
        </is>
      </c>
      <c r="C37" s="16">
        <f>SUMPRODUCT(('TOTAL SEPTIEMBRE'!$B$4:$B$1000=B37)/COUNTIFS('TOTAL SEPTIEMBRE'!$B$4:$B$1000,'TOTAL SEPTIEMBRE'!$B$4:$B$1000&amp;"",'TOTAL SEPTIEMBRE'!$C$4:$C$1000,'TOTAL SEPTIEMBRE'!$C$4:$C$1000&amp;""))</f>
        <v/>
      </c>
      <c r="D37" s="17">
        <f>SUMIF('TOTAL SEPTIEMBRE'!$B$4:$B$2000,B37,'TOTAL SEPTIEMBRE'!$D$4:$D$2000)</f>
        <v/>
      </c>
      <c r="E37" s="18">
        <f>IF($D$61=0,0,D37/$D$61)</f>
        <v/>
      </c>
      <c r="F37" s="19" t="n">
        <v>930.8</v>
      </c>
      <c r="G37" s="19">
        <f>IF(F37="","",D37-F37)</f>
        <v/>
      </c>
      <c r="H37" s="18">
        <f>IF(OR(F37="",N(F37)=0),"",D37/F37-1)</f>
        <v/>
      </c>
    </row>
    <row r="38" ht="15" customHeight="1">
      <c r="B38" s="15" t="inlineStr">
        <is>
          <t>DISOLTRIGO</t>
        </is>
      </c>
      <c r="C38" s="16">
        <f>SUMPRODUCT(('TOTAL SEPTIEMBRE'!$B$4:$B$1000=B38)/COUNTIFS('TOTAL SEPTIEMBRE'!$B$4:$B$1000,'TOTAL SEPTIEMBRE'!$B$4:$B$1000&amp;"",'TOTAL SEPTIEMBRE'!$C$4:$C$1000,'TOTAL SEPTIEMBRE'!$C$4:$C$1000&amp;""))</f>
        <v/>
      </c>
      <c r="D38" s="17">
        <f>SUMIF('TOTAL SEPTIEMBRE'!$B$4:$B$2000,B38,'TOTAL SEPTIEMBRE'!$D$4:$D$2000)</f>
        <v/>
      </c>
      <c r="E38" s="18">
        <f>IF($D$61=0,0,D38/$D$61)</f>
        <v/>
      </c>
      <c r="F38" s="19" t="n">
        <v>318</v>
      </c>
      <c r="G38" s="19">
        <f>IF(F38="","",D38-F38)</f>
        <v/>
      </c>
      <c r="H38" s="18">
        <f>IF(OR(F38="",N(F38)=0),"",D38/F38-1)</f>
        <v/>
      </c>
    </row>
    <row r="39" ht="15" customHeight="1">
      <c r="B39" s="15" t="inlineStr">
        <is>
          <t>ROMERO ALVAREZ</t>
        </is>
      </c>
      <c r="C39" s="16">
        <f>SUMPRODUCT(('TOTAL SEPTIEMBRE'!$B$4:$B$1000=B39)/COUNTIFS('TOTAL SEPTIEMBRE'!$B$4:$B$1000,'TOTAL SEPTIEMBRE'!$B$4:$B$1000&amp;"",'TOTAL SEPTIEMBRE'!$C$4:$C$1000,'TOTAL SEPTIEMBRE'!$C$4:$C$1000&amp;""))</f>
        <v/>
      </c>
      <c r="D39" s="17">
        <f>SUMIF('TOTAL SEPTIEMBRE'!$B$4:$B$2000,B39,'TOTAL SEPTIEMBRE'!$D$4:$D$2000)</f>
        <v/>
      </c>
      <c r="E39" s="18">
        <f>IF($D$61=0,0,D39/$D$61)</f>
        <v/>
      </c>
      <c r="F39" s="19" t="n">
        <v>654.1900000000001</v>
      </c>
      <c r="G39" s="19">
        <f>IF(F39="","",D39-F39)</f>
        <v/>
      </c>
      <c r="H39" s="18">
        <f>IF(OR(F39="",N(F39)=0),"",D39/F39-1)</f>
        <v/>
      </c>
    </row>
    <row r="40" ht="15" customHeight="1">
      <c r="B40" s="15" t="inlineStr">
        <is>
          <t>CRNAS SERVAN</t>
        </is>
      </c>
      <c r="C40" s="16">
        <f>SUMPRODUCT(('TOTAL SEPTIEMBRE'!$B$4:$B$1000=B40)/COUNTIFS('TOTAL SEPTIEMBRE'!$B$4:$B$1000,'TOTAL SEPTIEMBRE'!$B$4:$B$1000&amp;"",'TOTAL SEPTIEMBRE'!$C$4:$C$1000,'TOTAL SEPTIEMBRE'!$C$4:$C$1000&amp;""))</f>
        <v/>
      </c>
      <c r="D40" s="17">
        <f>SUMIF('TOTAL SEPTIEMBRE'!$B$4:$B$2000,B40,'TOTAL SEPTIEMBRE'!$D$4:$D$2000)</f>
        <v/>
      </c>
      <c r="E40" s="18">
        <f>IF($D$61=0,0,D40/$D$61)</f>
        <v/>
      </c>
      <c r="F40" s="19" t="n">
        <v>890.28</v>
      </c>
      <c r="G40" s="19">
        <f>IF(F40="","",D40-F40)</f>
        <v/>
      </c>
      <c r="H40" s="18">
        <f>IF(OR(F40="",N(F40)=0),"",D40/F40-1)</f>
        <v/>
      </c>
    </row>
    <row r="41" ht="15" customHeight="1">
      <c r="B41" s="15" t="inlineStr">
        <is>
          <t>DELIPAN</t>
        </is>
      </c>
      <c r="C41" s="16">
        <f>SUMPRODUCT(('TOTAL SEPTIEMBRE'!$B$4:$B$1000=B41)/COUNTIFS('TOTAL SEPTIEMBRE'!$B$4:$B$1000,'TOTAL SEPTIEMBRE'!$B$4:$B$1000&amp;"",'TOTAL SEPTIEMBRE'!$C$4:$C$1000,'TOTAL SEPTIEMBRE'!$C$4:$C$1000&amp;""))</f>
        <v/>
      </c>
      <c r="D41" s="17">
        <f>SUMIF('TOTAL SEPTIEMBRE'!$B$4:$B$2000,B41,'TOTAL SEPTIEMBRE'!$D$4:$D$2000)</f>
        <v/>
      </c>
      <c r="E41" s="18">
        <f>IF($D$61=0,0,D41/$D$61)</f>
        <v/>
      </c>
      <c r="F41" s="19" t="n">
        <v>381.21</v>
      </c>
      <c r="G41" s="19">
        <f>IF(F41="","",D41-F41)</f>
        <v/>
      </c>
      <c r="H41" s="18">
        <f>IF(OR(F41="",N(F41)=0),"",D41/F41-1)</f>
        <v/>
      </c>
    </row>
    <row r="42" ht="15" customHeight="1">
      <c r="B42" s="15" t="inlineStr">
        <is>
          <t>VENERO CLARO</t>
        </is>
      </c>
      <c r="C42" s="16">
        <f>SUMPRODUCT(('TOTAL SEPTIEMBRE'!$B$4:$B$1000=B42)/COUNTIFS('TOTAL SEPTIEMBRE'!$B$4:$B$1000,'TOTAL SEPTIEMBRE'!$B$4:$B$1000&amp;"",'TOTAL SEPTIEMBRE'!$C$4:$C$1000,'TOTAL SEPTIEMBRE'!$C$4:$C$1000&amp;""))</f>
        <v/>
      </c>
      <c r="D42" s="17">
        <f>SUMIF('TOTAL SEPTIEMBRE'!$B$4:$B$2000,B42,'TOTAL SEPTIEMBRE'!$D$4:$D$2000)</f>
        <v/>
      </c>
      <c r="E42" s="18">
        <f>IF($D$61=0,0,D42/$D$61)</f>
        <v/>
      </c>
      <c r="F42" s="19" t="n">
        <v>271.18</v>
      </c>
      <c r="G42" s="19">
        <f>IF(F42="","",D42-F42)</f>
        <v/>
      </c>
      <c r="H42" s="18">
        <f>IF(OR(F42="",N(F42)=0),"",D42/F42-1)</f>
        <v/>
      </c>
    </row>
    <row r="43" ht="15" customHeight="1">
      <c r="B43" s="15" t="inlineStr">
        <is>
          <t>COCACOLA</t>
        </is>
      </c>
      <c r="C43" s="16">
        <f>SUMPRODUCT(('TOTAL SEPTIEMBRE'!$B$4:$B$1000=B43)/COUNTIFS('TOTAL SEPTIEMBRE'!$B$4:$B$1000,'TOTAL SEPTIEMBRE'!$B$4:$B$1000&amp;"",'TOTAL SEPTIEMBRE'!$C$4:$C$1000,'TOTAL SEPTIEMBRE'!$C$4:$C$1000&amp;""))</f>
        <v/>
      </c>
      <c r="D43" s="17">
        <f>SUMIF('TOTAL SEPTIEMBRE'!$B$4:$B$2000,B43,'TOTAL SEPTIEMBRE'!$D$4:$D$2000)</f>
        <v/>
      </c>
      <c r="E43" s="18">
        <f>IF($D$61=0,0,D43/$D$61)</f>
        <v/>
      </c>
      <c r="F43" s="19" t="n">
        <v>457.72</v>
      </c>
      <c r="G43" s="19">
        <f>IF(F43="","",D43-F43)</f>
        <v/>
      </c>
      <c r="H43" s="18">
        <f>IF(OR(F43="",N(F43)=0),"",D43/F43-1)</f>
        <v/>
      </c>
    </row>
    <row r="44" ht="15" customHeight="1">
      <c r="B44" s="15" t="inlineStr">
        <is>
          <t>HIELOS ANGEL ICE</t>
        </is>
      </c>
      <c r="C44" s="16">
        <f>SUMPRODUCT(('TOTAL SEPTIEMBRE'!$B$4:$B$1000=B44)/COUNTIFS('TOTAL SEPTIEMBRE'!$B$4:$B$1000,'TOTAL SEPTIEMBRE'!$B$4:$B$1000&amp;"",'TOTAL SEPTIEMBRE'!$C$4:$C$1000,'TOTAL SEPTIEMBRE'!$C$4:$C$1000&amp;""))</f>
        <v/>
      </c>
      <c r="D44" s="17">
        <f>SUMIF('TOTAL SEPTIEMBRE'!$B$4:$B$2000,B44,'TOTAL SEPTIEMBRE'!$D$4:$D$2000)</f>
        <v/>
      </c>
      <c r="E44" s="18">
        <f>IF($D$61=0,0,D44/$D$61)</f>
        <v/>
      </c>
      <c r="F44" s="19" t="n"/>
      <c r="G44" s="19">
        <f>IF(F44="","",D44-F44)</f>
        <v/>
      </c>
      <c r="H44" s="18">
        <f>IF(OR(F44="",N(F44)=0),"",D44/F44-1)</f>
        <v/>
      </c>
    </row>
    <row r="45" ht="15" customHeight="1">
      <c r="B45" s="15" t="inlineStr">
        <is>
          <t>TOMATERIA DE CEA</t>
        </is>
      </c>
      <c r="C45" s="16">
        <f>SUMPRODUCT(('TOTAL SEPTIEMBRE'!$B$4:$B$1000=B45)/COUNTIFS('TOTAL SEPTIEMBRE'!$B$4:$B$1000,'TOTAL SEPTIEMBRE'!$B$4:$B$1000&amp;"",'TOTAL SEPTIEMBRE'!$C$4:$C$1000,'TOTAL SEPTIEMBRE'!$C$4:$C$1000&amp;""))</f>
        <v/>
      </c>
      <c r="D45" s="17">
        <f>SUMIF('TOTAL SEPTIEMBRE'!$B$4:$B$2000,B45,'TOTAL SEPTIEMBRE'!$D$4:$D$2000)</f>
        <v/>
      </c>
      <c r="E45" s="18">
        <f>IF($D$61=0,0,D45/$D$61)</f>
        <v/>
      </c>
      <c r="F45" s="19" t="n">
        <v>320</v>
      </c>
      <c r="G45" s="19">
        <f>IF(F45="","",D45-F45)</f>
        <v/>
      </c>
      <c r="H45" s="18">
        <f>IF(OR(F45="",N(F45)=0),"",D45/F45-1)</f>
        <v/>
      </c>
    </row>
    <row r="46" ht="15" customHeight="1">
      <c r="B46" s="15" t="inlineStr">
        <is>
          <t>REGERE AOVE</t>
        </is>
      </c>
      <c r="C46" s="16">
        <f>SUMPRODUCT(('TOTAL SEPTIEMBRE'!$B$4:$B$1000=B46)/COUNTIFS('TOTAL SEPTIEMBRE'!$B$4:$B$1000,'TOTAL SEPTIEMBRE'!$B$4:$B$1000&amp;"",'TOTAL SEPTIEMBRE'!$C$4:$C$1000,'TOTAL SEPTIEMBRE'!$C$4:$C$1000&amp;""))</f>
        <v/>
      </c>
      <c r="D46" s="17">
        <f>SUMIF('TOTAL SEPTIEMBRE'!$B$4:$B$2000,B46,'TOTAL SEPTIEMBRE'!$D$4:$D$2000)</f>
        <v/>
      </c>
      <c r="E46" s="18">
        <f>IF($D$61=0,0,D46/$D$61)</f>
        <v/>
      </c>
      <c r="F46" s="19" t="n"/>
      <c r="G46" s="19">
        <f>IF(F46="","",D46-F46)</f>
        <v/>
      </c>
      <c r="H46" s="18">
        <f>IF(OR(F46="",N(F46)=0),"",D46/F46-1)</f>
        <v/>
      </c>
    </row>
    <row r="47" ht="15" customHeight="1">
      <c r="B47" s="15" t="inlineStr">
        <is>
          <t>PATATAS YAGO</t>
        </is>
      </c>
      <c r="C47" s="16">
        <f>SUMPRODUCT(('TOTAL SEPTIEMBRE'!$B$4:$B$1000=B47)/COUNTIFS('TOTAL SEPTIEMBRE'!$B$4:$B$1000,'TOTAL SEPTIEMBRE'!$B$4:$B$1000&amp;"",'TOTAL SEPTIEMBRE'!$C$4:$C$1000,'TOTAL SEPTIEMBRE'!$C$4:$C$1000&amp;""))</f>
        <v/>
      </c>
      <c r="D47" s="17">
        <f>SUMIF('TOTAL SEPTIEMBRE'!$B$4:$B$2000,B47,'TOTAL SEPTIEMBRE'!$D$4:$D$2000)</f>
        <v/>
      </c>
      <c r="E47" s="18">
        <f>IF($D$61=0,0,D47/$D$61)</f>
        <v/>
      </c>
      <c r="F47" s="19" t="n">
        <v>358.9</v>
      </c>
      <c r="G47" s="19">
        <f>IF(F47="","",D47-F47)</f>
        <v/>
      </c>
      <c r="H47" s="18">
        <f>IF(OR(F47="",N(F47)=0),"",D47/F47-1)</f>
        <v/>
      </c>
    </row>
    <row r="48" ht="15" customHeight="1">
      <c r="B48" s="15" t="inlineStr">
        <is>
          <t>ESCRIBANO SANZ</t>
        </is>
      </c>
      <c r="C48" s="16">
        <f>SUMPRODUCT(('TOTAL SEPTIEMBRE'!$B$4:$B$1000=B48)/COUNTIFS('TOTAL SEPTIEMBRE'!$B$4:$B$1000,'TOTAL SEPTIEMBRE'!$B$4:$B$1000&amp;"",'TOTAL SEPTIEMBRE'!$C$4:$C$1000,'TOTAL SEPTIEMBRE'!$C$4:$C$1000&amp;""))</f>
        <v/>
      </c>
      <c r="D48" s="17">
        <f>SUMIF('TOTAL SEPTIEMBRE'!$B$4:$B$2000,B48,'TOTAL SEPTIEMBRE'!$D$4:$D$2000)</f>
        <v/>
      </c>
      <c r="E48" s="18">
        <f>IF($D$61=0,0,D48/$D$61)</f>
        <v/>
      </c>
      <c r="F48" s="19" t="n">
        <v>84.48</v>
      </c>
      <c r="G48" s="19">
        <f>IF(F48="","",D48-F48)</f>
        <v/>
      </c>
      <c r="H48" s="18">
        <f>IF(OR(F48="",N(F48)=0),"",D48/F48-1)</f>
        <v/>
      </c>
    </row>
    <row r="49" ht="15" customHeight="1">
      <c r="B49" s="15" t="inlineStr">
        <is>
          <t>VINS DES DIEUX</t>
        </is>
      </c>
      <c r="C49" s="16">
        <f>SUMPRODUCT(('TOTAL SEPTIEMBRE'!$B$4:$B$1000=B49)/COUNTIFS('TOTAL SEPTIEMBRE'!$B$4:$B$1000,'TOTAL SEPTIEMBRE'!$B$4:$B$1000&amp;"",'TOTAL SEPTIEMBRE'!$C$4:$C$1000,'TOTAL SEPTIEMBRE'!$C$4:$C$1000&amp;""))</f>
        <v/>
      </c>
      <c r="D49" s="17">
        <f>SUMIF('TOTAL SEPTIEMBRE'!$B$4:$B$2000,B49,'TOTAL SEPTIEMBRE'!$D$4:$D$2000)</f>
        <v/>
      </c>
      <c r="E49" s="18">
        <f>IF($D$61=0,0,D49/$D$61)</f>
        <v/>
      </c>
      <c r="F49" s="19" t="n"/>
      <c r="G49" s="19">
        <f>IF(F49="","",D49-F49)</f>
        <v/>
      </c>
      <c r="H49" s="18">
        <f>IF(OR(F49="",N(F49)=0),"",D49/F49-1)</f>
        <v/>
      </c>
    </row>
    <row r="50" ht="15" customHeight="1">
      <c r="B50" s="15" t="inlineStr">
        <is>
          <t>INESCU SERVICES</t>
        </is>
      </c>
      <c r="C50" s="16">
        <f>SUMPRODUCT(('TOTAL SEPTIEMBRE'!$B$4:$B$1000=B50)/COUNTIFS('TOTAL SEPTIEMBRE'!$B$4:$B$1000,'TOTAL SEPTIEMBRE'!$B$4:$B$1000&amp;"",'TOTAL SEPTIEMBRE'!$C$4:$C$1000,'TOTAL SEPTIEMBRE'!$C$4:$C$1000&amp;""))</f>
        <v/>
      </c>
      <c r="D50" s="17">
        <f>SUMIF('TOTAL SEPTIEMBRE'!$B$4:$B$2000,B50,'TOTAL SEPTIEMBRE'!$D$4:$D$2000)</f>
        <v/>
      </c>
      <c r="E50" s="18">
        <f>IF($D$61=0,0,D50/$D$61)</f>
        <v/>
      </c>
      <c r="F50" s="19" t="n"/>
      <c r="G50" s="19">
        <f>IF(F50="","",D50-F50)</f>
        <v/>
      </c>
      <c r="H50" s="18">
        <f>IF(OR(F50="",N(F50)=0),"",D50/F50-1)</f>
        <v/>
      </c>
    </row>
    <row r="51" ht="15" customHeight="1">
      <c r="B51" s="15" t="inlineStr">
        <is>
          <t>CASA MISU</t>
        </is>
      </c>
      <c r="C51" s="16">
        <f>SUMPRODUCT(('TOTAL SEPTIEMBRE'!$B$4:$B$1000=B51)/COUNTIFS('TOTAL SEPTIEMBRE'!$B$4:$B$1000,'TOTAL SEPTIEMBRE'!$B$4:$B$1000&amp;"",'TOTAL SEPTIEMBRE'!$C$4:$C$1000,'TOTAL SEPTIEMBRE'!$C$4:$C$1000&amp;""))</f>
        <v/>
      </c>
      <c r="D51" s="17">
        <f>SUMIF('TOTAL SEPTIEMBRE'!$B$4:$B$2000,B51,'TOTAL SEPTIEMBRE'!$D$4:$D$2000)</f>
        <v/>
      </c>
      <c r="E51" s="18">
        <f>IF($D$61=0,0,D51/$D$61)</f>
        <v/>
      </c>
      <c r="F51" s="19" t="n"/>
      <c r="G51" s="19">
        <f>IF(F51="","",D51-F51)</f>
        <v/>
      </c>
      <c r="H51" s="18">
        <f>IF(OR(F51="",N(F51)=0),"",D51/F51-1)</f>
        <v/>
      </c>
    </row>
    <row r="52" ht="15" customHeight="1">
      <c r="B52" s="15" t="inlineStr">
        <is>
          <t>LEVADURA MADRE</t>
        </is>
      </c>
      <c r="C52" s="16">
        <f>SUMPRODUCT(('TOTAL SEPTIEMBRE'!$B$4:$B$1000=B52)/COUNTIFS('TOTAL SEPTIEMBRE'!$B$4:$B$1000,'TOTAL SEPTIEMBRE'!$B$4:$B$1000&amp;"",'TOTAL SEPTIEMBRE'!$C$4:$C$1000,'TOTAL SEPTIEMBRE'!$C$4:$C$1000&amp;""))</f>
        <v/>
      </c>
      <c r="D52" s="17">
        <f>SUMIF('TOTAL SEPTIEMBRE'!$B$4:$B$2000,B52,'TOTAL SEPTIEMBRE'!$D$4:$D$2000)</f>
        <v/>
      </c>
      <c r="E52" s="18">
        <f>IF($D$61=0,0,D52/$D$61)</f>
        <v/>
      </c>
      <c r="F52" s="19" t="n"/>
      <c r="G52" s="19">
        <f>IF(F52="","",D52-F52)</f>
        <v/>
      </c>
      <c r="H52" s="18">
        <f>IF(OR(F52="",N(F52)=0),"",D52/F52-1)</f>
        <v/>
      </c>
    </row>
    <row r="53" ht="15" customHeight="1">
      <c r="B53" s="15" t="inlineStr">
        <is>
          <t>JOSE ROMERO PLAZA</t>
        </is>
      </c>
      <c r="C53" s="16">
        <f>SUMPRODUCT(('TOTAL SEPTIEMBRE'!$B$4:$B$1000=B53)/COUNTIFS('TOTAL SEPTIEMBRE'!$B$4:$B$1000,'TOTAL SEPTIEMBRE'!$B$4:$B$1000&amp;"",'TOTAL SEPTIEMBRE'!$C$4:$C$1000,'TOTAL SEPTIEMBRE'!$C$4:$C$1000&amp;""))</f>
        <v/>
      </c>
      <c r="D53" s="17">
        <f>SUMIF('TOTAL SEPTIEMBRE'!$B$4:$B$2000,B53,'TOTAL SEPTIEMBRE'!$D$4:$D$2000)</f>
        <v/>
      </c>
      <c r="E53" s="18">
        <f>IF($D$61=0,0,D53/$D$61)</f>
        <v/>
      </c>
      <c r="F53" s="19" t="n"/>
      <c r="G53" s="19">
        <f>IF(F53="","",D53-F53)</f>
        <v/>
      </c>
      <c r="H53" s="18">
        <f>IF(OR(F53="",N(F53)=0),"",D53/F53-1)</f>
        <v/>
      </c>
    </row>
    <row r="54" ht="15" customHeight="1">
      <c r="B54" s="15" t="inlineStr">
        <is>
          <t>EXTRAMAR</t>
        </is>
      </c>
      <c r="C54" s="16">
        <f>SUMPRODUCT(('TOTAL SEPTIEMBRE'!$B$4:$B$1000=B54)/COUNTIFS('TOTAL SEPTIEMBRE'!$B$4:$B$1000,'TOTAL SEPTIEMBRE'!$B$4:$B$1000&amp;"",'TOTAL SEPTIEMBRE'!$C$4:$C$1000,'TOTAL SEPTIEMBRE'!$C$4:$C$1000&amp;""))</f>
        <v/>
      </c>
      <c r="D54" s="17">
        <f>SUMIF('TOTAL SEPTIEMBRE'!$B$4:$B$2000,B54,'TOTAL SEPTIEMBRE'!$D$4:$D$2000)</f>
        <v/>
      </c>
      <c r="E54" s="18">
        <f>IF($D$61=0,0,D54/$D$61)</f>
        <v/>
      </c>
      <c r="F54" s="19" t="n"/>
      <c r="G54" s="19">
        <f>IF(F54="","",D54-F54)</f>
        <v/>
      </c>
      <c r="H54" s="18">
        <f>IF(OR(F54="",N(F54)=0),"",D54/F54-1)</f>
        <v/>
      </c>
    </row>
    <row r="55" ht="15" customHeight="1">
      <c r="B55" s="15" t="inlineStr">
        <is>
          <t>MONVA</t>
        </is>
      </c>
      <c r="C55" s="16">
        <f>SUMPRODUCT(('TOTAL SEPTIEMBRE'!$B$4:$B$1000=B55)/COUNTIFS('TOTAL SEPTIEMBRE'!$B$4:$B$1000,'TOTAL SEPTIEMBRE'!$B$4:$B$1000&amp;"",'TOTAL SEPTIEMBRE'!$C$4:$C$1000,'TOTAL SEPTIEMBRE'!$C$4:$C$1000&amp;""))</f>
        <v/>
      </c>
      <c r="D55" s="17">
        <f>SUMIF('TOTAL SEPTIEMBRE'!$B$4:$B$2000,B55,'TOTAL SEPTIEMBRE'!$D$4:$D$2000)</f>
        <v/>
      </c>
      <c r="E55" s="18">
        <f>IF($D$61=0,0,D55/$D$61)</f>
        <v/>
      </c>
      <c r="F55" s="19" t="n"/>
      <c r="G55" s="19">
        <f>IF(F55="","",D55-F55)</f>
        <v/>
      </c>
      <c r="H55" s="18">
        <f>IF(OR(F55="",N(F55)=0),"",D55/F55-1)</f>
        <v/>
      </c>
    </row>
    <row r="56" ht="15" customHeight="1">
      <c r="B56" s="15" t="inlineStr">
        <is>
          <t>FCO JAVIER LABRADOR</t>
        </is>
      </c>
      <c r="C56" s="16">
        <f>SUMPRODUCT(('TOTAL SEPTIEMBRE'!$B$4:$B$1000=B56)/COUNTIFS('TOTAL SEPTIEMBRE'!$B$4:$B$1000,'TOTAL SEPTIEMBRE'!$B$4:$B$1000&amp;"",'TOTAL SEPTIEMBRE'!$C$4:$C$1000,'TOTAL SEPTIEMBRE'!$C$4:$C$1000&amp;""))</f>
        <v/>
      </c>
      <c r="D56" s="17">
        <f>SUMIF('TOTAL SEPTIEMBRE'!$B$4:$B$2000,B56,'TOTAL SEPTIEMBRE'!$D$4:$D$2000)</f>
        <v/>
      </c>
      <c r="E56" s="18">
        <f>IF($D$61=0,0,D56/$D$61)</f>
        <v/>
      </c>
      <c r="F56" s="19" t="n">
        <v>91.59999999999999</v>
      </c>
      <c r="G56" s="19">
        <f>IF(F56="","",D56-F56)</f>
        <v/>
      </c>
      <c r="H56" s="18">
        <f>IF(OR(F56="",N(F56)=0),"",D56/F56-1)</f>
        <v/>
      </c>
    </row>
    <row r="57" ht="15" customHeight="1">
      <c r="B57" s="15" t="inlineStr">
        <is>
          <t>MAXXIMO (MOLLETES)</t>
        </is>
      </c>
      <c r="C57" s="16">
        <f>SUMPRODUCT(('TOTAL SEPTIEMBRE'!$B$4:$B$1000=B57)/COUNTIFS('TOTAL SEPTIEMBRE'!$B$4:$B$1000,'TOTAL SEPTIEMBRE'!$B$4:$B$1000&amp;"",'TOTAL SEPTIEMBRE'!$C$4:$C$1000,'TOTAL SEPTIEMBRE'!$C$4:$C$1000&amp;""))</f>
        <v/>
      </c>
      <c r="D57" s="17">
        <f>SUMIF('TOTAL SEPTIEMBRE'!$B$4:$B$2000,B57,'TOTAL SEPTIEMBRE'!$D$4:$D$2000)</f>
        <v/>
      </c>
      <c r="E57" s="18">
        <f>IF($D$61=0,0,D57/$D$61)</f>
        <v/>
      </c>
      <c r="F57" s="19" t="n"/>
      <c r="G57" s="19">
        <f>IF(F57="","",D57-F57)</f>
        <v/>
      </c>
      <c r="H57" s="18">
        <f>IF(OR(F57="",N(F57)=0),"",D57/F57-1)</f>
        <v/>
      </c>
    </row>
    <row r="58" ht="15" customHeight="1">
      <c r="B58" s="15" t="inlineStr">
        <is>
          <t>SENSORVISION</t>
        </is>
      </c>
      <c r="C58" s="16">
        <f>SUMPRODUCT(('TOTAL SEPTIEMBRE'!$B$4:$B$1000=B58)/COUNTIFS('TOTAL SEPTIEMBRE'!$B$4:$B$1000,'TOTAL SEPTIEMBRE'!$B$4:$B$1000&amp;"",'TOTAL SEPTIEMBRE'!$C$4:$C$1000,'TOTAL SEPTIEMBRE'!$C$4:$C$1000&amp;""))</f>
        <v/>
      </c>
      <c r="D58" s="17">
        <f>SUMIF('TOTAL SEPTIEMBRE'!$B$4:$B$2000,B58,'TOTAL SEPTIEMBRE'!$D$4:$D$2000)</f>
        <v/>
      </c>
      <c r="E58" s="18">
        <f>IF($D$61=0,0,D58/$D$61)</f>
        <v/>
      </c>
      <c r="F58" s="19" t="n"/>
      <c r="G58" s="19">
        <f>IF(F58="","",D58-F58)</f>
        <v/>
      </c>
      <c r="H58" s="18">
        <f>IF(OR(F58="",N(F58)=0),"",D58/F58-1)</f>
        <v/>
      </c>
    </row>
    <row r="59" ht="15" customHeight="1">
      <c r="B59" s="15" t="inlineStr">
        <is>
          <t>EIF DISTRIBUCIONES</t>
        </is>
      </c>
      <c r="C59" s="16">
        <f>SUMPRODUCT(('TOTAL SEPTIEMBRE'!$B$4:$B$1000=B59)/COUNTIFS('TOTAL SEPTIEMBRE'!$B$4:$B$1000,'TOTAL SEPTIEMBRE'!$B$4:$B$1000&amp;"",'TOTAL SEPTIEMBRE'!$C$4:$C$1000,'TOTAL SEPTIEMBRE'!$C$4:$C$1000&amp;""))</f>
        <v/>
      </c>
      <c r="D59" s="17">
        <f>SUMIF('TOTAL SEPTIEMBRE'!$B$4:$B$2000,B59,'TOTAL SEPTIEMBRE'!$D$4:$D$2000)</f>
        <v/>
      </c>
      <c r="E59" s="18">
        <f>IF($D$61=0,0,D59/$D$61)</f>
        <v/>
      </c>
      <c r="F59" s="19" t="n">
        <v>604.05</v>
      </c>
      <c r="G59" s="19">
        <f>IF(F59="","",D59-F59)</f>
        <v/>
      </c>
      <c r="H59" s="18">
        <f>IF(OR(F59="",N(F59)=0),"",D59/F59-1)</f>
        <v/>
      </c>
    </row>
    <row r="60" ht="15" customHeight="1">
      <c r="B60" s="15" t="inlineStr">
        <is>
          <t>JC MACKINTOSH</t>
        </is>
      </c>
      <c r="C60" s="16">
        <f>SUMPRODUCT(('TOTAL SEPTIEMBRE'!$B$4:$B$1000=B60)/COUNTIFS('TOTAL SEPTIEMBRE'!$B$4:$B$1000,'TOTAL SEPTIEMBRE'!$B$4:$B$1000&amp;"",'TOTAL SEPTIEMBRE'!$C$4:$C$1000,'TOTAL SEPTIEMBRE'!$C$4:$C$1000&amp;""))</f>
        <v/>
      </c>
      <c r="D60" s="17">
        <f>SUMIF('TOTAL SEPTIEMBRE'!$B$4:$B$2000,B60,'TOTAL SEPTIEMBRE'!$D$4:$D$2000)</f>
        <v/>
      </c>
      <c r="E60" s="18">
        <f>IF($D$61=0,0,D60/$D$61)</f>
        <v/>
      </c>
      <c r="F60" s="19" t="n">
        <v>516</v>
      </c>
      <c r="G60" s="19">
        <f>IF(F60="","",D60-F60)</f>
        <v/>
      </c>
      <c r="H60" s="18">
        <f>IF(OR(F60="",N(F60)=0),"",D60/F60-1)</f>
        <v/>
      </c>
    </row>
    <row r="61">
      <c r="B61" s="20" t="inlineStr">
        <is>
          <t>TOTAL</t>
        </is>
      </c>
      <c r="C61" s="21">
        <f>SUM(C18:C60)</f>
        <v/>
      </c>
      <c r="D61" s="22">
        <f>SUM(D18:D60)</f>
        <v/>
      </c>
      <c r="E61" s="23">
        <f>SUM(E18:E60)</f>
        <v/>
      </c>
      <c r="F61" s="22">
        <f>SUM(F18:F60)</f>
        <v/>
      </c>
      <c r="G61" s="22">
        <f>D61-F61</f>
        <v/>
      </c>
      <c r="H61" s="23">
        <f>IF(F61=0,"",D61/F61-1)</f>
        <v/>
      </c>
    </row>
    <row r="62">
      <c r="B62" s="3" t="inlineStr">
        <is>
          <t>Filas en gris: proveedores con compras en agosto y sin albaranes en septiembre. DIF. en rojo = sube respecto a agosto; en verde = baja.</t>
        </is>
      </c>
    </row>
  </sheetData>
  <mergeCells count="18">
    <mergeCell ref="B13:C13"/>
    <mergeCell ref="D6:E6"/>
    <mergeCell ref="B6:C6"/>
    <mergeCell ref="D12:E12"/>
    <mergeCell ref="F12:G12"/>
    <mergeCell ref="D7:E7"/>
    <mergeCell ref="B7:C7"/>
    <mergeCell ref="D10:E10"/>
    <mergeCell ref="F10:G10"/>
    <mergeCell ref="D13:E13"/>
    <mergeCell ref="B10:C10"/>
    <mergeCell ref="F6:G6"/>
    <mergeCell ref="F13:G13"/>
    <mergeCell ref="B9:C9"/>
    <mergeCell ref="D9:E9"/>
    <mergeCell ref="F9:G9"/>
    <mergeCell ref="F7:G7"/>
    <mergeCell ref="B12:C12"/>
  </mergeCells>
  <conditionalFormatting sqref="F10">
    <cfRule type="cellIs" priority="1" operator="greaterThan" dxfId="0">
      <formula>0</formula>
    </cfRule>
  </conditionalFormatting>
  <conditionalFormatting sqref="B18:H60">
    <cfRule type="expression" priority="2" dxfId="1">
      <formula>$D18=0</formula>
    </cfRule>
  </conditionalFormatting>
  <conditionalFormatting sqref="D18:D60">
    <cfRule type="dataBar" priority="3">
      <dataBar showValue="1">
        <cfvo type="num" val="0"/>
        <cfvo type="max"/>
        <color rgb="00C9B3E0"/>
      </dataBar>
    </cfRule>
  </conditionalFormatting>
  <conditionalFormatting sqref="G18:H60">
    <cfRule type="expression" priority="4" dxfId="0">
      <formula>AND(ISNUMBER($G18),$G18&gt;0.005)</formula>
    </cfRule>
    <cfRule type="expression" priority="5" dxfId="2">
      <formula>AND(ISNUMBER($G18),$G18&lt;-0.005)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B1:M3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3" customWidth="1" min="4" max="4"/>
    <col width="8" customWidth="1" min="5" max="5"/>
    <col width="14" customWidth="1" min="6" max="6"/>
    <col width="3" customWidth="1" min="7" max="7"/>
    <col width="28" customWidth="1" min="8" max="8"/>
    <col width="14" customWidth="1" min="9" max="9"/>
    <col width="13" customWidth="1" min="10" max="10"/>
    <col width="18" customWidth="1" min="11" max="11"/>
    <col width="3" customWidth="1" min="12" max="12"/>
    <col width="20" customWidth="1" min="13" max="13"/>
  </cols>
  <sheetData>
    <row r="1" ht="17.35" customHeight="1">
      <c r="B1" s="24" t="inlineStr">
        <is>
          <t>ALBARANES SEPTIEMBRE 2026 · LA MINA DE CHAMARTÍN</t>
        </is>
      </c>
    </row>
    <row r="2">
      <c r="B2" s="7" t="inlineStr">
        <is>
          <t>PROVEEDOR</t>
        </is>
      </c>
      <c r="C2" s="7" t="inlineStr">
        <is>
          <t>ALBARAN</t>
        </is>
      </c>
      <c r="D2" s="7" t="inlineStr">
        <is>
          <t>BASE</t>
        </is>
      </c>
      <c r="E2" s="7" t="inlineStr">
        <is>
          <t>IVA</t>
        </is>
      </c>
      <c r="F2" s="7" t="inlineStr">
        <is>
          <t>TOTAL</t>
        </is>
      </c>
      <c r="H2" s="4" t="inlineStr">
        <is>
          <t>PROVEEDOR</t>
        </is>
      </c>
      <c r="I2" s="4" t="inlineStr">
        <is>
          <t>BASE</t>
        </is>
      </c>
      <c r="J2" s="4" t="inlineStr">
        <is>
          <t>CUOTA IVA</t>
        </is>
      </c>
      <c r="K2" s="4" t="inlineStr">
        <is>
          <t>TOTAL FRA</t>
        </is>
      </c>
      <c r="M2" s="4" t="inlineStr">
        <is>
          <t>TOTAL FACTURADO</t>
        </is>
      </c>
    </row>
    <row r="4">
      <c r="B4" s="25" t="inlineStr">
        <is>
          <t>ACEITE Y SAL</t>
        </is>
      </c>
      <c r="C4" s="26" t="inlineStr">
        <is>
          <t>26003920</t>
        </is>
      </c>
      <c r="D4" s="19" t="n">
        <v>220.88</v>
      </c>
      <c r="E4" s="27" t="n">
        <v>0.1</v>
      </c>
      <c r="F4" s="17">
        <f>D4+(D4*E4)</f>
        <v/>
      </c>
      <c r="H4" s="15" t="inlineStr">
        <is>
          <t>ACEITE Y SAL</t>
        </is>
      </c>
      <c r="I4" s="19">
        <f>SUMIF($B$4:$B$2000,H4,$D$4:$D$2000)</f>
        <v/>
      </c>
      <c r="J4" s="19">
        <f>K4-I4</f>
        <v/>
      </c>
      <c r="K4" s="17">
        <f>SUMIF($B$4:$B$2000,H4,$F$4:$F$2000)</f>
        <v/>
      </c>
      <c r="M4" s="28">
        <f>K45</f>
        <v/>
      </c>
    </row>
    <row r="5">
      <c r="B5" s="25" t="inlineStr">
        <is>
          <t>ACEITE Y SAL</t>
        </is>
      </c>
      <c r="C5" s="26" t="inlineStr">
        <is>
          <t>26003939</t>
        </is>
      </c>
      <c r="D5" s="19" t="n">
        <v>113.21</v>
      </c>
      <c r="E5" s="27" t="n">
        <v>0.1</v>
      </c>
      <c r="F5" s="17">
        <f>D5+(D5*E5)</f>
        <v/>
      </c>
      <c r="H5" s="15" t="inlineStr">
        <is>
          <t>AGMASFOOD</t>
        </is>
      </c>
      <c r="I5" s="19">
        <f>SUMIF($B$4:$B$2000,H5,$D$4:$D$2000)</f>
        <v/>
      </c>
      <c r="J5" s="19">
        <f>K5-I5</f>
        <v/>
      </c>
      <c r="K5" s="17">
        <f>SUMIF($B$4:$B$2000,H5,$F$4:$F$2000)</f>
        <v/>
      </c>
    </row>
    <row r="6">
      <c r="B6" s="25" t="inlineStr">
        <is>
          <t>ACEITE Y SAL</t>
        </is>
      </c>
      <c r="C6" s="26" t="inlineStr">
        <is>
          <t>26003992</t>
        </is>
      </c>
      <c r="D6" s="19" t="n">
        <v>309.15</v>
      </c>
      <c r="E6" s="27" t="n">
        <v>0.1</v>
      </c>
      <c r="F6" s="17">
        <f>D6+(D6*E6)</f>
        <v/>
      </c>
      <c r="H6" s="15" t="inlineStr">
        <is>
          <t>AGROFOOD</t>
        </is>
      </c>
      <c r="I6" s="19">
        <f>SUMIF($B$4:$B$2000,H6,$D$4:$D$2000)</f>
        <v/>
      </c>
      <c r="J6" s="19">
        <f>K6-I6</f>
        <v/>
      </c>
      <c r="K6" s="17">
        <f>SUMIF($B$4:$B$2000,H6,$F$4:$F$2000)</f>
        <v/>
      </c>
    </row>
    <row r="7">
      <c r="B7" s="25" t="inlineStr">
        <is>
          <t>ACEITE Y SAL</t>
        </is>
      </c>
      <c r="C7" s="26" t="inlineStr">
        <is>
          <t>26004025</t>
        </is>
      </c>
      <c r="D7" s="19" t="n">
        <v>330.41</v>
      </c>
      <c r="E7" s="27" t="n">
        <v>0.1</v>
      </c>
      <c r="F7" s="17">
        <f>D7+(D7*E7)</f>
        <v/>
      </c>
      <c r="H7" s="15" t="inlineStr">
        <is>
          <t>CARNICAS MEAT</t>
        </is>
      </c>
      <c r="I7" s="19">
        <f>SUMIF($B$4:$B$2000,H7,$D$4:$D$2000)</f>
        <v/>
      </c>
      <c r="J7" s="19">
        <f>K7-I7</f>
        <v/>
      </c>
      <c r="K7" s="17">
        <f>SUMIF($B$4:$B$2000,H7,$F$4:$F$2000)</f>
        <v/>
      </c>
    </row>
    <row r="8">
      <c r="B8" s="25" t="inlineStr">
        <is>
          <t>ACEITE Y SAL</t>
        </is>
      </c>
      <c r="C8" s="26" t="inlineStr">
        <is>
          <t>26004078</t>
        </is>
      </c>
      <c r="D8" s="19" t="n">
        <v>180.49</v>
      </c>
      <c r="E8" s="27" t="n">
        <v>0.1</v>
      </c>
      <c r="F8" s="17">
        <f>D8+(D8*E8)</f>
        <v/>
      </c>
      <c r="H8" s="15" t="inlineStr">
        <is>
          <t>CASA MISU</t>
        </is>
      </c>
      <c r="I8" s="19">
        <f>SUMIF($B$4:$B$2000,H8,$D$4:$D$2000)</f>
        <v/>
      </c>
      <c r="J8" s="19">
        <f>K8-I8</f>
        <v/>
      </c>
      <c r="K8" s="17">
        <f>SUMIF($B$4:$B$2000,H8,$F$4:$F$2000)</f>
        <v/>
      </c>
    </row>
    <row r="9">
      <c r="B9" s="25" t="inlineStr">
        <is>
          <t>ACEITE Y SAL</t>
        </is>
      </c>
      <c r="C9" s="26" t="inlineStr">
        <is>
          <t>26004093</t>
        </is>
      </c>
      <c r="D9" s="19" t="n">
        <v>284.89</v>
      </c>
      <c r="E9" s="27" t="n">
        <v>0.1</v>
      </c>
      <c r="F9" s="17">
        <f>D9+(D9*E9)</f>
        <v/>
      </c>
      <c r="H9" s="15" t="inlineStr">
        <is>
          <t>COCACOLA</t>
        </is>
      </c>
      <c r="I9" s="19">
        <f>SUMIF($B$4:$B$2000,H9,$D$4:$D$2000)</f>
        <v/>
      </c>
      <c r="J9" s="19">
        <f>K9-I9</f>
        <v/>
      </c>
      <c r="K9" s="17">
        <f>SUMIF($B$4:$B$2000,H9,$F$4:$F$2000)</f>
        <v/>
      </c>
    </row>
    <row r="10">
      <c r="B10" s="25" t="inlineStr">
        <is>
          <t>ACEITE Y SAL</t>
        </is>
      </c>
      <c r="C10" s="26" t="inlineStr">
        <is>
          <t>26004113</t>
        </is>
      </c>
      <c r="D10" s="19" t="n">
        <v>201.1</v>
      </c>
      <c r="E10" s="27" t="n">
        <v>0.1</v>
      </c>
      <c r="F10" s="17">
        <f>D10+(D10*E10)</f>
        <v/>
      </c>
      <c r="H10" s="15" t="inlineStr">
        <is>
          <t>CONS. SELEC. SANTO</t>
        </is>
      </c>
      <c r="I10" s="19">
        <f>SUMIF($B$4:$B$2000,H10,$D$4:$D$2000)</f>
        <v/>
      </c>
      <c r="J10" s="19">
        <f>K10-I10</f>
        <v/>
      </c>
      <c r="K10" s="17">
        <f>SUMIF($B$4:$B$2000,H10,$F$4:$F$2000)</f>
        <v/>
      </c>
    </row>
    <row r="11">
      <c r="B11" s="25" t="inlineStr">
        <is>
          <t>ACEITE Y SAL</t>
        </is>
      </c>
      <c r="C11" s="26" t="inlineStr">
        <is>
          <t>26000075</t>
        </is>
      </c>
      <c r="D11" s="19" t="n">
        <v>9.640000000000001</v>
      </c>
      <c r="E11" s="27" t="n">
        <v>0.1</v>
      </c>
      <c r="F11" s="17">
        <f>D11+(D11*E11)</f>
        <v/>
      </c>
      <c r="H11" s="15" t="inlineStr">
        <is>
          <t>CONS. Y SAL. JIMENEZ</t>
        </is>
      </c>
      <c r="I11" s="19">
        <f>SUMIF($B$4:$B$2000,H11,$D$4:$D$2000)</f>
        <v/>
      </c>
      <c r="J11" s="19">
        <f>K11-I11</f>
        <v/>
      </c>
      <c r="K11" s="17">
        <f>SUMIF($B$4:$B$2000,H11,$F$4:$F$2000)</f>
        <v/>
      </c>
    </row>
    <row r="12">
      <c r="B12" s="25" t="inlineStr">
        <is>
          <t>ACEITE Y SAL</t>
        </is>
      </c>
      <c r="C12" s="26" t="inlineStr">
        <is>
          <t>26004189</t>
        </is>
      </c>
      <c r="D12" s="19" t="n">
        <v>450.21</v>
      </c>
      <c r="E12" s="27" t="n">
        <v>0.1</v>
      </c>
      <c r="F12" s="17">
        <f>D12+(D12*E12)</f>
        <v/>
      </c>
      <c r="H12" s="15" t="inlineStr">
        <is>
          <t>CRNAS SERVAN</t>
        </is>
      </c>
      <c r="I12" s="19">
        <f>SUMIF($B$4:$B$2000,H12,$D$4:$D$2000)</f>
        <v/>
      </c>
      <c r="J12" s="19">
        <f>K12-I12</f>
        <v/>
      </c>
      <c r="K12" s="17">
        <f>SUMIF($B$4:$B$2000,H12,$F$4:$F$2000)</f>
        <v/>
      </c>
    </row>
    <row r="13">
      <c r="B13" s="25" t="inlineStr">
        <is>
          <t>ACEITE Y SAL</t>
        </is>
      </c>
      <c r="C13" s="26" t="inlineStr">
        <is>
          <t>26004218</t>
        </is>
      </c>
      <c r="D13" s="19" t="n">
        <v>258.91</v>
      </c>
      <c r="E13" s="27" t="n">
        <v>0.1</v>
      </c>
      <c r="F13" s="17">
        <f>D13+(D13*E13)</f>
        <v/>
      </c>
      <c r="H13" s="15" t="inlineStr">
        <is>
          <t>CRUSTAPESCA</t>
        </is>
      </c>
      <c r="I13" s="19">
        <f>SUMIF($B$4:$B$2000,H13,$D$4:$D$2000)</f>
        <v/>
      </c>
      <c r="J13" s="19">
        <f>K13-I13</f>
        <v/>
      </c>
      <c r="K13" s="17">
        <f>SUMIF($B$4:$B$2000,H13,$F$4:$F$2000)</f>
        <v/>
      </c>
    </row>
    <row r="14">
      <c r="B14" s="25" t="inlineStr">
        <is>
          <t>AGMASFOOD</t>
        </is>
      </c>
      <c r="C14" s="26" t="inlineStr">
        <is>
          <t>26 7364</t>
        </is>
      </c>
      <c r="D14" s="19" t="n">
        <v>128.7</v>
      </c>
      <c r="E14" s="27" t="n">
        <v>0.1</v>
      </c>
      <c r="F14" s="17">
        <f>D14+(D14*E14)</f>
        <v/>
      </c>
      <c r="H14" s="15" t="inlineStr">
        <is>
          <t>DELIPAN</t>
        </is>
      </c>
      <c r="I14" s="19">
        <f>SUMIF($B$4:$B$2000,H14,$D$4:$D$2000)</f>
        <v/>
      </c>
      <c r="J14" s="19">
        <f>K14-I14</f>
        <v/>
      </c>
      <c r="K14" s="17">
        <f>SUMIF($B$4:$B$2000,H14,$F$4:$F$2000)</f>
        <v/>
      </c>
    </row>
    <row r="15">
      <c r="B15" s="25" t="inlineStr">
        <is>
          <t>AGMASFOOD</t>
        </is>
      </c>
      <c r="C15" s="26" t="inlineStr">
        <is>
          <t>26 7432</t>
        </is>
      </c>
      <c r="D15" s="19" t="n">
        <v>343</v>
      </c>
      <c r="E15" s="27" t="n">
        <v>0.1</v>
      </c>
      <c r="F15" s="17">
        <f>D15+(D15*E15)</f>
        <v/>
      </c>
      <c r="H15" s="15" t="inlineStr">
        <is>
          <t>DISOLTRIGO</t>
        </is>
      </c>
      <c r="I15" s="19">
        <f>SUMIF($B$4:$B$2000,H15,$D$4:$D$2000)</f>
        <v/>
      </c>
      <c r="J15" s="19">
        <f>K15-I15</f>
        <v/>
      </c>
      <c r="K15" s="17">
        <f>SUMIF($B$4:$B$2000,H15,$F$4:$F$2000)</f>
        <v/>
      </c>
    </row>
    <row r="16">
      <c r="B16" s="25" t="inlineStr">
        <is>
          <t>AGMASFOOD</t>
        </is>
      </c>
      <c r="C16" s="26" t="inlineStr">
        <is>
          <t>26 7607</t>
        </is>
      </c>
      <c r="D16" s="19" t="n">
        <v>289.47</v>
      </c>
      <c r="E16" s="27" t="n">
        <v>0.1</v>
      </c>
      <c r="F16" s="17">
        <f>D16+(D16*E16)</f>
        <v/>
      </c>
      <c r="H16" s="15" t="inlineStr">
        <is>
          <t>DIST. TENA MTNEZ</t>
        </is>
      </c>
      <c r="I16" s="19">
        <f>SUMIF($B$4:$B$2000,H16,$D$4:$D$2000)</f>
        <v/>
      </c>
      <c r="J16" s="19">
        <f>K16-I16</f>
        <v/>
      </c>
      <c r="K16" s="17">
        <f>SUMIF($B$4:$B$2000,H16,$F$4:$F$2000)</f>
        <v/>
      </c>
    </row>
    <row r="17">
      <c r="B17" s="25" t="inlineStr">
        <is>
          <t>AGMASFOOD</t>
        </is>
      </c>
      <c r="C17" s="26" t="inlineStr">
        <is>
          <t>26 7678</t>
        </is>
      </c>
      <c r="D17" s="19" t="n">
        <v>276.44</v>
      </c>
      <c r="E17" s="27" t="n">
        <v>0.1</v>
      </c>
      <c r="F17" s="17">
        <f>D17+(D17*E17)</f>
        <v/>
      </c>
      <c r="H17" s="15" t="inlineStr">
        <is>
          <t>ENRIQUE CAMPS</t>
        </is>
      </c>
      <c r="I17" s="19">
        <f>SUMIF($B$4:$B$2000,H17,$D$4:$D$2000)</f>
        <v/>
      </c>
      <c r="J17" s="19">
        <f>K17-I17</f>
        <v/>
      </c>
      <c r="K17" s="17">
        <f>SUMIF($B$4:$B$2000,H17,$F$4:$F$2000)</f>
        <v/>
      </c>
    </row>
    <row r="18">
      <c r="B18" s="25" t="inlineStr">
        <is>
          <t>AGMASFOOD</t>
        </is>
      </c>
      <c r="C18" s="26" t="inlineStr">
        <is>
          <t>26 7923</t>
        </is>
      </c>
      <c r="D18" s="19" t="n">
        <v>304.31</v>
      </c>
      <c r="E18" s="27" t="n">
        <v>0.1</v>
      </c>
      <c r="F18" s="17">
        <f>D18+(D18*E18)</f>
        <v/>
      </c>
      <c r="H18" s="15" t="inlineStr">
        <is>
          <t>ESCRIBANO SANZ</t>
        </is>
      </c>
      <c r="I18" s="19">
        <f>SUMIF($B$4:$B$2000,H18,$D$4:$D$2000)</f>
        <v/>
      </c>
      <c r="J18" s="19">
        <f>K18-I18</f>
        <v/>
      </c>
      <c r="K18" s="17">
        <f>SUMIF($B$4:$B$2000,H18,$F$4:$F$2000)</f>
        <v/>
      </c>
    </row>
    <row r="19">
      <c r="B19" s="25" t="inlineStr">
        <is>
          <t>AGMASFOOD</t>
        </is>
      </c>
      <c r="C19" s="26" t="inlineStr">
        <is>
          <t>26 8103</t>
        </is>
      </c>
      <c r="D19" s="19" t="n">
        <v>95</v>
      </c>
      <c r="E19" s="27" t="n">
        <v>0.1</v>
      </c>
      <c r="F19" s="17">
        <f>D19+(D19*E19)</f>
        <v/>
      </c>
      <c r="H19" s="15" t="inlineStr">
        <is>
          <t>EXTRAMAR</t>
        </is>
      </c>
      <c r="I19" s="19">
        <f>SUMIF($B$4:$B$2000,H19,$D$4:$D$2000)</f>
        <v/>
      </c>
      <c r="J19" s="19">
        <f>K19-I19</f>
        <v/>
      </c>
      <c r="K19" s="17">
        <f>SUMIF($B$4:$B$2000,H19,$F$4:$F$2000)</f>
        <v/>
      </c>
    </row>
    <row r="20">
      <c r="B20" s="25" t="inlineStr">
        <is>
          <t>AGMASFOOD</t>
        </is>
      </c>
      <c r="C20" s="26" t="inlineStr">
        <is>
          <t>26 8111</t>
        </is>
      </c>
      <c r="D20" s="19" t="n">
        <v>328.9</v>
      </c>
      <c r="E20" s="27" t="n">
        <v>0.1</v>
      </c>
      <c r="F20" s="17">
        <f>D20+(D20*E20)</f>
        <v/>
      </c>
      <c r="H20" s="15" t="inlineStr">
        <is>
          <t>FCO JAVIER LABRADOR</t>
        </is>
      </c>
      <c r="I20" s="19">
        <f>SUMIF($B$4:$B$2000,H20,$D$4:$D$2000)</f>
        <v/>
      </c>
      <c r="J20" s="19">
        <f>K20-I20</f>
        <v/>
      </c>
      <c r="K20" s="17">
        <f>SUMIF($B$4:$B$2000,H20,$F$4:$F$2000)</f>
        <v/>
      </c>
    </row>
    <row r="21">
      <c r="B21" s="25" t="inlineStr">
        <is>
          <t>AGROFOOD</t>
        </is>
      </c>
      <c r="C21" s="26" t="inlineStr">
        <is>
          <t>M26/963</t>
        </is>
      </c>
      <c r="D21" s="19" t="n">
        <v>178.65</v>
      </c>
      <c r="E21" s="27" t="n">
        <v>0.1</v>
      </c>
      <c r="F21" s="17">
        <f>D21+(D21*E21)</f>
        <v/>
      </c>
      <c r="H21" s="15" t="inlineStr">
        <is>
          <t>HIELOS ANGEL ICE</t>
        </is>
      </c>
      <c r="I21" s="19">
        <f>SUMIF($B$4:$B$2000,H21,$D$4:$D$2000)</f>
        <v/>
      </c>
      <c r="J21" s="19">
        <f>K21-I21</f>
        <v/>
      </c>
      <c r="K21" s="17">
        <f>SUMIF($B$4:$B$2000,H21,$F$4:$F$2000)</f>
        <v/>
      </c>
    </row>
    <row r="22">
      <c r="B22" s="25" t="inlineStr">
        <is>
          <t>AGROFOOD</t>
        </is>
      </c>
      <c r="C22" s="26" t="inlineStr">
        <is>
          <t>M26/967</t>
        </is>
      </c>
      <c r="D22" s="19" t="n">
        <v>188.3</v>
      </c>
      <c r="E22" s="27" t="n">
        <v>0.1</v>
      </c>
      <c r="F22" s="17">
        <f>D22+(D22*E22)</f>
        <v/>
      </c>
      <c r="H22" s="15" t="inlineStr">
        <is>
          <t>INESCU SERVICES</t>
        </is>
      </c>
      <c r="I22" s="19">
        <f>SUMIF($B$4:$B$2000,H22,$D$4:$D$2000)</f>
        <v/>
      </c>
      <c r="J22" s="19">
        <f>K22-I22</f>
        <v/>
      </c>
      <c r="K22" s="17">
        <f>SUMIF($B$4:$B$2000,H22,$F$4:$F$2000)</f>
        <v/>
      </c>
    </row>
    <row r="23">
      <c r="B23" s="25" t="inlineStr">
        <is>
          <t>AGROFOOD</t>
        </is>
      </c>
      <c r="C23" s="26" t="inlineStr">
        <is>
          <t>M26/985</t>
        </is>
      </c>
      <c r="D23" s="19" t="n">
        <v>610.88</v>
      </c>
      <c r="E23" s="27" t="n">
        <v>0.1</v>
      </c>
      <c r="F23" s="17">
        <f>D23+(D23*E23)</f>
        <v/>
      </c>
      <c r="H23" s="15" t="inlineStr">
        <is>
          <t>JOSE ROMERO PLAZA</t>
        </is>
      </c>
      <c r="I23" s="19">
        <f>SUMIF($B$4:$B$2000,H23,$D$4:$D$2000)</f>
        <v/>
      </c>
      <c r="J23" s="19">
        <f>K23-I23</f>
        <v/>
      </c>
      <c r="K23" s="17">
        <f>SUMIF($B$4:$B$2000,H23,$F$4:$F$2000)</f>
        <v/>
      </c>
    </row>
    <row r="24">
      <c r="B24" s="25" t="inlineStr">
        <is>
          <t>AGROFOOD</t>
        </is>
      </c>
      <c r="C24" s="26" t="inlineStr">
        <is>
          <t>M26/999</t>
        </is>
      </c>
      <c r="D24" s="19" t="n">
        <v>788.54</v>
      </c>
      <c r="E24" s="27" t="n">
        <v>0.1</v>
      </c>
      <c r="F24" s="17">
        <f>D24+(D24*E24)</f>
        <v/>
      </c>
      <c r="H24" s="15" t="inlineStr">
        <is>
          <t>LEVADURA MADRE</t>
        </is>
      </c>
      <c r="I24" s="19">
        <f>SUMIF($B$4:$B$2000,H24,$D$4:$D$2000)</f>
        <v/>
      </c>
      <c r="J24" s="19">
        <f>K24-I24</f>
        <v/>
      </c>
      <c r="K24" s="17">
        <f>SUMIF($B$4:$B$2000,H24,$F$4:$F$2000)</f>
        <v/>
      </c>
    </row>
    <row r="25">
      <c r="B25" s="25" t="inlineStr">
        <is>
          <t>AGROFOOD</t>
        </is>
      </c>
      <c r="C25" s="26" t="inlineStr">
        <is>
          <t>M26/1032</t>
        </is>
      </c>
      <c r="D25" s="19" t="n">
        <v>361.99</v>
      </c>
      <c r="E25" s="27" t="n">
        <v>0.1</v>
      </c>
      <c r="F25" s="17">
        <f>D25+(D25*E25)</f>
        <v/>
      </c>
      <c r="H25" s="15" t="inlineStr">
        <is>
          <t>MAGOASE</t>
        </is>
      </c>
      <c r="I25" s="19">
        <f>SUMIF($B$4:$B$2000,H25,$D$4:$D$2000)</f>
        <v/>
      </c>
      <c r="J25" s="19">
        <f>K25-I25</f>
        <v/>
      </c>
      <c r="K25" s="17">
        <f>SUMIF($B$4:$B$2000,H25,$F$4:$F$2000)</f>
        <v/>
      </c>
    </row>
    <row r="26">
      <c r="B26" s="25" t="inlineStr">
        <is>
          <t>AGROFOOD</t>
        </is>
      </c>
      <c r="C26" s="26" t="inlineStr">
        <is>
          <t>M26/1036</t>
        </is>
      </c>
      <c r="D26" s="19" t="n">
        <v>157.12</v>
      </c>
      <c r="E26" s="27" t="n">
        <v>0.1</v>
      </c>
      <c r="F26" s="17">
        <f>D26+(D26*E26)</f>
        <v/>
      </c>
      <c r="H26" s="15" t="inlineStr">
        <is>
          <t>MAHOU</t>
        </is>
      </c>
      <c r="I26" s="19">
        <f>SUMIF($B$4:$B$2000,H26,$D$4:$D$2000)</f>
        <v/>
      </c>
      <c r="J26" s="19">
        <f>K26-I26</f>
        <v/>
      </c>
      <c r="K26" s="17">
        <f>SUMIF($B$4:$B$2000,H26,$F$4:$F$2000)</f>
        <v/>
      </c>
    </row>
    <row r="27">
      <c r="B27" s="25" t="inlineStr">
        <is>
          <t>AGROFOOD</t>
        </is>
      </c>
      <c r="C27" s="26" t="inlineStr">
        <is>
          <t>M26/1043</t>
        </is>
      </c>
      <c r="D27" s="19" t="n">
        <v>408.52</v>
      </c>
      <c r="E27" s="27" t="n">
        <v>0.1</v>
      </c>
      <c r="F27" s="17">
        <f>D27+(D27*E27)</f>
        <v/>
      </c>
      <c r="H27" s="15" t="inlineStr">
        <is>
          <t>MAKRO</t>
        </is>
      </c>
      <c r="I27" s="19">
        <f>SUMIF($B$4:$B$2000,H27,$D$4:$D$2000)</f>
        <v/>
      </c>
      <c r="J27" s="19">
        <f>K27-I27</f>
        <v/>
      </c>
      <c r="K27" s="17">
        <f>SUMIF($B$4:$B$2000,H27,$F$4:$F$2000)</f>
        <v/>
      </c>
    </row>
    <row r="28">
      <c r="B28" s="25" t="inlineStr">
        <is>
          <t>AGROFOOD</t>
        </is>
      </c>
      <c r="C28" s="26" t="inlineStr">
        <is>
          <t>M26/1067</t>
        </is>
      </c>
      <c r="D28" s="19" t="n">
        <v>349.25</v>
      </c>
      <c r="E28" s="27" t="n">
        <v>0.1</v>
      </c>
      <c r="F28" s="17">
        <f>D28+(D28*E28)</f>
        <v/>
      </c>
      <c r="H28" s="15" t="inlineStr">
        <is>
          <t>MANUEL AMBRES</t>
        </is>
      </c>
      <c r="I28" s="19">
        <f>SUMIF($B$4:$B$2000,H28,$D$4:$D$2000)</f>
        <v/>
      </c>
      <c r="J28" s="19">
        <f>K28-I28</f>
        <v/>
      </c>
      <c r="K28" s="17">
        <f>SUMIF($B$4:$B$2000,H28,$F$4:$F$2000)</f>
        <v/>
      </c>
    </row>
    <row r="29">
      <c r="B29" s="25" t="inlineStr">
        <is>
          <t>AGROFOOD</t>
        </is>
      </c>
      <c r="C29" s="26" t="inlineStr">
        <is>
          <t>M26/1075</t>
        </is>
      </c>
      <c r="D29" s="19" t="n">
        <v>185.55</v>
      </c>
      <c r="E29" s="27" t="n">
        <v>0.1</v>
      </c>
      <c r="F29" s="17">
        <f>D29+(D29*E29)</f>
        <v/>
      </c>
      <c r="H29" s="15" t="inlineStr">
        <is>
          <t>MARTIN CANEDA</t>
        </is>
      </c>
      <c r="I29" s="19">
        <f>SUMIF($B$4:$B$2000,H29,$D$4:$D$2000)</f>
        <v/>
      </c>
      <c r="J29" s="19">
        <f>K29-I29</f>
        <v/>
      </c>
      <c r="K29" s="17">
        <f>SUMIF($B$4:$B$2000,H29,$F$4:$F$2000)</f>
        <v/>
      </c>
    </row>
    <row r="30">
      <c r="B30" s="25" t="inlineStr">
        <is>
          <t>AGROFOOD</t>
        </is>
      </c>
      <c r="C30" s="26" t="inlineStr">
        <is>
          <t>M26/1081</t>
        </is>
      </c>
      <c r="D30" s="19" t="n">
        <v>375.78</v>
      </c>
      <c r="E30" s="27" t="n">
        <v>0.1</v>
      </c>
      <c r="F30" s="17">
        <f>D30+(D30*E30)</f>
        <v/>
      </c>
      <c r="H30" s="15" t="inlineStr">
        <is>
          <t>MAXXIMO (MOLLETES)</t>
        </is>
      </c>
      <c r="I30" s="19">
        <f>SUMIF($B$4:$B$2000,H30,$D$4:$D$2000)</f>
        <v/>
      </c>
      <c r="J30" s="19">
        <f>K30-I30</f>
        <v/>
      </c>
      <c r="K30" s="17">
        <f>SUMIF($B$4:$B$2000,H30,$F$4:$F$2000)</f>
        <v/>
      </c>
    </row>
    <row r="31">
      <c r="B31" s="25" t="inlineStr">
        <is>
          <t>AGROFOOD</t>
        </is>
      </c>
      <c r="C31" s="26" t="inlineStr">
        <is>
          <t>M26/1102</t>
        </is>
      </c>
      <c r="D31" s="19" t="n">
        <v>681.41</v>
      </c>
      <c r="E31" s="27" t="n">
        <v>0.1</v>
      </c>
      <c r="F31" s="17">
        <f>D31+(D31*E31)</f>
        <v/>
      </c>
      <c r="H31" s="15" t="inlineStr">
        <is>
          <t>MONVA</t>
        </is>
      </c>
      <c r="I31" s="19">
        <f>SUMIF($B$4:$B$2000,H31,$D$4:$D$2000)</f>
        <v/>
      </c>
      <c r="J31" s="19">
        <f>K31-I31</f>
        <v/>
      </c>
      <c r="K31" s="17">
        <f>SUMIF($B$4:$B$2000,H31,$F$4:$F$2000)</f>
        <v/>
      </c>
    </row>
    <row r="32">
      <c r="B32" s="25" t="inlineStr">
        <is>
          <t>AGROFOOD</t>
        </is>
      </c>
      <c r="C32" s="26" t="inlineStr">
        <is>
          <t>M26/1117</t>
        </is>
      </c>
      <c r="D32" s="19" t="n">
        <v>462.72</v>
      </c>
      <c r="E32" s="27" t="n">
        <v>0.1</v>
      </c>
      <c r="F32" s="17">
        <f>D32+(D32*E32)</f>
        <v/>
      </c>
      <c r="H32" s="15" t="inlineStr">
        <is>
          <t>MUNDELA</t>
        </is>
      </c>
      <c r="I32" s="19">
        <f>SUMIF($B$4:$B$2000,H32,$D$4:$D$2000)</f>
        <v/>
      </c>
      <c r="J32" s="19">
        <f>K32-I32</f>
        <v/>
      </c>
      <c r="K32" s="17">
        <f>SUMIF($B$4:$B$2000,H32,$F$4:$F$2000)</f>
        <v/>
      </c>
    </row>
    <row r="33">
      <c r="B33" s="25" t="inlineStr">
        <is>
          <t>CARNICAS MEAT</t>
        </is>
      </c>
      <c r="C33" s="26" t="inlineStr">
        <is>
          <t>A1/234</t>
        </is>
      </c>
      <c r="D33" s="19" t="n">
        <v>186.2</v>
      </c>
      <c r="E33" s="27" t="n">
        <v>0.1</v>
      </c>
      <c r="F33" s="17">
        <f>D33+(D33*E33)</f>
        <v/>
      </c>
      <c r="H33" s="15" t="inlineStr">
        <is>
          <t>PATATAS YAGO</t>
        </is>
      </c>
      <c r="I33" s="19">
        <f>SUMIF($B$4:$B$2000,H33,$D$4:$D$2000)</f>
        <v/>
      </c>
      <c r="J33" s="19">
        <f>K33-I33</f>
        <v/>
      </c>
      <c r="K33" s="17">
        <f>SUMIF($B$4:$B$2000,H33,$F$4:$F$2000)</f>
        <v/>
      </c>
    </row>
    <row r="34">
      <c r="B34" s="25" t="inlineStr">
        <is>
          <t>CARNICAS MEAT</t>
        </is>
      </c>
      <c r="C34" s="26" t="inlineStr">
        <is>
          <t>A1/247</t>
        </is>
      </c>
      <c r="D34" s="19" t="n">
        <v>452.23</v>
      </c>
      <c r="E34" s="27" t="n">
        <v>0.1</v>
      </c>
      <c r="F34" s="17">
        <f>D34+(D34*E34)</f>
        <v/>
      </c>
      <c r="H34" s="15" t="inlineStr">
        <is>
          <t>PESCADERIA PALACIO</t>
        </is>
      </c>
      <c r="I34" s="19">
        <f>SUMIF($B$4:$B$2000,H34,$D$4:$D$2000)</f>
        <v/>
      </c>
      <c r="J34" s="19">
        <f>K34-I34</f>
        <v/>
      </c>
      <c r="K34" s="17">
        <f>SUMIF($B$4:$B$2000,H34,$F$4:$F$2000)</f>
        <v/>
      </c>
    </row>
    <row r="35">
      <c r="B35" s="25" t="inlineStr">
        <is>
          <t>CARNICAS MEAT</t>
        </is>
      </c>
      <c r="C35" s="26" t="inlineStr">
        <is>
          <t>A1/250</t>
        </is>
      </c>
      <c r="D35" s="19" t="n">
        <v>191.25</v>
      </c>
      <c r="E35" s="27" t="n">
        <v>0.1</v>
      </c>
      <c r="F35" s="17">
        <f>D35+(D35*E35)</f>
        <v/>
      </c>
      <c r="H35" s="15" t="inlineStr">
        <is>
          <t>PESCARUM</t>
        </is>
      </c>
      <c r="I35" s="19">
        <f>SUMIF($B$4:$B$2000,H35,$D$4:$D$2000)</f>
        <v/>
      </c>
      <c r="J35" s="19">
        <f>K35-I35</f>
        <v/>
      </c>
      <c r="K35" s="17">
        <f>SUMIF($B$4:$B$2000,H35,$F$4:$F$2000)</f>
        <v/>
      </c>
    </row>
    <row r="36">
      <c r="B36" s="25" t="inlineStr">
        <is>
          <t>CARNICAS MEAT</t>
        </is>
      </c>
      <c r="C36" s="26" t="inlineStr">
        <is>
          <t>A1/258</t>
        </is>
      </c>
      <c r="D36" s="19" t="n">
        <v>230</v>
      </c>
      <c r="E36" s="27" t="n">
        <v>0.1</v>
      </c>
      <c r="F36" s="17">
        <f>D36+(D36*E36)</f>
        <v/>
      </c>
      <c r="H36" s="15" t="inlineStr">
        <is>
          <t>PEÑALASTALLAS</t>
        </is>
      </c>
      <c r="I36" s="19">
        <f>SUMIF($B$4:$B$2000,H36,$D$4:$D$2000)</f>
        <v/>
      </c>
      <c r="J36" s="19">
        <f>K36-I36</f>
        <v/>
      </c>
      <c r="K36" s="17">
        <f>SUMIF($B$4:$B$2000,H36,$F$4:$F$2000)</f>
        <v/>
      </c>
    </row>
    <row r="37">
      <c r="B37" s="25" t="inlineStr">
        <is>
          <t>CARNICAS MEAT</t>
        </is>
      </c>
      <c r="C37" s="26" t="inlineStr">
        <is>
          <t>A1/261</t>
        </is>
      </c>
      <c r="D37" s="19" t="n">
        <v>391.01</v>
      </c>
      <c r="E37" s="27" t="n">
        <v>0.1</v>
      </c>
      <c r="F37" s="17">
        <f>D37+(D37*E37)</f>
        <v/>
      </c>
      <c r="H37" s="15" t="inlineStr">
        <is>
          <t>REGERE AOVE</t>
        </is>
      </c>
      <c r="I37" s="19">
        <f>SUMIF($B$4:$B$2000,H37,$D$4:$D$2000)</f>
        <v/>
      </c>
      <c r="J37" s="19">
        <f>K37-I37</f>
        <v/>
      </c>
      <c r="K37" s="17">
        <f>SUMIF($B$4:$B$2000,H37,$F$4:$F$2000)</f>
        <v/>
      </c>
    </row>
    <row r="38">
      <c r="B38" s="25" t="inlineStr">
        <is>
          <t>CASA MISU</t>
        </is>
      </c>
      <c r="C38" s="26" t="inlineStr">
        <is>
          <t>FRA 2026-118</t>
        </is>
      </c>
      <c r="D38" s="19" t="n">
        <v>70</v>
      </c>
      <c r="E38" s="27" t="n">
        <v>0.1</v>
      </c>
      <c r="F38" s="17">
        <f>D38+(D38*E38)</f>
        <v/>
      </c>
      <c r="H38" s="15" t="inlineStr">
        <is>
          <t>ROMERO ALVAREZ</t>
        </is>
      </c>
      <c r="I38" s="19">
        <f>SUMIF($B$4:$B$2000,H38,$D$4:$D$2000)</f>
        <v/>
      </c>
      <c r="J38" s="19">
        <f>K38-I38</f>
        <v/>
      </c>
      <c r="K38" s="17">
        <f>SUMIF($B$4:$B$2000,H38,$F$4:$F$2000)</f>
        <v/>
      </c>
    </row>
    <row r="39">
      <c r="B39" s="25" t="inlineStr">
        <is>
          <t>CASA MISU</t>
        </is>
      </c>
      <c r="C39" s="26" t="inlineStr">
        <is>
          <t>FRA 2026-122</t>
        </is>
      </c>
      <c r="D39" s="19" t="n">
        <v>70</v>
      </c>
      <c r="E39" s="27" t="n">
        <v>0.1</v>
      </c>
      <c r="F39" s="17">
        <f>D39+(D39*E39)</f>
        <v/>
      </c>
      <c r="H39" s="15" t="inlineStr">
        <is>
          <t>SENSORVISION</t>
        </is>
      </c>
      <c r="I39" s="19">
        <f>SUMIF($B$4:$B$2000,H39,$D$4:$D$2000)</f>
        <v/>
      </c>
      <c r="J39" s="19">
        <f>K39-I39</f>
        <v/>
      </c>
      <c r="K39" s="17">
        <f>SUMIF($B$4:$B$2000,H39,$F$4:$F$2000)</f>
        <v/>
      </c>
    </row>
    <row r="40">
      <c r="B40" s="25" t="inlineStr">
        <is>
          <t>CASA MISU</t>
        </is>
      </c>
      <c r="C40" s="26" t="inlineStr">
        <is>
          <t>FRA 2026-126</t>
        </is>
      </c>
      <c r="D40" s="19" t="n">
        <v>70</v>
      </c>
      <c r="E40" s="27" t="n">
        <v>0.1</v>
      </c>
      <c r="F40" s="17">
        <f>D40+(D40*E40)</f>
        <v/>
      </c>
      <c r="H40" s="15" t="inlineStr">
        <is>
          <t>SUBMARINER</t>
        </is>
      </c>
      <c r="I40" s="19">
        <f>SUMIF($B$4:$B$2000,H40,$D$4:$D$2000)</f>
        <v/>
      </c>
      <c r="J40" s="19">
        <f>K40-I40</f>
        <v/>
      </c>
      <c r="K40" s="17">
        <f>SUMIF($B$4:$B$2000,H40,$F$4:$F$2000)</f>
        <v/>
      </c>
    </row>
    <row r="41">
      <c r="B41" s="25" t="inlineStr">
        <is>
          <t>CASA MISU</t>
        </is>
      </c>
      <c r="C41" s="26" t="inlineStr">
        <is>
          <t>FRA 2026-127</t>
        </is>
      </c>
      <c r="D41" s="19" t="n">
        <v>70</v>
      </c>
      <c r="E41" s="27" t="n">
        <v>0.1</v>
      </c>
      <c r="F41" s="17">
        <f>D41+(D41*E41)</f>
        <v/>
      </c>
      <c r="H41" s="15" t="inlineStr">
        <is>
          <t>TOMATERIA DE CEA</t>
        </is>
      </c>
      <c r="I41" s="19">
        <f>SUMIF($B$4:$B$2000,H41,$D$4:$D$2000)</f>
        <v/>
      </c>
      <c r="J41" s="19">
        <f>K41-I41</f>
        <v/>
      </c>
      <c r="K41" s="17">
        <f>SUMIF($B$4:$B$2000,H41,$F$4:$F$2000)</f>
        <v/>
      </c>
    </row>
    <row r="42">
      <c r="B42" s="25" t="inlineStr">
        <is>
          <t>CASA MISU</t>
        </is>
      </c>
      <c r="C42" s="26" t="inlineStr">
        <is>
          <t>FRA 2026-132</t>
        </is>
      </c>
      <c r="D42" s="19" t="n">
        <v>70</v>
      </c>
      <c r="E42" s="27" t="n">
        <v>0.1</v>
      </c>
      <c r="F42" s="17">
        <f>D42+(D42*E42)</f>
        <v/>
      </c>
      <c r="H42" s="15" t="inlineStr">
        <is>
          <t>VENERO CLARO</t>
        </is>
      </c>
      <c r="I42" s="19">
        <f>SUMIF($B$4:$B$2000,H42,$D$4:$D$2000)</f>
        <v/>
      </c>
      <c r="J42" s="19">
        <f>K42-I42</f>
        <v/>
      </c>
      <c r="K42" s="17">
        <f>SUMIF($B$4:$B$2000,H42,$F$4:$F$2000)</f>
        <v/>
      </c>
    </row>
    <row r="43">
      <c r="B43" s="25" t="inlineStr">
        <is>
          <t>CASA MISU</t>
        </is>
      </c>
      <c r="C43" s="26" t="inlineStr">
        <is>
          <t>FRA 2026-134</t>
        </is>
      </c>
      <c r="D43" s="19" t="n">
        <v>70</v>
      </c>
      <c r="E43" s="27" t="n">
        <v>0.1</v>
      </c>
      <c r="F43" s="17">
        <f>D43+(D43*E43)</f>
        <v/>
      </c>
      <c r="H43" s="15" t="inlineStr">
        <is>
          <t>VINS DES DIEUX</t>
        </is>
      </c>
      <c r="I43" s="19">
        <f>SUMIF($B$4:$B$2000,H43,$D$4:$D$2000)</f>
        <v/>
      </c>
      <c r="J43" s="19">
        <f>K43-I43</f>
        <v/>
      </c>
      <c r="K43" s="17">
        <f>SUMIF($B$4:$B$2000,H43,$F$4:$F$2000)</f>
        <v/>
      </c>
    </row>
    <row r="44">
      <c r="B44" s="25" t="inlineStr">
        <is>
          <t>COCACOLA</t>
        </is>
      </c>
      <c r="C44" s="26" t="inlineStr">
        <is>
          <t>4536891120</t>
        </is>
      </c>
      <c r="D44" s="19" t="n">
        <v>435.64</v>
      </c>
      <c r="E44" s="27" t="n">
        <v>0.21</v>
      </c>
      <c r="F44" s="17">
        <f>D44+(D44*E44)</f>
        <v/>
      </c>
      <c r="H44" s="15" t="inlineStr">
        <is>
          <t>VOLDIS</t>
        </is>
      </c>
      <c r="I44" s="19">
        <f>SUMIF($B$4:$B$2000,H44,$D$4:$D$2000)</f>
        <v/>
      </c>
      <c r="J44" s="19">
        <f>K44-I44</f>
        <v/>
      </c>
      <c r="K44" s="17">
        <f>SUMIF($B$4:$B$2000,H44,$F$4:$F$2000)</f>
        <v/>
      </c>
    </row>
    <row r="45">
      <c r="B45" s="25" t="inlineStr">
        <is>
          <t>COCACOLA</t>
        </is>
      </c>
      <c r="C45" s="26" t="inlineStr">
        <is>
          <t>4537342018</t>
        </is>
      </c>
      <c r="D45" s="19" t="n">
        <v>189.26</v>
      </c>
      <c r="E45" s="27" t="n">
        <v>0.21</v>
      </c>
      <c r="F45" s="17">
        <f>D45+(D45*E45)</f>
        <v/>
      </c>
      <c r="H45" s="29" t="inlineStr">
        <is>
          <t>TOTAL</t>
        </is>
      </c>
      <c r="I45" s="29">
        <f>SUM(I4:I44)</f>
        <v/>
      </c>
      <c r="J45" s="29">
        <f>SUM(J4:J44)</f>
        <v/>
      </c>
      <c r="K45" s="29">
        <f>SUM(K4:K44)</f>
        <v/>
      </c>
    </row>
    <row r="46">
      <c r="B46" s="25" t="inlineStr">
        <is>
          <t>COCACOLA</t>
        </is>
      </c>
      <c r="C46" s="26" t="inlineStr">
        <is>
          <t>4537429705</t>
        </is>
      </c>
      <c r="D46" s="19" t="n">
        <v>304.19</v>
      </c>
      <c r="E46" s="27" t="n">
        <v>0.21</v>
      </c>
      <c r="F46" s="17">
        <f>D46+(D46*E46)</f>
        <v/>
      </c>
    </row>
    <row r="47">
      <c r="B47" s="25" t="inlineStr">
        <is>
          <t>CONS. SELEC. SANTO</t>
        </is>
      </c>
      <c r="C47" s="26" t="inlineStr">
        <is>
          <t>5869</t>
        </is>
      </c>
      <c r="D47" s="19" t="n">
        <v>385.56</v>
      </c>
      <c r="E47" s="27" t="n">
        <v>0.1</v>
      </c>
      <c r="F47" s="17">
        <f>D47+(D47*E47)</f>
        <v/>
      </c>
    </row>
    <row r="48">
      <c r="B48" s="25" t="inlineStr">
        <is>
          <t>CONS. SELEC. SANTO</t>
        </is>
      </c>
      <c r="C48" s="26" t="inlineStr">
        <is>
          <t>6193</t>
        </is>
      </c>
      <c r="D48" s="19" t="n">
        <v>368.01</v>
      </c>
      <c r="E48" s="27" t="n">
        <v>0.1</v>
      </c>
      <c r="F48" s="17">
        <f>D48+(D48*E48)</f>
        <v/>
      </c>
    </row>
    <row r="49">
      <c r="B49" s="25" t="inlineStr">
        <is>
          <t>CONS. SELEC. SANTO</t>
        </is>
      </c>
      <c r="C49" s="26" t="inlineStr">
        <is>
          <t>6369</t>
        </is>
      </c>
      <c r="D49" s="19" t="n">
        <v>365.85</v>
      </c>
      <c r="E49" s="27" t="n">
        <v>0.1</v>
      </c>
      <c r="F49" s="17">
        <f>D49+(D49*E49)</f>
        <v/>
      </c>
    </row>
    <row r="50">
      <c r="B50" s="25" t="inlineStr">
        <is>
          <t>CONS. SELEC. SANTO</t>
        </is>
      </c>
      <c r="C50" s="26" t="inlineStr">
        <is>
          <t>6562</t>
        </is>
      </c>
      <c r="D50" s="19" t="n">
        <v>185.49</v>
      </c>
      <c r="E50" s="27" t="n">
        <v>0.1</v>
      </c>
      <c r="F50" s="17">
        <f>D50+(D50*E50)</f>
        <v/>
      </c>
    </row>
    <row r="51">
      <c r="B51" s="25" t="inlineStr">
        <is>
          <t>CONS. Y SAL. JIMENEZ</t>
        </is>
      </c>
      <c r="C51" s="26" t="inlineStr">
        <is>
          <t>26A01087</t>
        </is>
      </c>
      <c r="D51" s="19" t="n">
        <v>587.22</v>
      </c>
      <c r="E51" s="27" t="n">
        <v>0.1</v>
      </c>
      <c r="F51" s="17">
        <f>D51+(D51*E51)</f>
        <v/>
      </c>
    </row>
    <row r="52">
      <c r="B52" s="25" t="inlineStr">
        <is>
          <t>CONS. Y SAL. JIMENEZ</t>
        </is>
      </c>
      <c r="C52" s="26" t="inlineStr">
        <is>
          <t>26A01109</t>
        </is>
      </c>
      <c r="D52" s="19" t="n">
        <v>264.99</v>
      </c>
      <c r="E52" s="27" t="n">
        <v>0.1</v>
      </c>
      <c r="F52" s="17">
        <f>D52+(D52*E52)</f>
        <v/>
      </c>
    </row>
    <row r="53">
      <c r="B53" s="25" t="inlineStr">
        <is>
          <t>CONS. Y SAL. JIMENEZ</t>
        </is>
      </c>
      <c r="C53" s="26" t="inlineStr">
        <is>
          <t>26A01144</t>
        </is>
      </c>
      <c r="D53" s="19" t="n">
        <v>374.14</v>
      </c>
      <c r="E53" s="27" t="n">
        <v>0.1</v>
      </c>
      <c r="F53" s="17">
        <f>D53+(D53*E53)</f>
        <v/>
      </c>
    </row>
    <row r="54">
      <c r="B54" s="25" t="inlineStr">
        <is>
          <t>CONS. Y SAL. JIMENEZ</t>
        </is>
      </c>
      <c r="C54" s="26" t="inlineStr">
        <is>
          <t>26A01162</t>
        </is>
      </c>
      <c r="D54" s="19" t="n">
        <v>670.95</v>
      </c>
      <c r="E54" s="27" t="n">
        <v>0.1</v>
      </c>
      <c r="F54" s="17">
        <f>D54+(D54*E54)</f>
        <v/>
      </c>
    </row>
    <row r="55">
      <c r="B55" s="25" t="inlineStr">
        <is>
          <t>CONS. Y SAL. JIMENEZ</t>
        </is>
      </c>
      <c r="C55" s="26" t="inlineStr">
        <is>
          <t>26A01199</t>
        </is>
      </c>
      <c r="D55" s="19" t="n">
        <v>301.02</v>
      </c>
      <c r="E55" s="27" t="n">
        <v>0.1</v>
      </c>
      <c r="F55" s="17">
        <f>D55+(D55*E55)</f>
        <v/>
      </c>
    </row>
    <row r="56">
      <c r="B56" s="25" t="inlineStr">
        <is>
          <t>CRNAS SERVAN</t>
        </is>
      </c>
      <c r="C56" s="26" t="inlineStr">
        <is>
          <t>A2609-0052</t>
        </is>
      </c>
      <c r="D56" s="19" t="n">
        <v>71.81999999999999</v>
      </c>
      <c r="E56" s="27" t="n">
        <v>0.1</v>
      </c>
      <c r="F56" s="17">
        <f>D56+(D56*E56)</f>
        <v/>
      </c>
    </row>
    <row r="57">
      <c r="B57" s="25" t="inlineStr">
        <is>
          <t>CRNAS SERVAN</t>
        </is>
      </c>
      <c r="C57" s="26" t="inlineStr">
        <is>
          <t>A2609-0097</t>
        </is>
      </c>
      <c r="D57" s="19" t="n">
        <v>113.22</v>
      </c>
      <c r="E57" s="27" t="n">
        <v>0.1</v>
      </c>
      <c r="F57" s="17">
        <f>D57+(D57*E57)</f>
        <v/>
      </c>
    </row>
    <row r="58">
      <c r="B58" s="25" t="inlineStr">
        <is>
          <t>CRNAS SERVAN</t>
        </is>
      </c>
      <c r="C58" s="26" t="inlineStr">
        <is>
          <t>A2609-0112</t>
        </is>
      </c>
      <c r="D58" s="19" t="n">
        <v>30.6</v>
      </c>
      <c r="E58" s="27" t="n">
        <v>0.1</v>
      </c>
      <c r="F58" s="17">
        <f>D58+(D58*E58)</f>
        <v/>
      </c>
    </row>
    <row r="59">
      <c r="B59" s="25" t="inlineStr">
        <is>
          <t>CRNAS SERVAN</t>
        </is>
      </c>
      <c r="C59" s="26" t="inlineStr">
        <is>
          <t>A2609-0146</t>
        </is>
      </c>
      <c r="D59" s="19" t="n">
        <v>81.84</v>
      </c>
      <c r="E59" s="27" t="n">
        <v>0.1</v>
      </c>
      <c r="F59" s="17">
        <f>D59+(D59*E59)</f>
        <v/>
      </c>
    </row>
    <row r="60">
      <c r="B60" s="25" t="inlineStr">
        <is>
          <t>CRNAS SERVAN</t>
        </is>
      </c>
      <c r="C60" s="26" t="inlineStr">
        <is>
          <t>A2609-0177</t>
        </is>
      </c>
      <c r="D60" s="19" t="n">
        <v>115.4</v>
      </c>
      <c r="E60" s="27" t="n">
        <v>0.1</v>
      </c>
      <c r="F60" s="17">
        <f>D60+(D60*E60)</f>
        <v/>
      </c>
    </row>
    <row r="61">
      <c r="B61" s="25" t="inlineStr">
        <is>
          <t>CRNAS SERVAN</t>
        </is>
      </c>
      <c r="C61" s="26" t="inlineStr">
        <is>
          <t>A2609-0245</t>
        </is>
      </c>
      <c r="D61" s="19" t="n">
        <v>52.5</v>
      </c>
      <c r="E61" s="27" t="n">
        <v>0.1</v>
      </c>
      <c r="F61" s="17">
        <f>D61+(D61*E61)</f>
        <v/>
      </c>
    </row>
    <row r="62">
      <c r="B62" s="25" t="inlineStr">
        <is>
          <t>CRNAS SERVAN</t>
        </is>
      </c>
      <c r="C62" s="26" t="inlineStr">
        <is>
          <t>A2609-0271</t>
        </is>
      </c>
      <c r="D62" s="19" t="n">
        <v>64.23999999999999</v>
      </c>
      <c r="E62" s="27" t="n">
        <v>0.1</v>
      </c>
      <c r="F62" s="17">
        <f>D62+(D62*E62)</f>
        <v/>
      </c>
    </row>
    <row r="63">
      <c r="B63" s="25" t="inlineStr">
        <is>
          <t>CRNAS SERVAN</t>
        </is>
      </c>
      <c r="C63" s="26" t="inlineStr">
        <is>
          <t>A2609-0298</t>
        </is>
      </c>
      <c r="D63" s="19" t="n">
        <v>70.40000000000001</v>
      </c>
      <c r="E63" s="27" t="n">
        <v>0.1</v>
      </c>
      <c r="F63" s="17">
        <f>D63+(D63*E63)</f>
        <v/>
      </c>
    </row>
    <row r="64">
      <c r="B64" s="25" t="inlineStr">
        <is>
          <t>CRNAS SERVAN</t>
        </is>
      </c>
      <c r="C64" s="26" t="inlineStr">
        <is>
          <t>A2609-0338</t>
        </is>
      </c>
      <c r="D64" s="19" t="n">
        <v>83.3</v>
      </c>
      <c r="E64" s="27" t="n">
        <v>0.1</v>
      </c>
      <c r="F64" s="17">
        <f>D64+(D64*E64)</f>
        <v/>
      </c>
    </row>
    <row r="65">
      <c r="B65" s="25" t="inlineStr">
        <is>
          <t>CRNAS SERVAN</t>
        </is>
      </c>
      <c r="C65" s="26" t="inlineStr">
        <is>
          <t>A2609-0384</t>
        </is>
      </c>
      <c r="D65" s="19" t="n">
        <v>79.31999999999999</v>
      </c>
      <c r="E65" s="27" t="n">
        <v>0.1</v>
      </c>
      <c r="F65" s="17">
        <f>D65+(D65*E65)</f>
        <v/>
      </c>
    </row>
    <row r="66">
      <c r="B66" s="25" t="inlineStr">
        <is>
          <t>CRNAS SERVAN</t>
        </is>
      </c>
      <c r="C66" s="26" t="inlineStr">
        <is>
          <t>A2609-0440</t>
        </is>
      </c>
      <c r="D66" s="19" t="n">
        <v>103.54</v>
      </c>
      <c r="E66" s="27" t="n">
        <v>0.1</v>
      </c>
      <c r="F66" s="17">
        <f>D66+(D66*E66)</f>
        <v/>
      </c>
    </row>
    <row r="67">
      <c r="B67" s="25" t="inlineStr">
        <is>
          <t>CRNAS SERVAN</t>
        </is>
      </c>
      <c r="C67" s="26" t="inlineStr">
        <is>
          <t>A2609-0484</t>
        </is>
      </c>
      <c r="D67" s="19" t="n">
        <v>63.36</v>
      </c>
      <c r="E67" s="27" t="n">
        <v>0.1</v>
      </c>
      <c r="F67" s="17">
        <f>D67+(D67*E67)</f>
        <v/>
      </c>
    </row>
    <row r="68">
      <c r="B68" s="25" t="inlineStr">
        <is>
          <t>CRNAS SERVAN</t>
        </is>
      </c>
      <c r="C68" s="26" t="inlineStr">
        <is>
          <t>A2609-0505</t>
        </is>
      </c>
      <c r="D68" s="19" t="n">
        <v>64.23999999999999</v>
      </c>
      <c r="E68" s="27" t="n">
        <v>0.1</v>
      </c>
      <c r="F68" s="17">
        <f>D68+(D68*E68)</f>
        <v/>
      </c>
    </row>
    <row r="69">
      <c r="B69" s="25" t="inlineStr">
        <is>
          <t>CRUSTAPESCA</t>
        </is>
      </c>
      <c r="C69" s="26" t="inlineStr">
        <is>
          <t>1094</t>
        </is>
      </c>
      <c r="D69" s="19" t="n">
        <v>78</v>
      </c>
      <c r="E69" s="27" t="n">
        <v>0.1</v>
      </c>
      <c r="F69" s="17">
        <f>D69+(D69*E69)</f>
        <v/>
      </c>
    </row>
    <row r="70">
      <c r="B70" s="25" t="inlineStr">
        <is>
          <t>CRUSTAPESCA</t>
        </is>
      </c>
      <c r="C70" s="26" t="inlineStr">
        <is>
          <t>s/n (03/09)</t>
        </is>
      </c>
      <c r="D70" s="19" t="n">
        <v>153.6</v>
      </c>
      <c r="E70" s="27" t="n">
        <v>0.1</v>
      </c>
      <c r="F70" s="17">
        <f>D70+(D70*E70)</f>
        <v/>
      </c>
    </row>
    <row r="71">
      <c r="B71" s="25" t="inlineStr">
        <is>
          <t>CRUSTAPESCA</t>
        </is>
      </c>
      <c r="C71" s="26" t="inlineStr">
        <is>
          <t>3091</t>
        </is>
      </c>
      <c r="D71" s="19" t="n">
        <v>192.4</v>
      </c>
      <c r="E71" s="27" t="n">
        <v>0.1</v>
      </c>
      <c r="F71" s="17">
        <f>D71+(D71*E71)</f>
        <v/>
      </c>
    </row>
    <row r="72">
      <c r="B72" s="25" t="inlineStr">
        <is>
          <t>CRUSTAPESCA</t>
        </is>
      </c>
      <c r="C72" s="26" t="inlineStr">
        <is>
          <t>5091</t>
        </is>
      </c>
      <c r="D72" s="19" t="n">
        <v>156</v>
      </c>
      <c r="E72" s="27" t="n">
        <v>0.1</v>
      </c>
      <c r="F72" s="17">
        <f>D72+(D72*E72)</f>
        <v/>
      </c>
    </row>
    <row r="73">
      <c r="B73" s="25" t="inlineStr">
        <is>
          <t>CRUSTAPESCA</t>
        </is>
      </c>
      <c r="C73" s="26" t="inlineStr">
        <is>
          <t>7069</t>
        </is>
      </c>
      <c r="D73" s="19" t="n">
        <v>78</v>
      </c>
      <c r="E73" s="27" t="n">
        <v>0.1</v>
      </c>
      <c r="F73" s="17">
        <f>D73+(D73*E73)</f>
        <v/>
      </c>
    </row>
    <row r="74">
      <c r="B74" s="25" t="inlineStr">
        <is>
          <t>CRUSTAPESCA</t>
        </is>
      </c>
      <c r="C74" s="26" t="inlineStr">
        <is>
          <t>110911</t>
        </is>
      </c>
      <c r="D74" s="19" t="n">
        <v>78</v>
      </c>
      <c r="E74" s="27" t="n">
        <v>0.1</v>
      </c>
      <c r="F74" s="17">
        <f>D74+(D74*E74)</f>
        <v/>
      </c>
    </row>
    <row r="75">
      <c r="B75" s="25" t="inlineStr">
        <is>
          <t>CRUSTAPESCA</t>
        </is>
      </c>
      <c r="C75" s="26" t="inlineStr">
        <is>
          <t>12091</t>
        </is>
      </c>
      <c r="D75" s="19" t="n">
        <v>156</v>
      </c>
      <c r="E75" s="27" t="n">
        <v>0.1</v>
      </c>
      <c r="F75" s="17">
        <f>D75+(D75*E75)</f>
        <v/>
      </c>
    </row>
    <row r="76">
      <c r="B76" s="25" t="inlineStr">
        <is>
          <t>CRUSTAPESCA</t>
        </is>
      </c>
      <c r="C76" s="26" t="inlineStr">
        <is>
          <t>15091</t>
        </is>
      </c>
      <c r="D76" s="19" t="n">
        <v>301.6</v>
      </c>
      <c r="E76" s="27" t="n">
        <v>0.1</v>
      </c>
      <c r="F76" s="17">
        <f>D76+(D76*E76)</f>
        <v/>
      </c>
    </row>
    <row r="77">
      <c r="B77" s="25" t="inlineStr">
        <is>
          <t>CRUSTAPESCA</t>
        </is>
      </c>
      <c r="C77" s="26" t="inlineStr">
        <is>
          <t>17091</t>
        </is>
      </c>
      <c r="D77" s="19" t="n">
        <v>198</v>
      </c>
      <c r="E77" s="27" t="n">
        <v>0.1</v>
      </c>
      <c r="F77" s="17">
        <f>D77+(D77*E77)</f>
        <v/>
      </c>
    </row>
    <row r="78">
      <c r="B78" s="25" t="inlineStr">
        <is>
          <t>CRUSTAPESCA</t>
        </is>
      </c>
      <c r="C78" s="26" t="inlineStr">
        <is>
          <t>19091</t>
        </is>
      </c>
      <c r="D78" s="19" t="n">
        <v>156</v>
      </c>
      <c r="E78" s="27" t="n">
        <v>0.1</v>
      </c>
      <c r="F78" s="17">
        <f>D78+(D78*E78)</f>
        <v/>
      </c>
    </row>
    <row r="79">
      <c r="B79" s="25" t="inlineStr">
        <is>
          <t>CRUSTAPESCA</t>
        </is>
      </c>
      <c r="C79" s="26" t="inlineStr">
        <is>
          <t>24092</t>
        </is>
      </c>
      <c r="D79" s="19" t="n">
        <v>468.4</v>
      </c>
      <c r="E79" s="27" t="n">
        <v>0.1</v>
      </c>
      <c r="F79" s="17">
        <f>D79+(D79*E79)</f>
        <v/>
      </c>
    </row>
    <row r="80">
      <c r="B80" s="25" t="inlineStr">
        <is>
          <t>CRUSTAPESCA</t>
        </is>
      </c>
      <c r="C80" s="26" t="inlineStr">
        <is>
          <t>25093</t>
        </is>
      </c>
      <c r="D80" s="19" t="n">
        <v>78</v>
      </c>
      <c r="E80" s="27" t="n">
        <v>0.1</v>
      </c>
      <c r="F80" s="17">
        <f>D80+(D80*E80)</f>
        <v/>
      </c>
    </row>
    <row r="81">
      <c r="B81" s="25" t="inlineStr">
        <is>
          <t>DELIPAN</t>
        </is>
      </c>
      <c r="C81" s="26" t="inlineStr">
        <is>
          <t>A2/10.367</t>
        </is>
      </c>
      <c r="D81" s="19" t="n">
        <v>110.21</v>
      </c>
      <c r="E81" s="27" t="n">
        <v>0.04</v>
      </c>
      <c r="F81" s="17">
        <f>D81+(D81*E81)</f>
        <v/>
      </c>
    </row>
    <row r="82">
      <c r="B82" s="25" t="inlineStr">
        <is>
          <t>DELIPAN</t>
        </is>
      </c>
      <c r="C82" s="26" t="inlineStr">
        <is>
          <t>A2/10.367</t>
        </is>
      </c>
      <c r="D82" s="19" t="n">
        <v>88.09</v>
      </c>
      <c r="E82" s="27" t="n">
        <v>0.1</v>
      </c>
      <c r="F82" s="17">
        <f>D82+(D82*E82)</f>
        <v/>
      </c>
    </row>
    <row r="83">
      <c r="B83" s="25" t="inlineStr">
        <is>
          <t>DELIPAN</t>
        </is>
      </c>
      <c r="C83" s="26" t="inlineStr">
        <is>
          <t>A2/10.551</t>
        </is>
      </c>
      <c r="D83" s="19" t="n">
        <v>105.36</v>
      </c>
      <c r="E83" s="27" t="n">
        <v>0.04</v>
      </c>
      <c r="F83" s="17">
        <f>D83+(D83*E83)</f>
        <v/>
      </c>
    </row>
    <row r="84">
      <c r="B84" s="25" t="inlineStr">
        <is>
          <t>DELIPAN</t>
        </is>
      </c>
      <c r="C84" s="26" t="inlineStr">
        <is>
          <t>A2/10.551</t>
        </is>
      </c>
      <c r="D84" s="19" t="n">
        <v>88.09</v>
      </c>
      <c r="E84" s="27" t="n">
        <v>0.1</v>
      </c>
      <c r="F84" s="17">
        <f>D84+(D84*E84)</f>
        <v/>
      </c>
    </row>
    <row r="85">
      <c r="B85" s="25" t="inlineStr">
        <is>
          <t>DELIPAN</t>
        </is>
      </c>
      <c r="C85" s="26" t="inlineStr">
        <is>
          <t>A2/10.679</t>
        </is>
      </c>
      <c r="D85" s="19" t="n">
        <v>35.46</v>
      </c>
      <c r="E85" s="27" t="n">
        <v>0.04</v>
      </c>
      <c r="F85" s="17">
        <f>D85+(D85*E85)</f>
        <v/>
      </c>
    </row>
    <row r="86">
      <c r="B86" s="25" t="inlineStr">
        <is>
          <t>DELIPAN</t>
        </is>
      </c>
      <c r="C86" s="26" t="inlineStr">
        <is>
          <t>A2/10.679</t>
        </is>
      </c>
      <c r="D86" s="19" t="n">
        <v>88.09</v>
      </c>
      <c r="E86" s="27" t="n">
        <v>0.1</v>
      </c>
      <c r="F86" s="17">
        <f>D86+(D86*E86)</f>
        <v/>
      </c>
    </row>
    <row r="87">
      <c r="B87" s="25" t="inlineStr">
        <is>
          <t>DELIPAN</t>
        </is>
      </c>
      <c r="C87" s="26" t="inlineStr">
        <is>
          <t>A2/10.905</t>
        </is>
      </c>
      <c r="D87" s="19" t="n">
        <v>22.96</v>
      </c>
      <c r="E87" s="27" t="n">
        <v>0.04</v>
      </c>
      <c r="F87" s="17">
        <f>D87+(D87*E87)</f>
        <v/>
      </c>
    </row>
    <row r="88">
      <c r="B88" s="25" t="inlineStr">
        <is>
          <t>DELIPAN</t>
        </is>
      </c>
      <c r="C88" s="26" t="inlineStr">
        <is>
          <t>A2/10.999</t>
        </is>
      </c>
      <c r="D88" s="19" t="n">
        <v>40.69</v>
      </c>
      <c r="E88" s="27" t="n">
        <v>0.04</v>
      </c>
      <c r="F88" s="17">
        <f>D88+(D88*E88)</f>
        <v/>
      </c>
    </row>
    <row r="89">
      <c r="B89" s="25" t="inlineStr">
        <is>
          <t>DELIPAN</t>
        </is>
      </c>
      <c r="C89" s="26" t="inlineStr">
        <is>
          <t>A2/10.999</t>
        </is>
      </c>
      <c r="D89" s="19" t="n">
        <v>88.09</v>
      </c>
      <c r="E89" s="27" t="n">
        <v>0.1</v>
      </c>
      <c r="F89" s="17">
        <f>D89+(D89*E89)</f>
        <v/>
      </c>
    </row>
    <row r="90">
      <c r="B90" s="25" t="inlineStr">
        <is>
          <t>DELIPAN</t>
        </is>
      </c>
      <c r="C90" s="26" t="inlineStr">
        <is>
          <t>A2/11.234</t>
        </is>
      </c>
      <c r="D90" s="19" t="n">
        <v>45.92</v>
      </c>
      <c r="E90" s="27" t="n">
        <v>0.04</v>
      </c>
      <c r="F90" s="17">
        <f>D90+(D90*E90)</f>
        <v/>
      </c>
    </row>
    <row r="91">
      <c r="B91" s="25" t="inlineStr">
        <is>
          <t>DELIPAN</t>
        </is>
      </c>
      <c r="C91" s="26" t="inlineStr">
        <is>
          <t>A2/11.370</t>
        </is>
      </c>
      <c r="D91" s="19" t="n">
        <v>40.69</v>
      </c>
      <c r="E91" s="27" t="n">
        <v>0.04</v>
      </c>
      <c r="F91" s="17">
        <f>D91+(D91*E91)</f>
        <v/>
      </c>
    </row>
    <row r="92">
      <c r="B92" s="25" t="inlineStr">
        <is>
          <t>DELIPAN</t>
        </is>
      </c>
      <c r="C92" s="26" t="inlineStr">
        <is>
          <t>A2/11.370</t>
        </is>
      </c>
      <c r="D92" s="19" t="n">
        <v>88.09</v>
      </c>
      <c r="E92" s="27" t="n">
        <v>0.1</v>
      </c>
      <c r="F92" s="17">
        <f>D92+(D92*E92)</f>
        <v/>
      </c>
    </row>
    <row r="93">
      <c r="B93" s="25" t="inlineStr">
        <is>
          <t>DELIPAN</t>
        </is>
      </c>
      <c r="C93" s="26" t="inlineStr">
        <is>
          <t>A2/11.721</t>
        </is>
      </c>
      <c r="D93" s="19" t="n">
        <v>57.21</v>
      </c>
      <c r="E93" s="27" t="n">
        <v>0.04</v>
      </c>
      <c r="F93" s="17">
        <f>D93+(D93*E93)</f>
        <v/>
      </c>
    </row>
    <row r="94">
      <c r="B94" s="25" t="inlineStr">
        <is>
          <t>DELIPAN</t>
        </is>
      </c>
      <c r="C94" s="26" t="inlineStr">
        <is>
          <t>A2/11.806</t>
        </is>
      </c>
      <c r="D94" s="19" t="n">
        <v>88.09</v>
      </c>
      <c r="E94" s="27" t="n">
        <v>0.1</v>
      </c>
      <c r="F94" s="17">
        <f>D94+(D94*E94)</f>
        <v/>
      </c>
    </row>
    <row r="95">
      <c r="B95" s="25" t="inlineStr">
        <is>
          <t>DISOLTRIGO</t>
        </is>
      </c>
      <c r="C95" s="26" t="inlineStr">
        <is>
          <t>136230</t>
        </is>
      </c>
      <c r="D95" s="19" t="n">
        <v>276.5</v>
      </c>
      <c r="E95" s="27" t="n">
        <v>0.1</v>
      </c>
      <c r="F95" s="17">
        <f>D95+(D95*E95)</f>
        <v/>
      </c>
    </row>
    <row r="96">
      <c r="B96" s="25" t="inlineStr">
        <is>
          <t>DISOLTRIGO</t>
        </is>
      </c>
      <c r="C96" s="26" t="inlineStr">
        <is>
          <t>136553</t>
        </is>
      </c>
      <c r="D96" s="19" t="n">
        <v>318</v>
      </c>
      <c r="E96" s="27" t="n">
        <v>0.1</v>
      </c>
      <c r="F96" s="17">
        <f>D96+(D96*E96)</f>
        <v/>
      </c>
    </row>
    <row r="97">
      <c r="B97" s="25" t="inlineStr">
        <is>
          <t>DISOLTRIGO</t>
        </is>
      </c>
      <c r="C97" s="26" t="inlineStr">
        <is>
          <t>136819</t>
        </is>
      </c>
      <c r="D97" s="19" t="n">
        <v>193.5</v>
      </c>
      <c r="E97" s="27" t="n">
        <v>0.1</v>
      </c>
      <c r="F97" s="17">
        <f>D97+(D97*E97)</f>
        <v/>
      </c>
    </row>
    <row r="98">
      <c r="B98" s="25" t="inlineStr">
        <is>
          <t>DISOLTRIGO</t>
        </is>
      </c>
      <c r="C98" s="26" t="inlineStr">
        <is>
          <t>137136</t>
        </is>
      </c>
      <c r="D98" s="19" t="n">
        <v>276.5</v>
      </c>
      <c r="E98" s="27" t="n">
        <v>0.1</v>
      </c>
      <c r="F98" s="17">
        <f>D98+(D98*E98)</f>
        <v/>
      </c>
    </row>
    <row r="99">
      <c r="B99" s="25" t="inlineStr">
        <is>
          <t>DIST. TENA MTNEZ</t>
        </is>
      </c>
      <c r="C99" s="26" t="inlineStr">
        <is>
          <t>FD 2821</t>
        </is>
      </c>
      <c r="D99" s="19" t="n">
        <v>834.24</v>
      </c>
      <c r="E99" s="27" t="n">
        <v>0.21</v>
      </c>
      <c r="F99" s="17">
        <f>D99+(D99*E99)</f>
        <v/>
      </c>
    </row>
    <row r="100">
      <c r="B100" s="25" t="inlineStr">
        <is>
          <t>DIST. TENA MTNEZ</t>
        </is>
      </c>
      <c r="C100" s="26" t="inlineStr">
        <is>
          <t>FD 2887</t>
        </is>
      </c>
      <c r="D100" s="19" t="n">
        <v>511.32</v>
      </c>
      <c r="E100" s="27" t="n">
        <v>0.21</v>
      </c>
      <c r="F100" s="17">
        <f>D100+(D100*E100)</f>
        <v/>
      </c>
    </row>
    <row r="101">
      <c r="B101" s="25" t="inlineStr">
        <is>
          <t>DIST. TENA MTNEZ</t>
        </is>
      </c>
      <c r="C101" s="26" t="inlineStr">
        <is>
          <t>FD 3016</t>
        </is>
      </c>
      <c r="D101" s="19" t="n">
        <v>763.38</v>
      </c>
      <c r="E101" s="27" t="n">
        <v>0.21</v>
      </c>
      <c r="F101" s="17">
        <f>D101+(D101*E101)</f>
        <v/>
      </c>
    </row>
    <row r="102">
      <c r="B102" s="25" t="inlineStr">
        <is>
          <t>DIST. TENA MTNEZ</t>
        </is>
      </c>
      <c r="C102" s="26" t="inlineStr">
        <is>
          <t>FD 3073</t>
        </is>
      </c>
      <c r="D102" s="19" t="n">
        <v>358.44</v>
      </c>
      <c r="E102" s="27" t="n">
        <v>0.21</v>
      </c>
      <c r="F102" s="17">
        <f>D102+(D102*E102)</f>
        <v/>
      </c>
    </row>
    <row r="103">
      <c r="B103" s="25" t="inlineStr">
        <is>
          <t>DIST. TENA MTNEZ</t>
        </is>
      </c>
      <c r="C103" s="26" t="inlineStr">
        <is>
          <t>FD 3106</t>
        </is>
      </c>
      <c r="D103" s="19" t="n">
        <v>168.72</v>
      </c>
      <c r="E103" s="27" t="n">
        <v>0.21</v>
      </c>
      <c r="F103" s="17">
        <f>D103+(D103*E103)</f>
        <v/>
      </c>
    </row>
    <row r="104">
      <c r="B104" s="25" t="inlineStr">
        <is>
          <t>ENRIQUE CAMPS</t>
        </is>
      </c>
      <c r="C104" s="26" t="inlineStr">
        <is>
          <t>A26/2196</t>
        </is>
      </c>
      <c r="D104" s="19" t="n">
        <v>72</v>
      </c>
      <c r="E104" s="27" t="n">
        <v>0.1</v>
      </c>
      <c r="F104" s="17">
        <f>D104+(D104*E104)</f>
        <v/>
      </c>
    </row>
    <row r="105">
      <c r="B105" s="25" t="inlineStr">
        <is>
          <t>ENRIQUE CAMPS</t>
        </is>
      </c>
      <c r="C105" s="26" t="inlineStr">
        <is>
          <t>A26/2248</t>
        </is>
      </c>
      <c r="D105" s="19" t="n">
        <v>72</v>
      </c>
      <c r="E105" s="27" t="n">
        <v>0.1</v>
      </c>
      <c r="F105" s="17">
        <f>D105+(D105*E105)</f>
        <v/>
      </c>
    </row>
    <row r="106">
      <c r="B106" s="25" t="inlineStr">
        <is>
          <t>ENRIQUE CAMPS</t>
        </is>
      </c>
      <c r="C106" s="26" t="inlineStr">
        <is>
          <t>A26/2286</t>
        </is>
      </c>
      <c r="D106" s="19" t="n">
        <v>253</v>
      </c>
      <c r="E106" s="27" t="n">
        <v>0.1</v>
      </c>
      <c r="F106" s="17">
        <f>D106+(D106*E106)</f>
        <v/>
      </c>
    </row>
    <row r="107">
      <c r="B107" s="25" t="inlineStr">
        <is>
          <t>ENRIQUE CAMPS</t>
        </is>
      </c>
      <c r="C107" s="26" t="inlineStr">
        <is>
          <t>A26/2345</t>
        </is>
      </c>
      <c r="D107" s="19" t="n">
        <v>144</v>
      </c>
      <c r="E107" s="27" t="n">
        <v>0.1</v>
      </c>
      <c r="F107" s="17">
        <f>D107+(D107*E107)</f>
        <v/>
      </c>
    </row>
    <row r="108">
      <c r="B108" s="25" t="inlineStr">
        <is>
          <t>ENRIQUE CAMPS</t>
        </is>
      </c>
      <c r="C108" s="26" t="inlineStr">
        <is>
          <t>A26/2386</t>
        </is>
      </c>
      <c r="D108" s="19" t="n">
        <v>177</v>
      </c>
      <c r="E108" s="27" t="n">
        <v>0.1</v>
      </c>
      <c r="F108" s="17">
        <f>D108+(D108*E108)</f>
        <v/>
      </c>
    </row>
    <row r="109">
      <c r="B109" s="25" t="inlineStr">
        <is>
          <t>ENRIQUE CAMPS</t>
        </is>
      </c>
      <c r="C109" s="26" t="inlineStr">
        <is>
          <t>A26/2426</t>
        </is>
      </c>
      <c r="D109" s="19" t="n">
        <v>109</v>
      </c>
      <c r="E109" s="27" t="n">
        <v>0.1</v>
      </c>
      <c r="F109" s="17">
        <f>D109+(D109*E109)</f>
        <v/>
      </c>
    </row>
    <row r="110">
      <c r="B110" s="25" t="inlineStr">
        <is>
          <t>ENRIQUE CAMPS</t>
        </is>
      </c>
      <c r="C110" s="26" t="inlineStr">
        <is>
          <t>A26/2474</t>
        </is>
      </c>
      <c r="D110" s="19" t="n">
        <v>216</v>
      </c>
      <c r="E110" s="27" t="n">
        <v>0.1</v>
      </c>
      <c r="F110" s="17">
        <f>D110+(D110*E110)</f>
        <v/>
      </c>
    </row>
    <row r="111">
      <c r="B111" s="25" t="inlineStr">
        <is>
          <t>ENRIQUE CAMPS</t>
        </is>
      </c>
      <c r="C111" s="26" t="inlineStr">
        <is>
          <t>A26/2502</t>
        </is>
      </c>
      <c r="D111" s="19" t="n">
        <v>107</v>
      </c>
      <c r="E111" s="27" t="n">
        <v>0.1</v>
      </c>
      <c r="F111" s="17">
        <f>D111+(D111*E111)</f>
        <v/>
      </c>
    </row>
    <row r="112">
      <c r="B112" s="25" t="inlineStr">
        <is>
          <t>ENRIQUE CAMPS</t>
        </is>
      </c>
      <c r="C112" s="26" t="inlineStr">
        <is>
          <t>A26/2542</t>
        </is>
      </c>
      <c r="D112" s="19" t="n">
        <v>288</v>
      </c>
      <c r="E112" s="27" t="n">
        <v>0.1</v>
      </c>
      <c r="F112" s="17">
        <f>D112+(D112*E112)</f>
        <v/>
      </c>
    </row>
    <row r="113">
      <c r="B113" s="25" t="inlineStr">
        <is>
          <t>ESCRIBANO SANZ</t>
        </is>
      </c>
      <c r="C113" s="26" t="inlineStr">
        <is>
          <t>0665</t>
        </is>
      </c>
      <c r="D113" s="19" t="n">
        <v>173.5</v>
      </c>
      <c r="E113" s="27" t="n">
        <v>0.1</v>
      </c>
      <c r="F113" s="17">
        <f>D113+(D113*E113)</f>
        <v/>
      </c>
    </row>
    <row r="114">
      <c r="B114" s="25" t="inlineStr">
        <is>
          <t>ESCRIBANO SANZ</t>
        </is>
      </c>
      <c r="C114" s="26" t="inlineStr">
        <is>
          <t>0746</t>
        </is>
      </c>
      <c r="D114" s="19" t="n">
        <v>74.90000000000001</v>
      </c>
      <c r="E114" s="27" t="n">
        <v>0.1</v>
      </c>
      <c r="F114" s="17">
        <f>D114+(D114*E114)</f>
        <v/>
      </c>
    </row>
    <row r="115">
      <c r="B115" s="25" t="inlineStr">
        <is>
          <t>ESCRIBANO SANZ</t>
        </is>
      </c>
      <c r="C115" s="26" t="inlineStr">
        <is>
          <t>0813</t>
        </is>
      </c>
      <c r="D115" s="19" t="n">
        <v>79.09999999999999</v>
      </c>
      <c r="E115" s="27" t="n">
        <v>0.1</v>
      </c>
      <c r="F115" s="17">
        <f>D115+(D115*E115)</f>
        <v/>
      </c>
    </row>
    <row r="116">
      <c r="B116" s="25" t="inlineStr">
        <is>
          <t>ESCRIBANO SANZ</t>
        </is>
      </c>
      <c r="C116" s="26" t="inlineStr">
        <is>
          <t>0931</t>
        </is>
      </c>
      <c r="D116" s="19" t="n">
        <v>163.3</v>
      </c>
      <c r="E116" s="27" t="n">
        <v>0.1</v>
      </c>
      <c r="F116" s="17">
        <f>D116+(D116*E116)</f>
        <v/>
      </c>
    </row>
    <row r="117">
      <c r="B117" s="25" t="inlineStr">
        <is>
          <t>ESCRIBANO SANZ</t>
        </is>
      </c>
      <c r="C117" s="26" t="inlineStr">
        <is>
          <t>0960</t>
        </is>
      </c>
      <c r="D117" s="19" t="n">
        <v>53.57</v>
      </c>
      <c r="E117" s="27" t="n">
        <v>0.1</v>
      </c>
      <c r="F117" s="17">
        <f>D117+(D117*E117)</f>
        <v/>
      </c>
    </row>
    <row r="118">
      <c r="B118" s="25" t="inlineStr">
        <is>
          <t>EXTRAMAR</t>
        </is>
      </c>
      <c r="C118" s="26" t="inlineStr">
        <is>
          <t>J99/26/JJ/427</t>
        </is>
      </c>
      <c r="D118" s="19" t="n">
        <v>78</v>
      </c>
      <c r="E118" s="27" t="n">
        <v>0.1</v>
      </c>
      <c r="F118" s="17">
        <f>D118+(D118*E118)</f>
        <v/>
      </c>
    </row>
    <row r="119">
      <c r="B119" s="25" t="inlineStr">
        <is>
          <t>EXTRAMAR</t>
        </is>
      </c>
      <c r="C119" s="26" t="inlineStr">
        <is>
          <t>J99/26/JJ/430</t>
        </is>
      </c>
      <c r="D119" s="19" t="n">
        <v>78</v>
      </c>
      <c r="E119" s="27" t="n">
        <v>0.1</v>
      </c>
      <c r="F119" s="17">
        <f>D119+(D119*E119)</f>
        <v/>
      </c>
    </row>
    <row r="120">
      <c r="B120" s="25" t="inlineStr">
        <is>
          <t>EXTRAMAR</t>
        </is>
      </c>
      <c r="C120" s="26" t="inlineStr">
        <is>
          <t>J99/26/JJ/432</t>
        </is>
      </c>
      <c r="D120" s="19" t="n">
        <v>156</v>
      </c>
      <c r="E120" s="27" t="n">
        <v>0.1</v>
      </c>
      <c r="F120" s="17">
        <f>D120+(D120*E120)</f>
        <v/>
      </c>
    </row>
    <row r="121">
      <c r="B121" s="25" t="inlineStr">
        <is>
          <t>FCO JAVIER LABRADOR</t>
        </is>
      </c>
      <c r="C121" s="26" t="inlineStr">
        <is>
          <t>01-09/26</t>
        </is>
      </c>
      <c r="D121" s="19" t="n">
        <v>91.59999999999999</v>
      </c>
      <c r="E121" s="27" t="n">
        <v>0.1</v>
      </c>
      <c r="F121" s="17">
        <f>D121+(D121*E121)</f>
        <v/>
      </c>
    </row>
    <row r="122">
      <c r="B122" s="25" t="inlineStr">
        <is>
          <t>FCO JAVIER LABRADOR</t>
        </is>
      </c>
      <c r="C122" s="26" t="inlineStr">
        <is>
          <t>02-09/26</t>
        </is>
      </c>
      <c r="D122" s="19" t="n">
        <v>91.59999999999999</v>
      </c>
      <c r="E122" s="27" t="n">
        <v>0.1</v>
      </c>
      <c r="F122" s="17">
        <f>D122+(D122*E122)</f>
        <v/>
      </c>
    </row>
    <row r="123">
      <c r="B123" s="25" t="inlineStr">
        <is>
          <t>HIELOS ANGEL ICE</t>
        </is>
      </c>
      <c r="C123" s="26" t="inlineStr">
        <is>
          <t>s/n (29/08)</t>
        </is>
      </c>
      <c r="D123" s="19" t="n">
        <v>50</v>
      </c>
      <c r="E123" s="27" t="n">
        <v>0</v>
      </c>
      <c r="F123" s="17">
        <f>D123+(D123*E123)</f>
        <v/>
      </c>
    </row>
    <row r="124">
      <c r="B124" s="25" t="inlineStr">
        <is>
          <t>HIELOS ANGEL ICE</t>
        </is>
      </c>
      <c r="C124" s="26" t="inlineStr">
        <is>
          <t>00127637 (08/09)</t>
        </is>
      </c>
      <c r="D124" s="19" t="n">
        <v>70</v>
      </c>
      <c r="E124" s="27" t="n">
        <v>0</v>
      </c>
      <c r="F124" s="17">
        <f>D124+(D124*E124)</f>
        <v/>
      </c>
    </row>
    <row r="125">
      <c r="B125" s="25" t="inlineStr">
        <is>
          <t>HIELOS ANGEL ICE</t>
        </is>
      </c>
      <c r="C125" s="26" t="inlineStr">
        <is>
          <t>s/n (10/09)</t>
        </is>
      </c>
      <c r="D125" s="19" t="n">
        <v>115</v>
      </c>
      <c r="E125" s="27" t="n">
        <v>0</v>
      </c>
      <c r="F125" s="17">
        <f>D125+(D125*E125)</f>
        <v/>
      </c>
    </row>
    <row r="126">
      <c r="B126" s="25" t="inlineStr">
        <is>
          <t>HIELOS ANGEL ICE</t>
        </is>
      </c>
      <c r="C126" s="26" t="inlineStr">
        <is>
          <t>s/n (12/09)</t>
        </is>
      </c>
      <c r="D126" s="19" t="n">
        <v>90</v>
      </c>
      <c r="E126" s="27" t="n">
        <v>0</v>
      </c>
      <c r="F126" s="17">
        <f>D126+(D126*E126)</f>
        <v/>
      </c>
    </row>
    <row r="127">
      <c r="B127" s="25" t="inlineStr">
        <is>
          <t>HIELOS ANGEL ICE</t>
        </is>
      </c>
      <c r="C127" s="26" t="inlineStr">
        <is>
          <t>s/n (15/09)</t>
        </is>
      </c>
      <c r="D127" s="19" t="n">
        <v>102</v>
      </c>
      <c r="E127" s="27" t="n">
        <v>0</v>
      </c>
      <c r="F127" s="17">
        <f>D127+(D127*E127)</f>
        <v/>
      </c>
    </row>
    <row r="128">
      <c r="B128" s="25" t="inlineStr">
        <is>
          <t>HIELOS ANGEL ICE</t>
        </is>
      </c>
      <c r="C128" s="26" t="inlineStr">
        <is>
          <t>s/n (17/09)</t>
        </is>
      </c>
      <c r="D128" s="19" t="n">
        <v>85</v>
      </c>
      <c r="E128" s="27" t="n">
        <v>0</v>
      </c>
      <c r="F128" s="17">
        <f>D128+(D128*E128)</f>
        <v/>
      </c>
    </row>
    <row r="129">
      <c r="B129" s="25" t="inlineStr">
        <is>
          <t>HIELOS ANGEL ICE</t>
        </is>
      </c>
      <c r="C129" s="26" t="inlineStr">
        <is>
          <t>s/n (19/09)</t>
        </is>
      </c>
      <c r="D129" s="19" t="n">
        <v>67</v>
      </c>
      <c r="E129" s="27" t="n">
        <v>0</v>
      </c>
      <c r="F129" s="17">
        <f>D129+(D129*E129)</f>
        <v/>
      </c>
    </row>
    <row r="130">
      <c r="B130" s="25" t="inlineStr">
        <is>
          <t>HIELOS ANGEL ICE</t>
        </is>
      </c>
      <c r="C130" s="26" t="inlineStr">
        <is>
          <t>s/n (22/09)</t>
        </is>
      </c>
      <c r="D130" s="19" t="n">
        <v>140</v>
      </c>
      <c r="E130" s="27" t="n">
        <v>0</v>
      </c>
      <c r="F130" s="17">
        <f>D130+(D130*E130)</f>
        <v/>
      </c>
    </row>
    <row r="131">
      <c r="B131" s="25" t="inlineStr">
        <is>
          <t>HIELOS ANGEL ICE</t>
        </is>
      </c>
      <c r="C131" s="26" t="inlineStr">
        <is>
          <t>s/n (26/09)</t>
        </is>
      </c>
      <c r="D131" s="19" t="n">
        <v>130</v>
      </c>
      <c r="E131" s="27" t="n">
        <v>0</v>
      </c>
      <c r="F131" s="17">
        <f>D131+(D131*E131)</f>
        <v/>
      </c>
    </row>
    <row r="132">
      <c r="B132" s="25" t="inlineStr">
        <is>
          <t>INESCU SERVICES</t>
        </is>
      </c>
      <c r="C132" s="26" t="inlineStr">
        <is>
          <t>ALB2</t>
        </is>
      </c>
      <c r="D132" s="19" t="n">
        <v>448.2</v>
      </c>
      <c r="E132" s="27" t="n">
        <v>0.1</v>
      </c>
      <c r="F132" s="17">
        <f>D132+(D132*E132)</f>
        <v/>
      </c>
    </row>
    <row r="133">
      <c r="B133" s="25" t="inlineStr">
        <is>
          <t>JOSE ROMERO PLAZA</t>
        </is>
      </c>
      <c r="C133" s="26" t="inlineStr">
        <is>
          <t>162</t>
        </is>
      </c>
      <c r="D133" s="19" t="n">
        <v>38</v>
      </c>
      <c r="E133" s="27" t="n">
        <v>0.1</v>
      </c>
      <c r="F133" s="17">
        <f>D133+(D133*E133)</f>
        <v/>
      </c>
    </row>
    <row r="134">
      <c r="B134" s="25" t="inlineStr">
        <is>
          <t>JOSE ROMERO PLAZA</t>
        </is>
      </c>
      <c r="C134" s="26" t="inlineStr">
        <is>
          <t>164</t>
        </is>
      </c>
      <c r="D134" s="19" t="n">
        <v>25</v>
      </c>
      <c r="E134" s="27" t="n">
        <v>0.1</v>
      </c>
      <c r="F134" s="17">
        <f>D134+(D134*E134)</f>
        <v/>
      </c>
    </row>
    <row r="135">
      <c r="B135" s="25" t="inlineStr">
        <is>
          <t>JOSE ROMERO PLAZA</t>
        </is>
      </c>
      <c r="C135" s="26" t="inlineStr">
        <is>
          <t>166</t>
        </is>
      </c>
      <c r="D135" s="19" t="n">
        <v>48</v>
      </c>
      <c r="E135" s="27" t="n">
        <v>0.1</v>
      </c>
      <c r="F135" s="17">
        <f>D135+(D135*E135)</f>
        <v/>
      </c>
    </row>
    <row r="136">
      <c r="B136" s="25" t="inlineStr">
        <is>
          <t>JOSE ROMERO PLAZA</t>
        </is>
      </c>
      <c r="C136" s="26" t="inlineStr">
        <is>
          <t>168</t>
        </is>
      </c>
      <c r="D136" s="19" t="n">
        <v>8</v>
      </c>
      <c r="E136" s="27" t="n">
        <v>0.1</v>
      </c>
      <c r="F136" s="17">
        <f>D136+(D136*E136)</f>
        <v/>
      </c>
    </row>
    <row r="137">
      <c r="B137" s="25" t="inlineStr">
        <is>
          <t>JOSE ROMERO PLAZA</t>
        </is>
      </c>
      <c r="C137" s="26" t="inlineStr">
        <is>
          <t>172</t>
        </is>
      </c>
      <c r="D137" s="19" t="n">
        <v>42</v>
      </c>
      <c r="E137" s="27" t="n">
        <v>0.1</v>
      </c>
      <c r="F137" s="17">
        <f>D137+(D137*E137)</f>
        <v/>
      </c>
    </row>
    <row r="138">
      <c r="B138" s="25" t="inlineStr">
        <is>
          <t>JOSE ROMERO PLAZA</t>
        </is>
      </c>
      <c r="C138" s="26" t="inlineStr">
        <is>
          <t>174</t>
        </is>
      </c>
      <c r="D138" s="19" t="n">
        <v>40</v>
      </c>
      <c r="E138" s="27" t="n">
        <v>0.1</v>
      </c>
      <c r="F138" s="17">
        <f>D138+(D138*E138)</f>
        <v/>
      </c>
    </row>
    <row r="139">
      <c r="B139" s="25" t="inlineStr">
        <is>
          <t>JOSE ROMERO PLAZA</t>
        </is>
      </c>
      <c r="C139" s="26" t="inlineStr">
        <is>
          <t>176</t>
        </is>
      </c>
      <c r="D139" s="19" t="n">
        <v>20</v>
      </c>
      <c r="E139" s="27" t="n">
        <v>0.1</v>
      </c>
      <c r="F139" s="17">
        <f>D139+(D139*E139)</f>
        <v/>
      </c>
    </row>
    <row r="140">
      <c r="B140" s="25" t="inlineStr">
        <is>
          <t>JOSE ROMERO PLAZA</t>
        </is>
      </c>
      <c r="C140" s="26" t="inlineStr">
        <is>
          <t>177</t>
        </is>
      </c>
      <c r="D140" s="19" t="n">
        <v>28</v>
      </c>
      <c r="E140" s="27" t="n">
        <v>0.1</v>
      </c>
      <c r="F140" s="17">
        <f>D140+(D140*E140)</f>
        <v/>
      </c>
    </row>
    <row r="141">
      <c r="B141" s="25" t="inlineStr">
        <is>
          <t>JOSE ROMERO PLAZA</t>
        </is>
      </c>
      <c r="C141" s="26" t="inlineStr">
        <is>
          <t>178</t>
        </is>
      </c>
      <c r="D141" s="19" t="n">
        <v>38</v>
      </c>
      <c r="E141" s="27" t="n">
        <v>0.1</v>
      </c>
      <c r="F141" s="17">
        <f>D141+(D141*E141)</f>
        <v/>
      </c>
    </row>
    <row r="142">
      <c r="B142" s="25" t="inlineStr">
        <is>
          <t>JOSE ROMERO PLAZA</t>
        </is>
      </c>
      <c r="C142" s="26" t="inlineStr">
        <is>
          <t>180</t>
        </is>
      </c>
      <c r="D142" s="19" t="n">
        <v>41</v>
      </c>
      <c r="E142" s="27" t="n">
        <v>0.1</v>
      </c>
      <c r="F142" s="17">
        <f>D142+(D142*E142)</f>
        <v/>
      </c>
    </row>
    <row r="143">
      <c r="B143" s="25" t="inlineStr">
        <is>
          <t>LEVADURA MADRE</t>
        </is>
      </c>
      <c r="C143" s="26" t="inlineStr">
        <is>
          <t>T-229 8536</t>
        </is>
      </c>
      <c r="D143" s="19" t="n">
        <v>38.46</v>
      </c>
      <c r="E143" s="27" t="n">
        <v>0.04</v>
      </c>
      <c r="F143" s="17">
        <f>D143+(D143*E143)</f>
        <v/>
      </c>
    </row>
    <row r="144">
      <c r="B144" s="25" t="inlineStr">
        <is>
          <t>LEVADURA MADRE</t>
        </is>
      </c>
      <c r="C144" s="26" t="inlineStr">
        <is>
          <t>T-229 8548</t>
        </is>
      </c>
      <c r="D144" s="19" t="n">
        <v>9.619999999999999</v>
      </c>
      <c r="E144" s="27" t="n">
        <v>0.04</v>
      </c>
      <c r="F144" s="17">
        <f>D144+(D144*E144)</f>
        <v/>
      </c>
    </row>
    <row r="145">
      <c r="B145" s="25" t="inlineStr">
        <is>
          <t>LEVADURA MADRE</t>
        </is>
      </c>
      <c r="C145" s="26" t="inlineStr">
        <is>
          <t>T-229 8560</t>
        </is>
      </c>
      <c r="D145" s="19" t="n">
        <v>14.42</v>
      </c>
      <c r="E145" s="27" t="n">
        <v>0.04</v>
      </c>
      <c r="F145" s="17">
        <f>D145+(D145*E145)</f>
        <v/>
      </c>
    </row>
    <row r="146">
      <c r="B146" s="25" t="inlineStr">
        <is>
          <t>LEVADURA MADRE</t>
        </is>
      </c>
      <c r="C146" s="26" t="inlineStr">
        <is>
          <t>T-229 8568</t>
        </is>
      </c>
      <c r="D146" s="19" t="n">
        <v>19.23</v>
      </c>
      <c r="E146" s="27" t="n">
        <v>0.04</v>
      </c>
      <c r="F146" s="17">
        <f>D146+(D146*E146)</f>
        <v/>
      </c>
    </row>
    <row r="147">
      <c r="B147" s="25" t="inlineStr">
        <is>
          <t>LEVADURA MADRE</t>
        </is>
      </c>
      <c r="C147" s="26" t="inlineStr">
        <is>
          <t>T-229 8586</t>
        </is>
      </c>
      <c r="D147" s="19" t="n">
        <v>19.23</v>
      </c>
      <c r="E147" s="27" t="n">
        <v>0.04</v>
      </c>
      <c r="F147" s="17">
        <f>D147+(D147*E147)</f>
        <v/>
      </c>
    </row>
    <row r="148">
      <c r="B148" s="25" t="inlineStr">
        <is>
          <t>LEVADURA MADRE</t>
        </is>
      </c>
      <c r="C148" s="26" t="inlineStr">
        <is>
          <t>T-229 8597</t>
        </is>
      </c>
      <c r="D148" s="19" t="n">
        <v>19.23</v>
      </c>
      <c r="E148" s="27" t="n">
        <v>0.04</v>
      </c>
      <c r="F148" s="17">
        <f>D148+(D148*E148)</f>
        <v/>
      </c>
    </row>
    <row r="149">
      <c r="B149" s="25" t="inlineStr">
        <is>
          <t>LEVADURA MADRE</t>
        </is>
      </c>
      <c r="C149" s="26" t="inlineStr">
        <is>
          <t>T-229 8603</t>
        </is>
      </c>
      <c r="D149" s="19" t="n">
        <v>9.619999999999999</v>
      </c>
      <c r="E149" s="27" t="n">
        <v>0.04</v>
      </c>
      <c r="F149" s="17">
        <f>D149+(D149*E149)</f>
        <v/>
      </c>
    </row>
    <row r="150">
      <c r="B150" s="25" t="inlineStr">
        <is>
          <t>LEVADURA MADRE</t>
        </is>
      </c>
      <c r="C150" s="26" t="inlineStr">
        <is>
          <t>T-229 8618</t>
        </is>
      </c>
      <c r="D150" s="19" t="n">
        <v>14.42</v>
      </c>
      <c r="E150" s="27" t="n">
        <v>0.04</v>
      </c>
      <c r="F150" s="17">
        <f>D150+(D150*E150)</f>
        <v/>
      </c>
    </row>
    <row r="151">
      <c r="B151" s="25" t="inlineStr">
        <is>
          <t>LEVADURA MADRE</t>
        </is>
      </c>
      <c r="C151" s="26" t="inlineStr">
        <is>
          <t>T-229 8629</t>
        </is>
      </c>
      <c r="D151" s="19" t="n">
        <v>19.23</v>
      </c>
      <c r="E151" s="27" t="n">
        <v>0.04</v>
      </c>
      <c r="F151" s="17">
        <f>D151+(D151*E151)</f>
        <v/>
      </c>
    </row>
    <row r="152">
      <c r="B152" s="25" t="inlineStr">
        <is>
          <t>LEVADURA MADRE</t>
        </is>
      </c>
      <c r="C152" s="26" t="inlineStr">
        <is>
          <t>T-229 86?4 (17/09)</t>
        </is>
      </c>
      <c r="D152" s="19" t="n">
        <v>14.42</v>
      </c>
      <c r="E152" s="27" t="n">
        <v>0.04</v>
      </c>
      <c r="F152" s="17">
        <f>D152+(D152*E152)</f>
        <v/>
      </c>
    </row>
    <row r="153">
      <c r="B153" s="25" t="inlineStr">
        <is>
          <t>LEVADURA MADRE</t>
        </is>
      </c>
      <c r="C153" s="26" t="inlineStr">
        <is>
          <t>T-229 8644</t>
        </is>
      </c>
      <c r="D153" s="19" t="n">
        <v>19.23</v>
      </c>
      <c r="E153" s="27" t="n">
        <v>0.04</v>
      </c>
      <c r="F153" s="17">
        <f>D153+(D153*E153)</f>
        <v/>
      </c>
    </row>
    <row r="154">
      <c r="B154" s="25" t="inlineStr">
        <is>
          <t>LEVADURA MADRE</t>
        </is>
      </c>
      <c r="C154" s="26" t="inlineStr">
        <is>
          <t>T-229 8658</t>
        </is>
      </c>
      <c r="D154" s="19" t="n">
        <v>28.85</v>
      </c>
      <c r="E154" s="27" t="n">
        <v>0.04</v>
      </c>
      <c r="F154" s="17">
        <f>D154+(D154*E154)</f>
        <v/>
      </c>
    </row>
    <row r="155">
      <c r="B155" s="25" t="inlineStr">
        <is>
          <t>LEVADURA MADRE</t>
        </is>
      </c>
      <c r="C155" s="26" t="inlineStr">
        <is>
          <t>T-229 8670</t>
        </is>
      </c>
      <c r="D155" s="19" t="n">
        <v>14.42</v>
      </c>
      <c r="E155" s="27" t="n">
        <v>0.04</v>
      </c>
      <c r="F155" s="17">
        <f>D155+(D155*E155)</f>
        <v/>
      </c>
    </row>
    <row r="156">
      <c r="B156" s="25" t="inlineStr">
        <is>
          <t>LEVADURA MADRE</t>
        </is>
      </c>
      <c r="C156" s="26" t="inlineStr">
        <is>
          <t>T-229 867? (21/09)</t>
        </is>
      </c>
      <c r="D156" s="19" t="n">
        <v>9.619999999999999</v>
      </c>
      <c r="E156" s="27" t="n">
        <v>0.04</v>
      </c>
      <c r="F156" s="17">
        <f>D156+(D156*E156)</f>
        <v/>
      </c>
    </row>
    <row r="157">
      <c r="B157" s="25" t="inlineStr">
        <is>
          <t>LEVADURA MADRE</t>
        </is>
      </c>
      <c r="C157" s="26" t="inlineStr">
        <is>
          <t>T-229 8685</t>
        </is>
      </c>
      <c r="D157" s="19" t="n">
        <v>19.23</v>
      </c>
      <c r="E157" s="27" t="n">
        <v>0.04</v>
      </c>
      <c r="F157" s="17">
        <f>D157+(D157*E157)</f>
        <v/>
      </c>
    </row>
    <row r="158">
      <c r="B158" s="25" t="inlineStr">
        <is>
          <t>LEVADURA MADRE</t>
        </is>
      </c>
      <c r="C158" s="26" t="inlineStr">
        <is>
          <t>T-229 8696</t>
        </is>
      </c>
      <c r="D158" s="19" t="n">
        <v>19.23</v>
      </c>
      <c r="E158" s="27" t="n">
        <v>0.04</v>
      </c>
      <c r="F158" s="17">
        <f>D158+(D158*E158)</f>
        <v/>
      </c>
    </row>
    <row r="159">
      <c r="B159" s="25" t="inlineStr">
        <is>
          <t>LEVADURA MADRE</t>
        </is>
      </c>
      <c r="C159" s="26" t="inlineStr">
        <is>
          <t>T-229 8714</t>
        </is>
      </c>
      <c r="D159" s="19" t="n">
        <v>14.42</v>
      </c>
      <c r="E159" s="27" t="n">
        <v>0.04</v>
      </c>
      <c r="F159" s="17">
        <f>D159+(D159*E159)</f>
        <v/>
      </c>
    </row>
    <row r="160">
      <c r="B160" s="25" t="inlineStr">
        <is>
          <t>LEVADURA MADRE</t>
        </is>
      </c>
      <c r="C160" s="26" t="inlineStr">
        <is>
          <t>T-229 8722</t>
        </is>
      </c>
      <c r="D160" s="19" t="n">
        <v>14.42</v>
      </c>
      <c r="E160" s="27" t="n">
        <v>0.04</v>
      </c>
      <c r="F160" s="17">
        <f>D160+(D160*E160)</f>
        <v/>
      </c>
    </row>
    <row r="161">
      <c r="B161" s="25" t="inlineStr">
        <is>
          <t>LEVADURA MADRE</t>
        </is>
      </c>
      <c r="C161" s="26" t="inlineStr">
        <is>
          <t>T-229 8738</t>
        </is>
      </c>
      <c r="D161" s="19" t="n">
        <v>19.23</v>
      </c>
      <c r="E161" s="27" t="n">
        <v>0.04</v>
      </c>
      <c r="F161" s="17">
        <f>D161+(D161*E161)</f>
        <v/>
      </c>
    </row>
    <row r="162">
      <c r="B162" s="25" t="inlineStr">
        <is>
          <t>LEVADURA MADRE</t>
        </is>
      </c>
      <c r="C162" s="26" t="inlineStr">
        <is>
          <t>T-229 8749</t>
        </is>
      </c>
      <c r="D162" s="19" t="n">
        <v>19.23</v>
      </c>
      <c r="E162" s="27" t="n">
        <v>0.04</v>
      </c>
      <c r="F162" s="17">
        <f>D162+(D162*E162)</f>
        <v/>
      </c>
    </row>
    <row r="163">
      <c r="B163" s="25" t="inlineStr">
        <is>
          <t>LEVADURA MADRE</t>
        </is>
      </c>
      <c r="C163" s="26" t="inlineStr">
        <is>
          <t>T-229 8762</t>
        </is>
      </c>
      <c r="D163" s="19" t="n">
        <v>14.42</v>
      </c>
      <c r="E163" s="27" t="n">
        <v>0.04</v>
      </c>
      <c r="F163" s="17">
        <f>D163+(D163*E163)</f>
        <v/>
      </c>
    </row>
    <row r="164">
      <c r="B164" s="25" t="inlineStr">
        <is>
          <t>LEVADURA MADRE</t>
        </is>
      </c>
      <c r="C164" s="26" t="inlineStr">
        <is>
          <t>T-229 8774</t>
        </is>
      </c>
      <c r="D164" s="19" t="n">
        <v>14.42</v>
      </c>
      <c r="E164" s="27" t="n">
        <v>0.04</v>
      </c>
      <c r="F164" s="17">
        <f>D164+(D164*E164)</f>
        <v/>
      </c>
    </row>
    <row r="165">
      <c r="B165" s="25" t="inlineStr">
        <is>
          <t>LEVADURA MADRE</t>
        </is>
      </c>
      <c r="C165" s="26" t="inlineStr">
        <is>
          <t>T-229 8783</t>
        </is>
      </c>
      <c r="D165" s="19" t="n">
        <v>14.42</v>
      </c>
      <c r="E165" s="27" t="n">
        <v>0.04</v>
      </c>
      <c r="F165" s="17">
        <f>D165+(D165*E165)</f>
        <v/>
      </c>
    </row>
    <row r="166">
      <c r="B166" s="25" t="inlineStr">
        <is>
          <t>MAGOASE</t>
        </is>
      </c>
      <c r="C166" s="26" t="inlineStr">
        <is>
          <t>21.875</t>
        </is>
      </c>
      <c r="D166" s="19" t="n">
        <v>44.95</v>
      </c>
      <c r="E166" s="27" t="n">
        <v>0.1</v>
      </c>
      <c r="F166" s="17">
        <f>D166+(D166*E166)</f>
        <v/>
      </c>
    </row>
    <row r="167">
      <c r="B167" s="25" t="inlineStr">
        <is>
          <t>MAGOASE</t>
        </is>
      </c>
      <c r="C167" s="26" t="inlineStr">
        <is>
          <t>21.875</t>
        </is>
      </c>
      <c r="D167" s="19" t="n">
        <v>191.1</v>
      </c>
      <c r="E167" s="27" t="n">
        <v>0.04</v>
      </c>
      <c r="F167" s="17">
        <f>D167+(D167*E167)</f>
        <v/>
      </c>
    </row>
    <row r="168">
      <c r="B168" s="25" t="inlineStr">
        <is>
          <t>MAGOASE</t>
        </is>
      </c>
      <c r="C168" s="26" t="inlineStr">
        <is>
          <t>22.136</t>
        </is>
      </c>
      <c r="D168" s="19" t="n">
        <v>44.95</v>
      </c>
      <c r="E168" s="27" t="n">
        <v>0.1</v>
      </c>
      <c r="F168" s="17">
        <f>D168+(D168*E168)</f>
        <v/>
      </c>
    </row>
    <row r="169">
      <c r="B169" s="25" t="inlineStr">
        <is>
          <t>MAGOASE</t>
        </is>
      </c>
      <c r="C169" s="26" t="inlineStr">
        <is>
          <t>22.136</t>
        </is>
      </c>
      <c r="D169" s="19" t="n">
        <v>143.7</v>
      </c>
      <c r="E169" s="27" t="n">
        <v>0.04</v>
      </c>
      <c r="F169" s="17">
        <f>D169+(D169*E169)</f>
        <v/>
      </c>
    </row>
    <row r="170">
      <c r="B170" s="25" t="inlineStr">
        <is>
          <t>MAGOASE</t>
        </is>
      </c>
      <c r="C170" s="26" t="inlineStr">
        <is>
          <t>22.448</t>
        </is>
      </c>
      <c r="D170" s="19" t="n">
        <v>44.95</v>
      </c>
      <c r="E170" s="27" t="n">
        <v>0.1</v>
      </c>
      <c r="F170" s="17">
        <f>D170+(D170*E170)</f>
        <v/>
      </c>
    </row>
    <row r="171">
      <c r="B171" s="25" t="inlineStr">
        <is>
          <t>MAGOASE</t>
        </is>
      </c>
      <c r="C171" s="26" t="inlineStr">
        <is>
          <t>22.448</t>
        </is>
      </c>
      <c r="D171" s="19" t="n">
        <v>191.1</v>
      </c>
      <c r="E171" s="27" t="n">
        <v>0.04</v>
      </c>
      <c r="F171" s="17">
        <f>D171+(D171*E171)</f>
        <v/>
      </c>
    </row>
    <row r="172">
      <c r="B172" s="25" t="inlineStr">
        <is>
          <t>MAGOASE</t>
        </is>
      </c>
      <c r="C172" s="26" t="inlineStr">
        <is>
          <t>22.771</t>
        </is>
      </c>
      <c r="D172" s="19" t="n">
        <v>143.7</v>
      </c>
      <c r="E172" s="27" t="n">
        <v>0.04</v>
      </c>
      <c r="F172" s="17">
        <f>D172+(D172*E172)</f>
        <v/>
      </c>
    </row>
    <row r="173">
      <c r="B173" s="25" t="inlineStr">
        <is>
          <t>MAGOASE</t>
        </is>
      </c>
      <c r="C173" s="26" t="inlineStr">
        <is>
          <t>23.003</t>
        </is>
      </c>
      <c r="D173" s="19" t="n">
        <v>143.7</v>
      </c>
      <c r="E173" s="27" t="n">
        <v>0.04</v>
      </c>
      <c r="F173" s="17">
        <f>D173+(D173*E173)</f>
        <v/>
      </c>
    </row>
    <row r="174">
      <c r="B174" s="25" t="inlineStr">
        <is>
          <t>MAGOASE</t>
        </is>
      </c>
      <c r="C174" s="26" t="inlineStr">
        <is>
          <t>23.258</t>
        </is>
      </c>
      <c r="D174" s="19" t="n">
        <v>44.95</v>
      </c>
      <c r="E174" s="27" t="n">
        <v>0.1</v>
      </c>
      <c r="F174" s="17">
        <f>D174+(D174*E174)</f>
        <v/>
      </c>
    </row>
    <row r="175">
      <c r="B175" s="25" t="inlineStr">
        <is>
          <t>MAGOASE</t>
        </is>
      </c>
      <c r="C175" s="26" t="inlineStr">
        <is>
          <t>23.552</t>
        </is>
      </c>
      <c r="D175" s="19" t="n">
        <v>46.95</v>
      </c>
      <c r="E175" s="27" t="n">
        <v>0.1</v>
      </c>
      <c r="F175" s="17">
        <f>D175+(D175*E175)</f>
        <v/>
      </c>
    </row>
    <row r="176">
      <c r="B176" s="25" t="inlineStr">
        <is>
          <t>MAGOASE</t>
        </is>
      </c>
      <c r="C176" s="26" t="inlineStr">
        <is>
          <t>23.665</t>
        </is>
      </c>
      <c r="D176" s="19" t="n">
        <v>143.7</v>
      </c>
      <c r="E176" s="27" t="n">
        <v>0.04</v>
      </c>
      <c r="F176" s="17">
        <f>D176+(D176*E176)</f>
        <v/>
      </c>
    </row>
    <row r="177">
      <c r="B177" s="25" t="inlineStr">
        <is>
          <t>MAHOU</t>
        </is>
      </c>
      <c r="C177" s="26" t="inlineStr">
        <is>
          <t>10234</t>
        </is>
      </c>
      <c r="D177" s="19" t="n">
        <v>3804</v>
      </c>
      <c r="E177" s="27" t="n">
        <v>0.21</v>
      </c>
      <c r="F177" s="17">
        <f>D177+(D177*E177)</f>
        <v/>
      </c>
    </row>
    <row r="178">
      <c r="B178" s="25" t="inlineStr">
        <is>
          <t>MAHOU</t>
        </is>
      </c>
      <c r="C178" s="26" t="inlineStr">
        <is>
          <t>SO16026677</t>
        </is>
      </c>
      <c r="D178" s="19" t="n">
        <v>3936</v>
      </c>
      <c r="E178" s="27" t="n">
        <v>0.21</v>
      </c>
      <c r="F178" s="17">
        <f>D178+(D178*E178)</f>
        <v/>
      </c>
    </row>
    <row r="179">
      <c r="B179" s="25" t="inlineStr">
        <is>
          <t>MAKRO</t>
        </is>
      </c>
      <c r="C179" s="26" t="inlineStr">
        <is>
          <t>9-233672884</t>
        </is>
      </c>
      <c r="D179" s="19" t="n">
        <v>99.66</v>
      </c>
      <c r="E179" s="27" t="n">
        <v>0.04</v>
      </c>
      <c r="F179" s="17">
        <f>D179+(D179*E179)</f>
        <v/>
      </c>
    </row>
    <row r="180">
      <c r="B180" s="25" t="inlineStr">
        <is>
          <t>MAKRO</t>
        </is>
      </c>
      <c r="C180" s="26" t="inlineStr">
        <is>
          <t>9-233672884</t>
        </is>
      </c>
      <c r="D180" s="19" t="n">
        <v>102.86</v>
      </c>
      <c r="E180" s="27" t="n">
        <v>0.1</v>
      </c>
      <c r="F180" s="17">
        <f>D180+(D180*E180)</f>
        <v/>
      </c>
    </row>
    <row r="181">
      <c r="B181" s="25" t="inlineStr">
        <is>
          <t>MAKRO</t>
        </is>
      </c>
      <c r="C181" s="26" t="inlineStr">
        <is>
          <t>9-233672884</t>
        </is>
      </c>
      <c r="D181" s="19" t="n">
        <v>13.74</v>
      </c>
      <c r="E181" s="27" t="n">
        <v>0.21</v>
      </c>
      <c r="F181" s="17">
        <f>D181+(D181*E181)</f>
        <v/>
      </c>
    </row>
    <row r="182">
      <c r="B182" s="25" t="inlineStr">
        <is>
          <t>MAKRO</t>
        </is>
      </c>
      <c r="C182" s="26" t="inlineStr">
        <is>
          <t>9-234436523</t>
        </is>
      </c>
      <c r="D182" s="19" t="n">
        <v>81.97</v>
      </c>
      <c r="E182" s="27" t="n">
        <v>0.1</v>
      </c>
      <c r="F182" s="17">
        <f>D182+(D182*E182)</f>
        <v/>
      </c>
    </row>
    <row r="183">
      <c r="B183" s="25" t="inlineStr">
        <is>
          <t>MAKRO</t>
        </is>
      </c>
      <c r="C183" s="26" t="inlineStr">
        <is>
          <t>9-234436523</t>
        </is>
      </c>
      <c r="D183" s="19" t="n">
        <v>138.05</v>
      </c>
      <c r="E183" s="27" t="n">
        <v>0.04</v>
      </c>
      <c r="F183" s="17">
        <f>D183+(D183*E183)</f>
        <v/>
      </c>
    </row>
    <row r="184">
      <c r="B184" s="25" t="inlineStr">
        <is>
          <t>MAKRO</t>
        </is>
      </c>
      <c r="C184" s="26" t="inlineStr">
        <is>
          <t>9-234559144</t>
        </is>
      </c>
      <c r="D184" s="19" t="n">
        <v>227.13</v>
      </c>
      <c r="E184" s="27" t="n">
        <v>0.1</v>
      </c>
      <c r="F184" s="17">
        <f>D184+(D184*E184)</f>
        <v/>
      </c>
    </row>
    <row r="185">
      <c r="B185" s="25" t="inlineStr">
        <is>
          <t>MAKRO</t>
        </is>
      </c>
      <c r="C185" s="26" t="inlineStr">
        <is>
          <t>9-234559144</t>
        </is>
      </c>
      <c r="D185" s="19" t="n">
        <v>64.36</v>
      </c>
      <c r="E185" s="27" t="n">
        <v>0.04</v>
      </c>
      <c r="F185" s="17">
        <f>D185+(D185*E185)</f>
        <v/>
      </c>
    </row>
    <row r="186">
      <c r="B186" s="25" t="inlineStr">
        <is>
          <t>MAKRO</t>
        </is>
      </c>
      <c r="C186" s="26" t="inlineStr">
        <is>
          <t>9-234736134</t>
        </is>
      </c>
      <c r="D186" s="19" t="n">
        <v>79.8</v>
      </c>
      <c r="E186" s="27" t="n">
        <v>0.04</v>
      </c>
      <c r="F186" s="17">
        <f>D186+(D186*E186)</f>
        <v/>
      </c>
    </row>
    <row r="187">
      <c r="B187" s="25" t="inlineStr">
        <is>
          <t>MAKRO</t>
        </is>
      </c>
      <c r="C187" s="26" t="inlineStr">
        <is>
          <t>9-234736134</t>
        </is>
      </c>
      <c r="D187" s="19" t="n">
        <v>11.85</v>
      </c>
      <c r="E187" s="27" t="n">
        <v>0.1</v>
      </c>
      <c r="F187" s="17">
        <f>D187+(D187*E187)</f>
        <v/>
      </c>
    </row>
    <row r="188">
      <c r="B188" s="25" t="inlineStr">
        <is>
          <t>MAKRO</t>
        </is>
      </c>
      <c r="C188" s="26" t="inlineStr">
        <is>
          <t>9-235500908</t>
        </is>
      </c>
      <c r="D188" s="19" t="n">
        <v>140.31</v>
      </c>
      <c r="E188" s="27" t="n">
        <v>0.1</v>
      </c>
      <c r="F188" s="17">
        <f>D188+(D188*E188)</f>
        <v/>
      </c>
    </row>
    <row r="189">
      <c r="B189" s="25" t="inlineStr">
        <is>
          <t>MAKRO</t>
        </is>
      </c>
      <c r="C189" s="26" t="inlineStr">
        <is>
          <t>9-235500908</t>
        </is>
      </c>
      <c r="D189" s="19" t="n">
        <v>83.29000000000001</v>
      </c>
      <c r="E189" s="27" t="n">
        <v>0.04</v>
      </c>
      <c r="F189" s="17">
        <f>D189+(D189*E189)</f>
        <v/>
      </c>
    </row>
    <row r="190">
      <c r="B190" s="25" t="inlineStr">
        <is>
          <t>MAKRO</t>
        </is>
      </c>
      <c r="C190" s="26" t="inlineStr">
        <is>
          <t>9-235500908</t>
        </is>
      </c>
      <c r="D190" s="19" t="n">
        <v>32.28</v>
      </c>
      <c r="E190" s="27" t="n">
        <v>0.21</v>
      </c>
      <c r="F190" s="17">
        <f>D190+(D190*E190)</f>
        <v/>
      </c>
    </row>
    <row r="191">
      <c r="B191" s="25" t="inlineStr">
        <is>
          <t>MAKRO</t>
        </is>
      </c>
      <c r="C191" s="26" t="inlineStr">
        <is>
          <t>9-235585461</t>
        </is>
      </c>
      <c r="D191" s="19" t="n">
        <v>148.01</v>
      </c>
      <c r="E191" s="27" t="n">
        <v>0.1</v>
      </c>
      <c r="F191" s="17">
        <f>D191+(D191*E191)</f>
        <v/>
      </c>
    </row>
    <row r="192">
      <c r="B192" s="25" t="inlineStr">
        <is>
          <t>MAKRO</t>
        </is>
      </c>
      <c r="C192" s="26" t="inlineStr">
        <is>
          <t>9-235585461</t>
        </is>
      </c>
      <c r="D192" s="19" t="n">
        <v>85.94</v>
      </c>
      <c r="E192" s="27" t="n">
        <v>0.04</v>
      </c>
      <c r="F192" s="17">
        <f>D192+(D192*E192)</f>
        <v/>
      </c>
    </row>
    <row r="193">
      <c r="B193" s="25" t="inlineStr">
        <is>
          <t>MAKRO</t>
        </is>
      </c>
      <c r="C193" s="26" t="inlineStr">
        <is>
          <t>9-236136014</t>
        </is>
      </c>
      <c r="D193" s="19" t="n">
        <v>75.17</v>
      </c>
      <c r="E193" s="27" t="n">
        <v>0.1</v>
      </c>
      <c r="F193" s="17">
        <f>D193+(D193*E193)</f>
        <v/>
      </c>
    </row>
    <row r="194">
      <c r="B194" s="25" t="inlineStr">
        <is>
          <t>MAKRO</t>
        </is>
      </c>
      <c r="C194" s="26" t="inlineStr">
        <is>
          <t>9-236136014</t>
        </is>
      </c>
      <c r="D194" s="19" t="n">
        <v>58.82</v>
      </c>
      <c r="E194" s="27" t="n">
        <v>0.04</v>
      </c>
      <c r="F194" s="17">
        <f>D194+(D194*E194)</f>
        <v/>
      </c>
    </row>
    <row r="195">
      <c r="B195" s="25" t="inlineStr">
        <is>
          <t>MAKRO</t>
        </is>
      </c>
      <c r="C195" s="26" t="inlineStr">
        <is>
          <t>9-236476487</t>
        </is>
      </c>
      <c r="D195" s="19" t="n">
        <v>126</v>
      </c>
      <c r="E195" s="27" t="n">
        <v>0.1</v>
      </c>
      <c r="F195" s="17">
        <f>D195+(D195*E195)</f>
        <v/>
      </c>
    </row>
    <row r="196">
      <c r="B196" s="25" t="inlineStr">
        <is>
          <t>MAKRO</t>
        </is>
      </c>
      <c r="C196" s="26" t="inlineStr">
        <is>
          <t>9-236476487</t>
        </is>
      </c>
      <c r="D196" s="19" t="n">
        <v>30.5</v>
      </c>
      <c r="E196" s="27" t="n">
        <v>0.04</v>
      </c>
      <c r="F196" s="17">
        <f>D196+(D196*E196)</f>
        <v/>
      </c>
    </row>
    <row r="197">
      <c r="B197" s="25" t="inlineStr">
        <is>
          <t>MAKRO</t>
        </is>
      </c>
      <c r="C197" s="26" t="inlineStr">
        <is>
          <t>9-236591421</t>
        </is>
      </c>
      <c r="D197" s="19" t="n">
        <v>112.25</v>
      </c>
      <c r="E197" s="27" t="n">
        <v>0.04</v>
      </c>
      <c r="F197" s="17">
        <f>D197+(D197*E197)</f>
        <v/>
      </c>
    </row>
    <row r="198">
      <c r="B198" s="25" t="inlineStr">
        <is>
          <t>MAKRO</t>
        </is>
      </c>
      <c r="C198" s="26" t="inlineStr">
        <is>
          <t>9-236591421</t>
        </is>
      </c>
      <c r="D198" s="19" t="n">
        <v>3.62</v>
      </c>
      <c r="E198" s="27" t="n">
        <v>0.1</v>
      </c>
      <c r="F198" s="17">
        <f>D198+(D198*E198)</f>
        <v/>
      </c>
    </row>
    <row r="199">
      <c r="B199" s="25" t="inlineStr">
        <is>
          <t>MAKRO</t>
        </is>
      </c>
      <c r="C199" s="26" t="inlineStr">
        <is>
          <t>9-236598015</t>
        </is>
      </c>
      <c r="D199" s="19" t="n">
        <v>26.54</v>
      </c>
      <c r="E199" s="27" t="n">
        <v>0.21</v>
      </c>
      <c r="F199" s="17">
        <f>D199+(D199*E199)</f>
        <v/>
      </c>
    </row>
    <row r="200">
      <c r="B200" s="25" t="inlineStr">
        <is>
          <t>MAKRO</t>
        </is>
      </c>
      <c r="C200" s="26" t="inlineStr">
        <is>
          <t>9-236765839</t>
        </is>
      </c>
      <c r="D200" s="19" t="n">
        <v>89.95</v>
      </c>
      <c r="E200" s="27" t="n">
        <v>0.04</v>
      </c>
      <c r="F200" s="17">
        <f>D200+(D200*E200)</f>
        <v/>
      </c>
    </row>
    <row r="201">
      <c r="B201" s="25" t="inlineStr">
        <is>
          <t>MAKRO</t>
        </is>
      </c>
      <c r="C201" s="26" t="inlineStr">
        <is>
          <t>9-236765839</t>
        </is>
      </c>
      <c r="D201" s="19" t="n">
        <v>105.83</v>
      </c>
      <c r="E201" s="27" t="n">
        <v>0.1</v>
      </c>
      <c r="F201" s="17">
        <f>D201+(D201*E201)</f>
        <v/>
      </c>
    </row>
    <row r="202">
      <c r="B202" s="25" t="inlineStr">
        <is>
          <t>MAKRO</t>
        </is>
      </c>
      <c r="C202" s="26" t="inlineStr">
        <is>
          <t>9-236765839</t>
        </is>
      </c>
      <c r="D202" s="19" t="n">
        <v>13.81</v>
      </c>
      <c r="E202" s="27" t="n">
        <v>0.21</v>
      </c>
      <c r="F202" s="17">
        <f>D202+(D202*E202)</f>
        <v/>
      </c>
    </row>
    <row r="203">
      <c r="B203" s="25" t="inlineStr">
        <is>
          <t>MAKRO</t>
        </is>
      </c>
      <c r="C203" s="26" t="inlineStr">
        <is>
          <t>9-236845788</t>
        </is>
      </c>
      <c r="D203" s="19" t="n">
        <v>34.65</v>
      </c>
      <c r="E203" s="27" t="n">
        <v>0.04</v>
      </c>
      <c r="F203" s="17">
        <f>D203+(D203*E203)</f>
        <v/>
      </c>
    </row>
    <row r="204">
      <c r="B204" s="25" t="inlineStr">
        <is>
          <t>MAKRO</t>
        </is>
      </c>
      <c r="C204" s="26" t="inlineStr">
        <is>
          <t>9-236845788</t>
        </is>
      </c>
      <c r="D204" s="19" t="n">
        <v>47.01</v>
      </c>
      <c r="E204" s="27" t="n">
        <v>0.1</v>
      </c>
      <c r="F204" s="17">
        <f>D204+(D204*E204)</f>
        <v/>
      </c>
    </row>
    <row r="205">
      <c r="B205" s="25" t="inlineStr">
        <is>
          <t>MAKRO</t>
        </is>
      </c>
      <c r="C205" s="26" t="inlineStr">
        <is>
          <t>9-237553581</t>
        </is>
      </c>
      <c r="D205" s="19" t="n">
        <v>88.58</v>
      </c>
      <c r="E205" s="27" t="n">
        <v>0.1</v>
      </c>
      <c r="F205" s="17">
        <f>D205+(D205*E205)</f>
        <v/>
      </c>
    </row>
    <row r="206">
      <c r="B206" s="25" t="inlineStr">
        <is>
          <t>MAKRO</t>
        </is>
      </c>
      <c r="C206" s="26" t="inlineStr">
        <is>
          <t>9-237553581</t>
        </is>
      </c>
      <c r="D206" s="19" t="n">
        <v>75.14</v>
      </c>
      <c r="E206" s="27" t="n">
        <v>0.04</v>
      </c>
      <c r="F206" s="17">
        <f>D206+(D206*E206)</f>
        <v/>
      </c>
    </row>
    <row r="207">
      <c r="B207" s="25" t="inlineStr">
        <is>
          <t>MAKRO</t>
        </is>
      </c>
      <c r="C207" s="26" t="inlineStr">
        <is>
          <t>9-238265217</t>
        </is>
      </c>
      <c r="D207" s="19" t="n">
        <v>62.94</v>
      </c>
      <c r="E207" s="27" t="n">
        <v>0.1</v>
      </c>
      <c r="F207" s="17">
        <f>D207+(D207*E207)</f>
        <v/>
      </c>
    </row>
    <row r="208">
      <c r="B208" s="25" t="inlineStr">
        <is>
          <t>MAKRO</t>
        </is>
      </c>
      <c r="C208" s="26" t="inlineStr">
        <is>
          <t>9-238265217</t>
        </is>
      </c>
      <c r="D208" s="19" t="n">
        <v>36.23</v>
      </c>
      <c r="E208" s="27" t="n">
        <v>0.04</v>
      </c>
      <c r="F208" s="17">
        <f>D208+(D208*E208)</f>
        <v/>
      </c>
    </row>
    <row r="209">
      <c r="B209" s="25" t="inlineStr">
        <is>
          <t>MAKRO</t>
        </is>
      </c>
      <c r="C209" s="26" t="inlineStr">
        <is>
          <t>9-238265217</t>
        </is>
      </c>
      <c r="D209" s="19" t="n">
        <v>18.47</v>
      </c>
      <c r="E209" s="27" t="n">
        <v>0.21</v>
      </c>
      <c r="F209" s="17">
        <f>D209+(D209*E209)</f>
        <v/>
      </c>
    </row>
    <row r="210">
      <c r="B210" s="25" t="inlineStr">
        <is>
          <t>MAKRO</t>
        </is>
      </c>
      <c r="C210" s="26" t="inlineStr">
        <is>
          <t>9-241215399</t>
        </is>
      </c>
      <c r="D210" s="19" t="n">
        <v>865.4400000000001</v>
      </c>
      <c r="E210" s="27" t="n">
        <v>0.1</v>
      </c>
      <c r="F210" s="17">
        <f>D210+(D210*E210)</f>
        <v/>
      </c>
    </row>
    <row r="211">
      <c r="B211" s="25" t="inlineStr">
        <is>
          <t>MAKRO</t>
        </is>
      </c>
      <c r="C211" s="26" t="inlineStr">
        <is>
          <t>9-241215399</t>
        </is>
      </c>
      <c r="D211" s="19" t="n">
        <v>108.42</v>
      </c>
      <c r="E211" s="27" t="n">
        <v>0.04</v>
      </c>
      <c r="F211" s="17">
        <f>D211+(D211*E211)</f>
        <v/>
      </c>
    </row>
    <row r="212">
      <c r="B212" s="25" t="inlineStr">
        <is>
          <t>MAKRO</t>
        </is>
      </c>
      <c r="C212" s="26" t="inlineStr">
        <is>
          <t>9-241215399</t>
        </is>
      </c>
      <c r="D212" s="19" t="n">
        <v>37.71</v>
      </c>
      <c r="E212" s="27" t="n">
        <v>0.21</v>
      </c>
      <c r="F212" s="17">
        <f>D212+(D212*E212)</f>
        <v/>
      </c>
    </row>
    <row r="213">
      <c r="B213" s="25" t="inlineStr">
        <is>
          <t>MAKRO</t>
        </is>
      </c>
      <c r="C213" s="26" t="inlineStr">
        <is>
          <t>9-242017778</t>
        </is>
      </c>
      <c r="D213" s="19" t="n">
        <v>61.07</v>
      </c>
      <c r="E213" s="27" t="n">
        <v>0.04</v>
      </c>
      <c r="F213" s="17">
        <f>D213+(D213*E213)</f>
        <v/>
      </c>
    </row>
    <row r="214">
      <c r="B214" s="25" t="inlineStr">
        <is>
          <t>MAKRO</t>
        </is>
      </c>
      <c r="C214" s="26" t="inlineStr">
        <is>
          <t>9-242017778</t>
        </is>
      </c>
      <c r="D214" s="19" t="n">
        <v>5.44</v>
      </c>
      <c r="E214" s="27" t="n">
        <v>0.1</v>
      </c>
      <c r="F214" s="17">
        <f>D214+(D214*E214)</f>
        <v/>
      </c>
    </row>
    <row r="215">
      <c r="B215" s="25" t="inlineStr">
        <is>
          <t>MANUEL AMBRES</t>
        </is>
      </c>
      <c r="C215" s="26" t="inlineStr">
        <is>
          <t>26/12307</t>
        </is>
      </c>
      <c r="D215" s="19" t="n">
        <v>278</v>
      </c>
      <c r="E215" s="27" t="n">
        <v>0.1</v>
      </c>
      <c r="F215" s="17">
        <f>D215+(D215*E215)</f>
        <v/>
      </c>
    </row>
    <row r="216">
      <c r="B216" s="25" t="inlineStr">
        <is>
          <t>MANUEL AMBRES</t>
        </is>
      </c>
      <c r="C216" s="26" t="inlineStr">
        <is>
          <t>26/12750</t>
        </is>
      </c>
      <c r="D216" s="19" t="n">
        <v>147</v>
      </c>
      <c r="E216" s="27" t="n">
        <v>0.1</v>
      </c>
      <c r="F216" s="17">
        <f>D216+(D216*E216)</f>
        <v/>
      </c>
    </row>
    <row r="217">
      <c r="B217" s="25" t="inlineStr">
        <is>
          <t>MANUEL AMBRES</t>
        </is>
      </c>
      <c r="C217" s="26" t="inlineStr">
        <is>
          <t>26/12916</t>
        </is>
      </c>
      <c r="D217" s="19" t="n">
        <v>417</v>
      </c>
      <c r="E217" s="27" t="n">
        <v>0.1</v>
      </c>
      <c r="F217" s="17">
        <f>D217+(D217*E217)</f>
        <v/>
      </c>
    </row>
    <row r="218">
      <c r="B218" s="25" t="inlineStr">
        <is>
          <t>MANUEL AMBRES</t>
        </is>
      </c>
      <c r="C218" s="26" t="inlineStr">
        <is>
          <t>26/13079</t>
        </is>
      </c>
      <c r="D218" s="19" t="n">
        <v>320</v>
      </c>
      <c r="E218" s="27" t="n">
        <v>0.1</v>
      </c>
      <c r="F218" s="17">
        <f>D218+(D218*E218)</f>
        <v/>
      </c>
    </row>
    <row r="219">
      <c r="B219" s="25" t="inlineStr">
        <is>
          <t>MANUEL AMBRES</t>
        </is>
      </c>
      <c r="C219" s="26" t="inlineStr">
        <is>
          <t>26/13329</t>
        </is>
      </c>
      <c r="D219" s="19" t="n">
        <v>556</v>
      </c>
      <c r="E219" s="27" t="n">
        <v>0.1</v>
      </c>
      <c r="F219" s="17">
        <f>D219+(D219*E219)</f>
        <v/>
      </c>
    </row>
    <row r="220">
      <c r="B220" s="25" t="inlineStr">
        <is>
          <t>MANUEL AMBRES</t>
        </is>
      </c>
      <c r="C220" s="26" t="inlineStr">
        <is>
          <t>26/13640</t>
        </is>
      </c>
      <c r="D220" s="19" t="n">
        <v>147</v>
      </c>
      <c r="E220" s="27" t="n">
        <v>0.1</v>
      </c>
      <c r="F220" s="17">
        <f>D220+(D220*E220)</f>
        <v/>
      </c>
    </row>
    <row r="221">
      <c r="B221" s="25" t="inlineStr">
        <is>
          <t>MARTIN CANEDA</t>
        </is>
      </c>
      <c r="C221" s="26" t="inlineStr">
        <is>
          <t>035658</t>
        </is>
      </c>
      <c r="D221" s="19" t="n">
        <v>157.5</v>
      </c>
      <c r="E221" s="27" t="n">
        <v>0.1</v>
      </c>
      <c r="F221" s="17">
        <f>D221+(D221*E221)</f>
        <v/>
      </c>
    </row>
    <row r="222">
      <c r="B222" s="25" t="inlineStr">
        <is>
          <t>MARTIN CANEDA</t>
        </is>
      </c>
      <c r="C222" s="26" t="inlineStr">
        <is>
          <t>035684</t>
        </is>
      </c>
      <c r="D222" s="19" t="n">
        <v>349</v>
      </c>
      <c r="E222" s="27" t="n">
        <v>0.1</v>
      </c>
      <c r="F222" s="17">
        <f>D222+(D222*E222)</f>
        <v/>
      </c>
    </row>
    <row r="223">
      <c r="B223" s="25" t="inlineStr">
        <is>
          <t>MARTIN CANEDA</t>
        </is>
      </c>
      <c r="C223" s="26" t="inlineStr">
        <is>
          <t>035689</t>
        </is>
      </c>
      <c r="D223" s="19" t="n">
        <v>38.8</v>
      </c>
      <c r="E223" s="27" t="n">
        <v>0.1</v>
      </c>
      <c r="F223" s="17">
        <f>D223+(D223*E223)</f>
        <v/>
      </c>
    </row>
    <row r="224">
      <c r="B224" s="25" t="inlineStr">
        <is>
          <t>MARTIN CANEDA</t>
        </is>
      </c>
      <c r="C224" s="26" t="inlineStr">
        <is>
          <t>035757</t>
        </is>
      </c>
      <c r="D224" s="19" t="n">
        <v>244</v>
      </c>
      <c r="E224" s="27" t="n">
        <v>0.1</v>
      </c>
      <c r="F224" s="17">
        <f>D224+(D224*E224)</f>
        <v/>
      </c>
    </row>
    <row r="225">
      <c r="B225" s="25" t="inlineStr">
        <is>
          <t>MARTIN CANEDA</t>
        </is>
      </c>
      <c r="C225" s="26" t="inlineStr">
        <is>
          <t>035774</t>
        </is>
      </c>
      <c r="D225" s="19" t="n">
        <v>161</v>
      </c>
      <c r="E225" s="27" t="n">
        <v>0.1</v>
      </c>
      <c r="F225" s="17">
        <f>D225+(D225*E225)</f>
        <v/>
      </c>
    </row>
    <row r="226">
      <c r="B226" s="25" t="inlineStr">
        <is>
          <t>MARTIN CANEDA</t>
        </is>
      </c>
      <c r="C226" s="26" t="inlineStr">
        <is>
          <t>035785</t>
        </is>
      </c>
      <c r="D226" s="19" t="n">
        <v>211.9</v>
      </c>
      <c r="E226" s="27" t="n">
        <v>0.1</v>
      </c>
      <c r="F226" s="17">
        <f>D226+(D226*E226)</f>
        <v/>
      </c>
    </row>
    <row r="227">
      <c r="B227" s="25" t="inlineStr">
        <is>
          <t>MARTIN CANEDA</t>
        </is>
      </c>
      <c r="C227" s="26" t="inlineStr">
        <is>
          <t>035797</t>
        </is>
      </c>
      <c r="D227" s="19" t="n">
        <v>144</v>
      </c>
      <c r="E227" s="27" t="n">
        <v>0.1</v>
      </c>
      <c r="F227" s="17">
        <f>D227+(D227*E227)</f>
        <v/>
      </c>
    </row>
    <row r="228">
      <c r="B228" s="25" t="inlineStr">
        <is>
          <t>MARTIN CANEDA</t>
        </is>
      </c>
      <c r="C228" s="26" t="inlineStr">
        <is>
          <t>035810</t>
        </is>
      </c>
      <c r="D228" s="19" t="n">
        <v>113.5</v>
      </c>
      <c r="E228" s="27" t="n">
        <v>0.1</v>
      </c>
      <c r="F228" s="17">
        <f>D228+(D228*E228)</f>
        <v/>
      </c>
    </row>
    <row r="229">
      <c r="B229" s="25" t="inlineStr">
        <is>
          <t>MARTIN CANEDA</t>
        </is>
      </c>
      <c r="C229" s="26" t="inlineStr">
        <is>
          <t>035823</t>
        </is>
      </c>
      <c r="D229" s="19" t="n">
        <v>88</v>
      </c>
      <c r="E229" s="27" t="n">
        <v>0.1</v>
      </c>
      <c r="F229" s="17">
        <f>D229+(D229*E229)</f>
        <v/>
      </c>
    </row>
    <row r="230">
      <c r="B230" s="25" t="inlineStr">
        <is>
          <t>MARTIN CANEDA</t>
        </is>
      </c>
      <c r="C230" s="26" t="inlineStr">
        <is>
          <t>035839</t>
        </is>
      </c>
      <c r="D230" s="19" t="n">
        <v>157.5</v>
      </c>
      <c r="E230" s="27" t="n">
        <v>0.1</v>
      </c>
      <c r="F230" s="17">
        <f>D230+(D230*E230)</f>
        <v/>
      </c>
    </row>
    <row r="231">
      <c r="B231" s="25" t="inlineStr">
        <is>
          <t>MARTIN CANEDA</t>
        </is>
      </c>
      <c r="C231" s="26" t="inlineStr">
        <is>
          <t>035847</t>
        </is>
      </c>
      <c r="D231" s="19" t="n">
        <v>200</v>
      </c>
      <c r="E231" s="27" t="n">
        <v>0.1</v>
      </c>
      <c r="F231" s="17">
        <f>D231+(D231*E231)</f>
        <v/>
      </c>
    </row>
    <row r="232">
      <c r="B232" s="25" t="inlineStr">
        <is>
          <t>MARTIN CANEDA</t>
        </is>
      </c>
      <c r="C232" s="26" t="inlineStr">
        <is>
          <t>26959</t>
        </is>
      </c>
      <c r="D232" s="19" t="n">
        <v>57.5</v>
      </c>
      <c r="E232" s="27" t="n">
        <v>0.1</v>
      </c>
      <c r="F232" s="17">
        <f>D232+(D232*E232)</f>
        <v/>
      </c>
    </row>
    <row r="233">
      <c r="B233" s="25" t="inlineStr">
        <is>
          <t>MARTIN CANEDA</t>
        </is>
      </c>
      <c r="C233" s="26" t="inlineStr">
        <is>
          <t>26678</t>
        </is>
      </c>
      <c r="D233" s="19" t="n">
        <v>191.5</v>
      </c>
      <c r="E233" s="27" t="n">
        <v>0.1</v>
      </c>
      <c r="F233" s="17">
        <f>D233+(D233*E233)</f>
        <v/>
      </c>
    </row>
    <row r="234">
      <c r="B234" s="25" t="inlineStr">
        <is>
          <t>MARTIN CANEDA</t>
        </is>
      </c>
      <c r="C234" s="26" t="inlineStr">
        <is>
          <t>26985</t>
        </is>
      </c>
      <c r="D234" s="19" t="n">
        <v>162.5</v>
      </c>
      <c r="E234" s="27" t="n">
        <v>0.1</v>
      </c>
      <c r="F234" s="17">
        <f>D234+(D234*E234)</f>
        <v/>
      </c>
    </row>
    <row r="235">
      <c r="B235" s="25" t="inlineStr">
        <is>
          <t>MARTIN CANEDA</t>
        </is>
      </c>
      <c r="C235" s="26" t="inlineStr">
        <is>
          <t>33112</t>
        </is>
      </c>
      <c r="D235" s="19" t="n">
        <v>149</v>
      </c>
      <c r="E235" s="27" t="n">
        <v>0.1</v>
      </c>
      <c r="F235" s="17">
        <f>D235+(D235*E235)</f>
        <v/>
      </c>
    </row>
    <row r="236">
      <c r="B236" s="25" t="inlineStr">
        <is>
          <t>MARTIN CANEDA</t>
        </is>
      </c>
      <c r="C236" s="26" t="inlineStr">
        <is>
          <t>33121</t>
        </is>
      </c>
      <c r="D236" s="19" t="n">
        <v>113.5</v>
      </c>
      <c r="E236" s="27" t="n">
        <v>0.1</v>
      </c>
      <c r="F236" s="17">
        <f>D236+(D236*E236)</f>
        <v/>
      </c>
    </row>
    <row r="237">
      <c r="B237" s="25" t="inlineStr">
        <is>
          <t>MARTIN CANEDA</t>
        </is>
      </c>
      <c r="C237" s="26" t="inlineStr">
        <is>
          <t>33134</t>
        </is>
      </c>
      <c r="D237" s="19" t="n">
        <v>68.59999999999999</v>
      </c>
      <c r="E237" s="27" t="n">
        <v>0.1</v>
      </c>
      <c r="F237" s="17">
        <f>D237+(D237*E237)</f>
        <v/>
      </c>
    </row>
    <row r="238">
      <c r="B238" s="25" t="inlineStr">
        <is>
          <t>MARTIN CANEDA</t>
        </is>
      </c>
      <c r="C238" s="26" t="inlineStr">
        <is>
          <t>33150</t>
        </is>
      </c>
      <c r="D238" s="19" t="n">
        <v>101.5</v>
      </c>
      <c r="E238" s="27" t="n">
        <v>0.1</v>
      </c>
      <c r="F238" s="17">
        <f>D238+(D238*E238)</f>
        <v/>
      </c>
    </row>
    <row r="239">
      <c r="B239" s="25" t="inlineStr">
        <is>
          <t>MARTIN CANEDA</t>
        </is>
      </c>
      <c r="C239" s="26" t="inlineStr">
        <is>
          <t>035914</t>
        </is>
      </c>
      <c r="D239" s="19" t="n">
        <v>252.7</v>
      </c>
      <c r="E239" s="27" t="n">
        <v>0.1</v>
      </c>
      <c r="F239" s="17">
        <f>D239+(D239*E239)</f>
        <v/>
      </c>
    </row>
    <row r="240">
      <c r="B240" s="25" t="inlineStr">
        <is>
          <t>MARTIN CANEDA</t>
        </is>
      </c>
      <c r="C240" s="26" t="inlineStr">
        <is>
          <t>035926</t>
        </is>
      </c>
      <c r="D240" s="19" t="n">
        <v>100</v>
      </c>
      <c r="E240" s="27" t="n">
        <v>0.1</v>
      </c>
      <c r="F240" s="17">
        <f>D240+(D240*E240)</f>
        <v/>
      </c>
    </row>
    <row r="241">
      <c r="B241" s="25" t="inlineStr">
        <is>
          <t>MARTIN CANEDA</t>
        </is>
      </c>
      <c r="C241" s="26" t="inlineStr">
        <is>
          <t>26998</t>
        </is>
      </c>
      <c r="D241" s="19" t="n">
        <v>201.5</v>
      </c>
      <c r="E241" s="27" t="n">
        <v>0.1</v>
      </c>
      <c r="F241" s="17">
        <f>D241+(D241*E241)</f>
        <v/>
      </c>
    </row>
    <row r="242">
      <c r="B242" s="25" t="inlineStr">
        <is>
          <t>MAXXIMO (MOLLETES)</t>
        </is>
      </c>
      <c r="C242" s="26" t="inlineStr">
        <is>
          <t>s/n (08/09)</t>
        </is>
      </c>
      <c r="D242" s="19" t="n">
        <v>81</v>
      </c>
      <c r="E242" s="27" t="n">
        <v>0.04</v>
      </c>
      <c r="F242" s="17">
        <f>D242+(D242*E242)</f>
        <v/>
      </c>
    </row>
    <row r="243">
      <c r="B243" s="25" t="inlineStr">
        <is>
          <t>MAXXIMO (MOLLETES)</t>
        </is>
      </c>
      <c r="C243" s="26" t="inlineStr">
        <is>
          <t>s/n (23/09)</t>
        </is>
      </c>
      <c r="D243" s="19" t="n">
        <v>81</v>
      </c>
      <c r="E243" s="27" t="n">
        <v>0.04</v>
      </c>
      <c r="F243" s="17">
        <f>D243+(D243*E243)</f>
        <v/>
      </c>
    </row>
    <row r="244">
      <c r="B244" s="25" t="inlineStr">
        <is>
          <t>MONVA</t>
        </is>
      </c>
      <c r="C244" s="26" t="inlineStr">
        <is>
          <t>AL/5260707</t>
        </is>
      </c>
      <c r="D244" s="19" t="n">
        <v>114</v>
      </c>
      <c r="E244" s="27" t="n">
        <v>0.04</v>
      </c>
      <c r="F244" s="17">
        <f>D244+(D244*E244)</f>
        <v/>
      </c>
    </row>
    <row r="245">
      <c r="B245" s="25" t="inlineStr">
        <is>
          <t>MONVA</t>
        </is>
      </c>
      <c r="C245" s="26" t="inlineStr">
        <is>
          <t>AL/5260771</t>
        </is>
      </c>
      <c r="D245" s="19" t="n">
        <v>114</v>
      </c>
      <c r="E245" s="27" t="n">
        <v>0.04</v>
      </c>
      <c r="F245" s="17">
        <f>D245+(D245*E245)</f>
        <v/>
      </c>
    </row>
    <row r="246">
      <c r="B246" s="25" t="inlineStr">
        <is>
          <t>MUNDELA</t>
        </is>
      </c>
      <c r="C246" s="26" t="inlineStr">
        <is>
          <t>FM 3090</t>
        </is>
      </c>
      <c r="D246" s="19" t="n">
        <v>1022.58</v>
      </c>
      <c r="E246" s="27" t="n">
        <v>0.21</v>
      </c>
      <c r="F246" s="17">
        <f>D246+(D246*E246)</f>
        <v/>
      </c>
    </row>
    <row r="247">
      <c r="B247" s="25" t="inlineStr">
        <is>
          <t>MUNDELA</t>
        </is>
      </c>
      <c r="C247" s="26" t="inlineStr">
        <is>
          <t>FM 3161</t>
        </is>
      </c>
      <c r="D247" s="19" t="n">
        <v>493.2</v>
      </c>
      <c r="E247" s="27" t="n">
        <v>0.21</v>
      </c>
      <c r="F247" s="17">
        <f>D247+(D247*E247)</f>
        <v/>
      </c>
    </row>
    <row r="248">
      <c r="B248" s="25" t="inlineStr">
        <is>
          <t>MUNDELA</t>
        </is>
      </c>
      <c r="C248" s="26" t="inlineStr">
        <is>
          <t>FM 3291</t>
        </is>
      </c>
      <c r="D248" s="19" t="n">
        <v>482.34</v>
      </c>
      <c r="E248" s="27" t="n">
        <v>0.21</v>
      </c>
      <c r="F248" s="17">
        <f>D248+(D248*E248)</f>
        <v/>
      </c>
    </row>
    <row r="249">
      <c r="B249" s="25" t="inlineStr">
        <is>
          <t>MUNDELA</t>
        </is>
      </c>
      <c r="C249" s="26" t="inlineStr">
        <is>
          <t>FM 3343</t>
        </is>
      </c>
      <c r="D249" s="19" t="n">
        <v>797.46</v>
      </c>
      <c r="E249" s="27" t="n">
        <v>0.21</v>
      </c>
      <c r="F249" s="17">
        <f>D249+(D249*E249)</f>
        <v/>
      </c>
    </row>
    <row r="250">
      <c r="B250" s="25" t="inlineStr">
        <is>
          <t>MUNDELA</t>
        </is>
      </c>
      <c r="C250" s="26" t="inlineStr">
        <is>
          <t>FM 3374</t>
        </is>
      </c>
      <c r="D250" s="19" t="n">
        <v>141.24</v>
      </c>
      <c r="E250" s="27" t="n">
        <v>0.21</v>
      </c>
      <c r="F250" s="17">
        <f>D250+(D250*E250)</f>
        <v/>
      </c>
    </row>
    <row r="251">
      <c r="B251" s="25" t="inlineStr">
        <is>
          <t>PATATAS YAGO</t>
        </is>
      </c>
      <c r="C251" s="26" t="inlineStr">
        <is>
          <t>767</t>
        </is>
      </c>
      <c r="D251" s="19" t="n">
        <v>67.25</v>
      </c>
      <c r="E251" s="27" t="n">
        <v>0.04</v>
      </c>
      <c r="F251" s="17">
        <f>D251+(D251*E251)</f>
        <v/>
      </c>
    </row>
    <row r="252">
      <c r="B252" s="25" t="inlineStr">
        <is>
          <t>PATATAS YAGO</t>
        </is>
      </c>
      <c r="C252" s="26" t="inlineStr">
        <is>
          <t>784</t>
        </is>
      </c>
      <c r="D252" s="19" t="n">
        <v>89.25</v>
      </c>
      <c r="E252" s="27" t="n">
        <v>0.04</v>
      </c>
      <c r="F252" s="17">
        <f>D252+(D252*E252)</f>
        <v/>
      </c>
    </row>
    <row r="253">
      <c r="B253" s="25" t="inlineStr">
        <is>
          <t>PATATAS YAGO</t>
        </is>
      </c>
      <c r="C253" s="26" t="inlineStr">
        <is>
          <t>801</t>
        </is>
      </c>
      <c r="D253" s="19" t="n">
        <v>45.25</v>
      </c>
      <c r="E253" s="27" t="n">
        <v>0.04</v>
      </c>
      <c r="F253" s="17">
        <f>D253+(D253*E253)</f>
        <v/>
      </c>
    </row>
    <row r="254">
      <c r="B254" s="25" t="inlineStr">
        <is>
          <t>PATATAS YAGO</t>
        </is>
      </c>
      <c r="C254" s="26" t="inlineStr">
        <is>
          <t>824</t>
        </is>
      </c>
      <c r="D254" s="19" t="n">
        <v>44</v>
      </c>
      <c r="E254" s="27" t="n">
        <v>0.04</v>
      </c>
      <c r="F254" s="17">
        <f>D254+(D254*E254)</f>
        <v/>
      </c>
    </row>
    <row r="255">
      <c r="B255" s="25" t="inlineStr">
        <is>
          <t>PATATAS YAGO</t>
        </is>
      </c>
      <c r="C255" s="26" t="inlineStr">
        <is>
          <t>835</t>
        </is>
      </c>
      <c r="D255" s="19" t="n">
        <v>22</v>
      </c>
      <c r="E255" s="27" t="n">
        <v>0.04</v>
      </c>
      <c r="F255" s="17">
        <f>D255+(D255*E255)</f>
        <v/>
      </c>
    </row>
    <row r="256">
      <c r="B256" s="25" t="inlineStr">
        <is>
          <t>PATATAS YAGO</t>
        </is>
      </c>
      <c r="C256" s="26" t="inlineStr">
        <is>
          <t>845</t>
        </is>
      </c>
      <c r="D256" s="19" t="n">
        <v>22</v>
      </c>
      <c r="E256" s="27" t="n">
        <v>0.04</v>
      </c>
      <c r="F256" s="17">
        <f>D256+(D256*E256)</f>
        <v/>
      </c>
    </row>
    <row r="257">
      <c r="B257" s="25" t="inlineStr">
        <is>
          <t>PATATAS YAGO</t>
        </is>
      </c>
      <c r="C257" s="26" t="inlineStr">
        <is>
          <t>859</t>
        </is>
      </c>
      <c r="D257" s="19" t="n">
        <v>45.25</v>
      </c>
      <c r="E257" s="27" t="n">
        <v>0.04</v>
      </c>
      <c r="F257" s="17">
        <f>D257+(D257*E257)</f>
        <v/>
      </c>
    </row>
    <row r="258">
      <c r="B258" s="25" t="inlineStr">
        <is>
          <t>PATATAS YAGO</t>
        </is>
      </c>
      <c r="C258" s="26" t="inlineStr">
        <is>
          <t>876</t>
        </is>
      </c>
      <c r="D258" s="19" t="n">
        <v>22</v>
      </c>
      <c r="E258" s="27" t="n">
        <v>0.04</v>
      </c>
      <c r="F258" s="17">
        <f>D258+(D258*E258)</f>
        <v/>
      </c>
    </row>
    <row r="259">
      <c r="B259" s="25" t="inlineStr">
        <is>
          <t>PATATAS YAGO</t>
        </is>
      </c>
      <c r="C259" s="26" t="inlineStr">
        <is>
          <t>885</t>
        </is>
      </c>
      <c r="D259" s="19" t="n">
        <v>45.25</v>
      </c>
      <c r="E259" s="27" t="n">
        <v>0.04</v>
      </c>
      <c r="F259" s="17">
        <f>D259+(D259*E259)</f>
        <v/>
      </c>
    </row>
    <row r="260">
      <c r="B260" s="25" t="inlineStr">
        <is>
          <t>PATATAS YAGO</t>
        </is>
      </c>
      <c r="C260" s="26" t="inlineStr">
        <is>
          <t>898</t>
        </is>
      </c>
      <c r="D260" s="19" t="n">
        <v>22</v>
      </c>
      <c r="E260" s="27" t="n">
        <v>0.04</v>
      </c>
      <c r="F260" s="17">
        <f>D260+(D260*E260)</f>
        <v/>
      </c>
    </row>
    <row r="261">
      <c r="B261" s="25" t="inlineStr">
        <is>
          <t>PATATAS YAGO</t>
        </is>
      </c>
      <c r="C261" s="26" t="inlineStr">
        <is>
          <t>908</t>
        </is>
      </c>
      <c r="D261" s="19" t="n">
        <v>44</v>
      </c>
      <c r="E261" s="27" t="n">
        <v>0.04</v>
      </c>
      <c r="F261" s="17">
        <f>D261+(D261*E261)</f>
        <v/>
      </c>
    </row>
    <row r="262">
      <c r="B262" s="25" t="inlineStr">
        <is>
          <t>PATATAS YAGO</t>
        </is>
      </c>
      <c r="C262" s="26" t="inlineStr">
        <is>
          <t>929</t>
        </is>
      </c>
      <c r="D262" s="19" t="n">
        <v>45.25</v>
      </c>
      <c r="E262" s="27" t="n">
        <v>0.04</v>
      </c>
      <c r="F262" s="17">
        <f>D262+(D262*E262)</f>
        <v/>
      </c>
    </row>
    <row r="263">
      <c r="B263" s="25" t="inlineStr">
        <is>
          <t>PATATAS YAGO</t>
        </is>
      </c>
      <c r="C263" s="26" t="inlineStr">
        <is>
          <t>943</t>
        </is>
      </c>
      <c r="D263" s="19" t="n">
        <v>22</v>
      </c>
      <c r="E263" s="27" t="n">
        <v>0.04</v>
      </c>
      <c r="F263" s="17">
        <f>D263+(D263*E263)</f>
        <v/>
      </c>
    </row>
    <row r="264">
      <c r="B264" s="25" t="inlineStr">
        <is>
          <t>PATATAS YAGO</t>
        </is>
      </c>
      <c r="C264" s="26" t="inlineStr">
        <is>
          <t>952</t>
        </is>
      </c>
      <c r="D264" s="19" t="n">
        <v>22</v>
      </c>
      <c r="E264" s="27" t="n">
        <v>0.04</v>
      </c>
      <c r="F264" s="17">
        <f>D264+(D264*E264)</f>
        <v/>
      </c>
    </row>
    <row r="265">
      <c r="B265" s="25" t="inlineStr">
        <is>
          <t>PATATAS YAGO</t>
        </is>
      </c>
      <c r="C265" s="26" t="inlineStr">
        <is>
          <t>962</t>
        </is>
      </c>
      <c r="D265" s="19" t="n">
        <v>45.25</v>
      </c>
      <c r="E265" s="27" t="n">
        <v>0.04</v>
      </c>
      <c r="F265" s="17">
        <f>D265+(D265*E265)</f>
        <v/>
      </c>
    </row>
    <row r="266">
      <c r="B266" s="25" t="inlineStr">
        <is>
          <t>PATATAS YAGO</t>
        </is>
      </c>
      <c r="C266" s="26" t="inlineStr">
        <is>
          <t>971</t>
        </is>
      </c>
      <c r="D266" s="19" t="n">
        <v>44</v>
      </c>
      <c r="E266" s="27" t="n">
        <v>0.04</v>
      </c>
      <c r="F266" s="17">
        <f>D266+(D266*E266)</f>
        <v/>
      </c>
    </row>
    <row r="267">
      <c r="B267" s="25" t="inlineStr">
        <is>
          <t>PESCADERIA PALACIO</t>
        </is>
      </c>
      <c r="C267" s="26" t="inlineStr">
        <is>
          <t>144041</t>
        </is>
      </c>
      <c r="D267" s="19" t="n">
        <v>192</v>
      </c>
      <c r="E267" s="27" t="n">
        <v>0.1</v>
      </c>
      <c r="F267" s="17">
        <f>D267+(D267*E267)</f>
        <v/>
      </c>
    </row>
    <row r="268">
      <c r="B268" s="25" t="inlineStr">
        <is>
          <t>PESCADERIA PALACIO</t>
        </is>
      </c>
      <c r="C268" s="26" t="inlineStr">
        <is>
          <t>144434</t>
        </is>
      </c>
      <c r="D268" s="19" t="n">
        <v>297.6</v>
      </c>
      <c r="E268" s="27" t="n">
        <v>0.1</v>
      </c>
      <c r="F268" s="17">
        <f>D268+(D268*E268)</f>
        <v/>
      </c>
    </row>
    <row r="269">
      <c r="B269" s="25" t="inlineStr">
        <is>
          <t>PESCADERIA PALACIO</t>
        </is>
      </c>
      <c r="C269" s="26" t="inlineStr">
        <is>
          <t>144801</t>
        </is>
      </c>
      <c r="D269" s="19" t="n">
        <v>261.6</v>
      </c>
      <c r="E269" s="27" t="n">
        <v>0.1</v>
      </c>
      <c r="F269" s="17">
        <f>D269+(D269*E269)</f>
        <v/>
      </c>
    </row>
    <row r="270">
      <c r="B270" s="25" t="inlineStr">
        <is>
          <t>PESCADERIA PALACIO</t>
        </is>
      </c>
      <c r="C270" s="26" t="inlineStr">
        <is>
          <t>145600</t>
        </is>
      </c>
      <c r="D270" s="19" t="n">
        <v>206.4</v>
      </c>
      <c r="E270" s="27" t="n">
        <v>0.1</v>
      </c>
      <c r="F270" s="17">
        <f>D270+(D270*E270)</f>
        <v/>
      </c>
    </row>
    <row r="271">
      <c r="B271" s="25" t="inlineStr">
        <is>
          <t>PESCADERIA PALACIO</t>
        </is>
      </c>
      <c r="C271" s="26" t="inlineStr">
        <is>
          <t>146319</t>
        </is>
      </c>
      <c r="D271" s="19" t="n">
        <v>148.8</v>
      </c>
      <c r="E271" s="27" t="n">
        <v>0.1</v>
      </c>
      <c r="F271" s="17">
        <f>D271+(D271*E271)</f>
        <v/>
      </c>
    </row>
    <row r="272">
      <c r="B272" s="25" t="inlineStr">
        <is>
          <t>PESCADERIA PALACIO</t>
        </is>
      </c>
      <c r="C272" s="26" t="inlineStr">
        <is>
          <t>146774</t>
        </is>
      </c>
      <c r="D272" s="19" t="n">
        <v>192</v>
      </c>
      <c r="E272" s="27" t="n">
        <v>0.1</v>
      </c>
      <c r="F272" s="17">
        <f>D272+(D272*E272)</f>
        <v/>
      </c>
    </row>
    <row r="273">
      <c r="B273" s="25" t="inlineStr">
        <is>
          <t>PESCARUM</t>
        </is>
      </c>
      <c r="C273" s="26" t="inlineStr">
        <is>
          <t>01/09/2026</t>
        </is>
      </c>
      <c r="D273" s="19" t="n">
        <v>602.48</v>
      </c>
      <c r="E273" s="27" t="n">
        <v>0.1</v>
      </c>
      <c r="F273" s="17">
        <f>D273+(D273*E273)</f>
        <v/>
      </c>
    </row>
    <row r="274">
      <c r="B274" s="25" t="inlineStr">
        <is>
          <t>PESCARUM</t>
        </is>
      </c>
      <c r="C274" s="26" t="inlineStr">
        <is>
          <t>02/09/2026</t>
        </is>
      </c>
      <c r="D274" s="19" t="n">
        <v>60</v>
      </c>
      <c r="E274" s="27" t="n">
        <v>0.1</v>
      </c>
      <c r="F274" s="17">
        <f>D274+(D274*E274)</f>
        <v/>
      </c>
    </row>
    <row r="275">
      <c r="B275" s="25" t="inlineStr">
        <is>
          <t>PESCARUM</t>
        </is>
      </c>
      <c r="C275" s="26" t="inlineStr">
        <is>
          <t>03/09/2026</t>
        </is>
      </c>
      <c r="D275" s="19" t="n">
        <v>341.6</v>
      </c>
      <c r="E275" s="27" t="n">
        <v>0.1</v>
      </c>
      <c r="F275" s="17">
        <f>D275+(D275*E275)</f>
        <v/>
      </c>
    </row>
    <row r="276">
      <c r="B276" s="25" t="inlineStr">
        <is>
          <t>PESCARUM</t>
        </is>
      </c>
      <c r="C276" s="26" t="inlineStr">
        <is>
          <t>04/09/2026</t>
        </is>
      </c>
      <c r="D276" s="19" t="n">
        <v>831.05</v>
      </c>
      <c r="E276" s="27" t="n">
        <v>0.1</v>
      </c>
      <c r="F276" s="17">
        <f>D276+(D276*E276)</f>
        <v/>
      </c>
    </row>
    <row r="277">
      <c r="B277" s="25" t="inlineStr">
        <is>
          <t>PESCARUM</t>
        </is>
      </c>
      <c r="C277" s="26" t="inlineStr">
        <is>
          <t>s/f (tapado)</t>
        </is>
      </c>
      <c r="D277" s="19" t="n">
        <v>833.3</v>
      </c>
      <c r="E277" s="27" t="n">
        <v>0.1</v>
      </c>
      <c r="F277" s="17">
        <f>D277+(D277*E277)</f>
        <v/>
      </c>
    </row>
    <row r="278">
      <c r="B278" s="25" t="inlineStr">
        <is>
          <t>PESCARUM</t>
        </is>
      </c>
      <c r="C278" s="26" t="inlineStr">
        <is>
          <t>08/09/2026</t>
        </is>
      </c>
      <c r="D278" s="19" t="n">
        <v>787.39</v>
      </c>
      <c r="E278" s="27" t="n">
        <v>0.1</v>
      </c>
      <c r="F278" s="17">
        <f>D278+(D278*E278)</f>
        <v/>
      </c>
    </row>
    <row r="279">
      <c r="B279" s="25" t="inlineStr">
        <is>
          <t>PESCARUM</t>
        </is>
      </c>
      <c r="C279" s="26" t="inlineStr">
        <is>
          <t>09/09/2026</t>
        </is>
      </c>
      <c r="D279" s="19" t="n">
        <v>541.47</v>
      </c>
      <c r="E279" s="27" t="n">
        <v>0.1</v>
      </c>
      <c r="F279" s="17">
        <f>D279+(D279*E279)</f>
        <v/>
      </c>
    </row>
    <row r="280">
      <c r="B280" s="25" t="inlineStr">
        <is>
          <t>PESCARUM</t>
        </is>
      </c>
      <c r="C280" s="26" t="inlineStr">
        <is>
          <t>10/09/2026</t>
        </is>
      </c>
      <c r="D280" s="19" t="n">
        <v>530.37</v>
      </c>
      <c r="E280" s="27" t="n">
        <v>0.1</v>
      </c>
      <c r="F280" s="17">
        <f>D280+(D280*E280)</f>
        <v/>
      </c>
    </row>
    <row r="281">
      <c r="B281" s="25" t="inlineStr">
        <is>
          <t>PESCARUM</t>
        </is>
      </c>
      <c r="C281" s="26" t="inlineStr">
        <is>
          <t>11/09/2026</t>
        </is>
      </c>
      <c r="D281" s="19" t="n">
        <v>166.1</v>
      </c>
      <c r="E281" s="27" t="n">
        <v>0.1</v>
      </c>
      <c r="F281" s="17">
        <f>D281+(D281*E281)</f>
        <v/>
      </c>
    </row>
    <row r="282">
      <c r="B282" s="25" t="inlineStr">
        <is>
          <t>PESCARUM</t>
        </is>
      </c>
      <c r="C282" s="26" t="inlineStr">
        <is>
          <t>12/09/2026</t>
        </is>
      </c>
      <c r="D282" s="19" t="n">
        <v>303.5</v>
      </c>
      <c r="E282" s="27" t="n">
        <v>0.1</v>
      </c>
      <c r="F282" s="17">
        <f>D282+(D282*E282)</f>
        <v/>
      </c>
    </row>
    <row r="283">
      <c r="B283" s="25" t="inlineStr">
        <is>
          <t>PESCARUM</t>
        </is>
      </c>
      <c r="C283" s="26" t="inlineStr">
        <is>
          <t>15/09/2026</t>
        </is>
      </c>
      <c r="D283" s="19" t="n">
        <v>492.1</v>
      </c>
      <c r="E283" s="27" t="n">
        <v>0.1</v>
      </c>
      <c r="F283" s="17">
        <f>D283+(D283*E283)</f>
        <v/>
      </c>
    </row>
    <row r="284">
      <c r="B284" s="25" t="inlineStr">
        <is>
          <t>PESCARUM</t>
        </is>
      </c>
      <c r="C284" s="26" t="inlineStr">
        <is>
          <t>16/09/2026</t>
        </is>
      </c>
      <c r="D284" s="19" t="n">
        <v>546.13</v>
      </c>
      <c r="E284" s="27" t="n">
        <v>0.1</v>
      </c>
      <c r="F284" s="17">
        <f>D284+(D284*E284)</f>
        <v/>
      </c>
    </row>
    <row r="285">
      <c r="B285" s="25" t="inlineStr">
        <is>
          <t>PESCARUM</t>
        </is>
      </c>
      <c r="C285" s="26" t="inlineStr">
        <is>
          <t>17/09/2026</t>
        </is>
      </c>
      <c r="D285" s="19" t="n">
        <v>173</v>
      </c>
      <c r="E285" s="27" t="n">
        <v>0.1</v>
      </c>
      <c r="F285" s="17">
        <f>D285+(D285*E285)</f>
        <v/>
      </c>
    </row>
    <row r="286">
      <c r="B286" s="25" t="inlineStr">
        <is>
          <t>PESCARUM</t>
        </is>
      </c>
      <c r="C286" s="26" t="inlineStr">
        <is>
          <t>18/09/2026</t>
        </is>
      </c>
      <c r="D286" s="19" t="n">
        <v>489.2</v>
      </c>
      <c r="E286" s="27" t="n">
        <v>0.1</v>
      </c>
      <c r="F286" s="17">
        <f>D286+(D286*E286)</f>
        <v/>
      </c>
    </row>
    <row r="287">
      <c r="B287" s="25" t="inlineStr">
        <is>
          <t>PESCARUM</t>
        </is>
      </c>
      <c r="C287" s="26" t="inlineStr">
        <is>
          <t>19/09/2026</t>
        </is>
      </c>
      <c r="D287" s="19" t="n">
        <v>763.23</v>
      </c>
      <c r="E287" s="27" t="n">
        <v>0.1</v>
      </c>
      <c r="F287" s="17">
        <f>D287+(D287*E287)</f>
        <v/>
      </c>
    </row>
    <row r="288">
      <c r="B288" s="25" t="inlineStr">
        <is>
          <t>PESCARUM</t>
        </is>
      </c>
      <c r="C288" s="26" t="inlineStr">
        <is>
          <t>22/09/2026</t>
        </is>
      </c>
      <c r="D288" s="19" t="n">
        <v>532.9299999999999</v>
      </c>
      <c r="E288" s="27" t="n">
        <v>0.1</v>
      </c>
      <c r="F288" s="17">
        <f>D288+(D288*E288)</f>
        <v/>
      </c>
    </row>
    <row r="289">
      <c r="B289" s="25" t="inlineStr">
        <is>
          <t>PESCARUM</t>
        </is>
      </c>
      <c r="C289" s="26" t="inlineStr">
        <is>
          <t>23/09/2026</t>
        </is>
      </c>
      <c r="D289" s="19" t="n">
        <v>441.24</v>
      </c>
      <c r="E289" s="27" t="n">
        <v>0.1</v>
      </c>
      <c r="F289" s="17">
        <f>D289+(D289*E289)</f>
        <v/>
      </c>
    </row>
    <row r="290">
      <c r="B290" s="25" t="inlineStr">
        <is>
          <t>PESCARUM</t>
        </is>
      </c>
      <c r="C290" s="26" t="inlineStr">
        <is>
          <t>24/09/2026</t>
        </is>
      </c>
      <c r="D290" s="19" t="n">
        <v>207</v>
      </c>
      <c r="E290" s="27" t="n">
        <v>0.1</v>
      </c>
      <c r="F290" s="17">
        <f>D290+(D290*E290)</f>
        <v/>
      </c>
    </row>
    <row r="291">
      <c r="B291" s="25" t="inlineStr">
        <is>
          <t>PESCARUM</t>
        </is>
      </c>
      <c r="C291" s="26" t="inlineStr">
        <is>
          <t>25/09/2026</t>
        </is>
      </c>
      <c r="D291" s="19" t="n">
        <v>404.6</v>
      </c>
      <c r="E291" s="27" t="n">
        <v>0.1</v>
      </c>
      <c r="F291" s="17">
        <f>D291+(D291*E291)</f>
        <v/>
      </c>
    </row>
    <row r="292">
      <c r="B292" s="25" t="inlineStr">
        <is>
          <t>PESCARUM</t>
        </is>
      </c>
      <c r="C292" s="26" t="inlineStr">
        <is>
          <t>26/09/2026</t>
        </is>
      </c>
      <c r="D292" s="19" t="n">
        <v>896.8200000000001</v>
      </c>
      <c r="E292" s="27" t="n">
        <v>0.1</v>
      </c>
      <c r="F292" s="17">
        <f>D292+(D292*E292)</f>
        <v/>
      </c>
    </row>
    <row r="293">
      <c r="B293" s="25" t="inlineStr">
        <is>
          <t>PESCARUM</t>
        </is>
      </c>
      <c r="C293" s="26" t="inlineStr">
        <is>
          <t>29/09/2026</t>
        </is>
      </c>
      <c r="D293" s="19" t="n">
        <v>362.05</v>
      </c>
      <c r="E293" s="27" t="n">
        <v>0.1</v>
      </c>
      <c r="F293" s="17">
        <f>D293+(D293*E293)</f>
        <v/>
      </c>
    </row>
    <row r="294">
      <c r="B294" s="25" t="inlineStr">
        <is>
          <t>PEÑALASTALLAS</t>
        </is>
      </c>
      <c r="C294" s="26" t="inlineStr">
        <is>
          <t>12377</t>
        </is>
      </c>
      <c r="D294" s="19" t="n">
        <v>301.64</v>
      </c>
      <c r="E294" s="27" t="n">
        <v>0.1</v>
      </c>
      <c r="F294" s="17">
        <f>D294+(D294*E294)</f>
        <v/>
      </c>
    </row>
    <row r="295">
      <c r="B295" s="25" t="inlineStr">
        <is>
          <t>PEÑALASTALLAS</t>
        </is>
      </c>
      <c r="C295" s="26" t="inlineStr">
        <is>
          <t>12416</t>
        </is>
      </c>
      <c r="D295" s="19" t="n">
        <v>246.23</v>
      </c>
      <c r="E295" s="27" t="n">
        <v>0.1</v>
      </c>
      <c r="F295" s="17">
        <f>D295+(D295*E295)</f>
        <v/>
      </c>
    </row>
    <row r="296">
      <c r="B296" s="25" t="inlineStr">
        <is>
          <t>PEÑALASTALLAS</t>
        </is>
      </c>
      <c r="C296" s="26" t="inlineStr">
        <is>
          <t>12460</t>
        </is>
      </c>
      <c r="D296" s="19" t="n">
        <v>203.17</v>
      </c>
      <c r="E296" s="27" t="n">
        <v>0.1</v>
      </c>
      <c r="F296" s="17">
        <f>D296+(D296*E296)</f>
        <v/>
      </c>
    </row>
    <row r="297">
      <c r="B297" s="25" t="inlineStr">
        <is>
          <t>PEÑALASTALLAS</t>
        </is>
      </c>
      <c r="C297" s="26" t="inlineStr">
        <is>
          <t>12484</t>
        </is>
      </c>
      <c r="D297" s="19" t="n">
        <v>210.29</v>
      </c>
      <c r="E297" s="27" t="n">
        <v>0.1</v>
      </c>
      <c r="F297" s="17">
        <f>D297+(D297*E297)</f>
        <v/>
      </c>
    </row>
    <row r="298">
      <c r="B298" s="25" t="inlineStr">
        <is>
          <t>PEÑALASTALLAS</t>
        </is>
      </c>
      <c r="C298" s="26" t="inlineStr">
        <is>
          <t>12521</t>
        </is>
      </c>
      <c r="D298" s="19" t="n">
        <v>55</v>
      </c>
      <c r="E298" s="27" t="n">
        <v>0.1</v>
      </c>
      <c r="F298" s="17">
        <f>D298+(D298*E298)</f>
        <v/>
      </c>
    </row>
    <row r="299">
      <c r="B299" s="25" t="inlineStr">
        <is>
          <t>PEÑALASTALLAS</t>
        </is>
      </c>
      <c r="C299" s="26" t="inlineStr">
        <is>
          <t>12558</t>
        </is>
      </c>
      <c r="D299" s="19" t="n">
        <v>215.05</v>
      </c>
      <c r="E299" s="27" t="n">
        <v>0.1</v>
      </c>
      <c r="F299" s="17">
        <f>D299+(D299*E299)</f>
        <v/>
      </c>
    </row>
    <row r="300">
      <c r="B300" s="25" t="inlineStr">
        <is>
          <t>PEÑALASTALLAS</t>
        </is>
      </c>
      <c r="C300" s="26" t="inlineStr">
        <is>
          <t>12600</t>
        </is>
      </c>
      <c r="D300" s="19" t="n">
        <v>219.85</v>
      </c>
      <c r="E300" s="27" t="n">
        <v>0.1</v>
      </c>
      <c r="F300" s="17">
        <f>D300+(D300*E300)</f>
        <v/>
      </c>
    </row>
    <row r="301">
      <c r="B301" s="25" t="inlineStr">
        <is>
          <t>PEÑALASTALLAS</t>
        </is>
      </c>
      <c r="C301" s="26" t="inlineStr">
        <is>
          <t>12631</t>
        </is>
      </c>
      <c r="D301" s="19" t="n">
        <v>218.87</v>
      </c>
      <c r="E301" s="27" t="n">
        <v>0.1</v>
      </c>
      <c r="F301" s="17">
        <f>D301+(D301*E301)</f>
        <v/>
      </c>
    </row>
    <row r="302">
      <c r="B302" s="25" t="inlineStr">
        <is>
          <t>PEÑALASTALLAS</t>
        </is>
      </c>
      <c r="C302" s="26" t="inlineStr">
        <is>
          <t>12670</t>
        </is>
      </c>
      <c r="D302" s="19" t="n">
        <v>291.02</v>
      </c>
      <c r="E302" s="27" t="n">
        <v>0.1</v>
      </c>
      <c r="F302" s="17">
        <f>D302+(D302*E302)</f>
        <v/>
      </c>
    </row>
    <row r="303">
      <c r="B303" s="25" t="inlineStr">
        <is>
          <t>REGERE AOVE</t>
        </is>
      </c>
      <c r="C303" s="26" t="inlineStr">
        <is>
          <t>1/000040</t>
        </is>
      </c>
      <c r="D303" s="19" t="n">
        <v>276</v>
      </c>
      <c r="E303" s="27" t="n">
        <v>0.04</v>
      </c>
      <c r="F303" s="17">
        <f>D303+(D303*E303)</f>
        <v/>
      </c>
    </row>
    <row r="304">
      <c r="B304" s="25" t="inlineStr">
        <is>
          <t>REGERE AOVE</t>
        </is>
      </c>
      <c r="C304" s="26" t="inlineStr">
        <is>
          <t>1/000041</t>
        </is>
      </c>
      <c r="D304" s="19" t="n">
        <v>414</v>
      </c>
      <c r="E304" s="27" t="n">
        <v>0.04</v>
      </c>
      <c r="F304" s="17">
        <f>D304+(D304*E304)</f>
        <v/>
      </c>
    </row>
    <row r="305">
      <c r="B305" s="25" t="inlineStr">
        <is>
          <t>ROMERO ALVAREZ</t>
        </is>
      </c>
      <c r="C305" s="26" t="inlineStr">
        <is>
          <t>SEC 518</t>
        </is>
      </c>
      <c r="D305" s="19" t="n">
        <v>36</v>
      </c>
      <c r="E305" s="27" t="n">
        <v>0.21</v>
      </c>
      <c r="F305" s="17">
        <f>D305+(D305*E305)</f>
        <v/>
      </c>
    </row>
    <row r="306">
      <c r="B306" s="25" t="inlineStr">
        <is>
          <t>ROMERO ALVAREZ</t>
        </is>
      </c>
      <c r="C306" s="26" t="inlineStr">
        <is>
          <t>SEC 518</t>
        </is>
      </c>
      <c r="D306" s="19" t="n">
        <v>402.19</v>
      </c>
      <c r="E306" s="27" t="n">
        <v>0.1</v>
      </c>
      <c r="F306" s="17">
        <f>D306+(D306*E306)</f>
        <v/>
      </c>
    </row>
    <row r="307">
      <c r="B307" s="25" t="inlineStr">
        <is>
          <t>ROMERO ALVAREZ</t>
        </is>
      </c>
      <c r="C307" s="26" t="inlineStr">
        <is>
          <t>SEC 877</t>
        </is>
      </c>
      <c r="D307" s="19" t="n">
        <v>36</v>
      </c>
      <c r="E307" s="27" t="n">
        <v>0.21</v>
      </c>
      <c r="F307" s="17">
        <f>D307+(D307*E307)</f>
        <v/>
      </c>
    </row>
    <row r="308">
      <c r="B308" s="25" t="inlineStr">
        <is>
          <t>ROMERO ALVAREZ</t>
        </is>
      </c>
      <c r="C308" s="26" t="inlineStr">
        <is>
          <t>SEC 877</t>
        </is>
      </c>
      <c r="D308" s="19" t="n">
        <v>570.53</v>
      </c>
      <c r="E308" s="27" t="n">
        <v>0.1</v>
      </c>
      <c r="F308" s="17">
        <f>D308+(D308*E308)</f>
        <v/>
      </c>
    </row>
    <row r="309">
      <c r="B309" s="25" t="inlineStr">
        <is>
          <t>SENSORVISION</t>
        </is>
      </c>
      <c r="C309" s="26" t="inlineStr">
        <is>
          <t>01195</t>
        </is>
      </c>
      <c r="D309" s="19" t="n">
        <v>98</v>
      </c>
      <c r="E309" s="27" t="n">
        <v>0.21</v>
      </c>
      <c r="F309" s="17">
        <f>D309+(D309*E309)</f>
        <v/>
      </c>
    </row>
    <row r="310">
      <c r="B310" s="25" t="inlineStr">
        <is>
          <t>SUBMARINER</t>
        </is>
      </c>
      <c r="C310" s="26" t="inlineStr">
        <is>
          <t>SF 9684</t>
        </is>
      </c>
      <c r="D310" s="19" t="n">
        <v>715.48</v>
      </c>
      <c r="E310" s="27" t="n">
        <v>0.21</v>
      </c>
      <c r="F310" s="17">
        <f>D310+(D310*E310)</f>
        <v/>
      </c>
    </row>
    <row r="311">
      <c r="B311" s="25" t="inlineStr">
        <is>
          <t>SUBMARINER</t>
        </is>
      </c>
      <c r="C311" s="26" t="inlineStr">
        <is>
          <t>SF 10093</t>
        </is>
      </c>
      <c r="D311" s="19" t="n">
        <v>219.51</v>
      </c>
      <c r="E311" s="27" t="n">
        <v>0.21</v>
      </c>
      <c r="F311" s="17">
        <f>D311+(D311*E311)</f>
        <v/>
      </c>
    </row>
    <row r="312">
      <c r="B312" s="25" t="inlineStr">
        <is>
          <t>SUBMARINER</t>
        </is>
      </c>
      <c r="C312" s="26" t="inlineStr">
        <is>
          <t>SF 10143</t>
        </is>
      </c>
      <c r="D312" s="19" t="n">
        <v>129.96</v>
      </c>
      <c r="E312" s="27" t="n">
        <v>0.21</v>
      </c>
      <c r="F312" s="17">
        <f>D312+(D312*E312)</f>
        <v/>
      </c>
    </row>
    <row r="313">
      <c r="B313" s="25" t="inlineStr">
        <is>
          <t>SUBMARINER</t>
        </is>
      </c>
      <c r="C313" s="26" t="inlineStr">
        <is>
          <t>SF 10339</t>
        </is>
      </c>
      <c r="D313" s="19" t="n">
        <v>613.1799999999999</v>
      </c>
      <c r="E313" s="27" t="n">
        <v>0.21</v>
      </c>
      <c r="F313" s="17">
        <f>D313+(D313*E313)</f>
        <v/>
      </c>
    </row>
    <row r="314">
      <c r="B314" s="25" t="inlineStr">
        <is>
          <t>TOMATERIA DE CEA</t>
        </is>
      </c>
      <c r="C314" s="26" t="inlineStr">
        <is>
          <t>01/09/2026</t>
        </is>
      </c>
      <c r="D314" s="19" t="n">
        <v>39.65</v>
      </c>
      <c r="E314" s="27" t="n">
        <v>0.04</v>
      </c>
      <c r="F314" s="17">
        <f>D314+(D314*E314)</f>
        <v/>
      </c>
    </row>
    <row r="315">
      <c r="B315" s="25" t="inlineStr">
        <is>
          <t>TOMATERIA DE CEA</t>
        </is>
      </c>
      <c r="C315" s="26" t="inlineStr">
        <is>
          <t>04/09/2026</t>
        </is>
      </c>
      <c r="D315" s="19" t="n">
        <v>52.65</v>
      </c>
      <c r="E315" s="27" t="n">
        <v>0.04</v>
      </c>
      <c r="F315" s="17">
        <f>D315+(D315*E315)</f>
        <v/>
      </c>
    </row>
    <row r="316">
      <c r="B316" s="25" t="inlineStr">
        <is>
          <t>TOMATERIA DE CEA</t>
        </is>
      </c>
      <c r="C316" s="26" t="inlineStr">
        <is>
          <t>05/09/2026</t>
        </is>
      </c>
      <c r="D316" s="19" t="n">
        <v>40.95</v>
      </c>
      <c r="E316" s="27" t="n">
        <v>0.04</v>
      </c>
      <c r="F316" s="17">
        <f>D316+(D316*E316)</f>
        <v/>
      </c>
    </row>
    <row r="317">
      <c r="B317" s="25" t="inlineStr">
        <is>
          <t>TOMATERIA DE CEA</t>
        </is>
      </c>
      <c r="C317" s="26" t="inlineStr">
        <is>
          <t>08/09/2026</t>
        </is>
      </c>
      <c r="D317" s="19" t="n">
        <v>45.5</v>
      </c>
      <c r="E317" s="27" t="n">
        <v>0.04</v>
      </c>
      <c r="F317" s="17">
        <f>D317+(D317*E317)</f>
        <v/>
      </c>
    </row>
    <row r="318">
      <c r="B318" s="25" t="inlineStr">
        <is>
          <t>TOMATERIA DE CEA</t>
        </is>
      </c>
      <c r="C318" s="26" t="inlineStr">
        <is>
          <t>10/09/2026</t>
        </is>
      </c>
      <c r="D318" s="19" t="n">
        <v>40.3</v>
      </c>
      <c r="E318" s="27" t="n">
        <v>0.04</v>
      </c>
      <c r="F318" s="17">
        <f>D318+(D318*E318)</f>
        <v/>
      </c>
    </row>
    <row r="319">
      <c r="B319" s="25" t="inlineStr">
        <is>
          <t>TOMATERIA DE CEA</t>
        </is>
      </c>
      <c r="C319" s="26" t="inlineStr">
        <is>
          <t>11/09/2026</t>
        </is>
      </c>
      <c r="D319" s="19" t="n">
        <v>40.3</v>
      </c>
      <c r="E319" s="27" t="n">
        <v>0.04</v>
      </c>
      <c r="F319" s="17">
        <f>D319+(D319*E319)</f>
        <v/>
      </c>
    </row>
    <row r="320">
      <c r="B320" s="25" t="inlineStr">
        <is>
          <t>TOMATERIA DE CEA</t>
        </is>
      </c>
      <c r="C320" s="26" t="inlineStr">
        <is>
          <t>12/09/2026</t>
        </is>
      </c>
      <c r="D320" s="19" t="n">
        <v>42.9</v>
      </c>
      <c r="E320" s="27" t="n">
        <v>0.04</v>
      </c>
      <c r="F320" s="17">
        <f>D320+(D320*E320)</f>
        <v/>
      </c>
    </row>
    <row r="321">
      <c r="B321" s="25" t="inlineStr">
        <is>
          <t>TOMATERIA DE CEA</t>
        </is>
      </c>
      <c r="C321" s="26" t="inlineStr">
        <is>
          <t>16/09/2026</t>
        </is>
      </c>
      <c r="D321" s="19" t="n">
        <v>40.3</v>
      </c>
      <c r="E321" s="27" t="n">
        <v>0.04</v>
      </c>
      <c r="F321" s="17">
        <f>D321+(D321*E321)</f>
        <v/>
      </c>
    </row>
    <row r="322">
      <c r="B322" s="25" t="inlineStr">
        <is>
          <t>TOMATERIA DE CEA</t>
        </is>
      </c>
      <c r="C322" s="26" t="inlineStr">
        <is>
          <t>17/09/2026</t>
        </is>
      </c>
      <c r="D322" s="19" t="n">
        <v>40.3</v>
      </c>
      <c r="E322" s="27" t="n">
        <v>0.04</v>
      </c>
      <c r="F322" s="17">
        <f>D322+(D322*E322)</f>
        <v/>
      </c>
    </row>
    <row r="323">
      <c r="B323" s="25" t="inlineStr">
        <is>
          <t>TOMATERIA DE CEA</t>
        </is>
      </c>
      <c r="C323" s="26" t="inlineStr">
        <is>
          <t>18/09/2026</t>
        </is>
      </c>
      <c r="D323" s="19" t="n">
        <v>42.9</v>
      </c>
      <c r="E323" s="27" t="n">
        <v>0.04</v>
      </c>
      <c r="F323" s="17">
        <f>D323+(D323*E323)</f>
        <v/>
      </c>
    </row>
    <row r="324">
      <c r="B324" s="25" t="inlineStr">
        <is>
          <t>TOMATERIA DE CEA</t>
        </is>
      </c>
      <c r="C324" s="26" t="inlineStr">
        <is>
          <t>19/09/2026</t>
        </is>
      </c>
      <c r="D324" s="19" t="n">
        <v>66.3</v>
      </c>
      <c r="E324" s="27" t="n">
        <v>0.04</v>
      </c>
      <c r="F324" s="17">
        <f>D324+(D324*E324)</f>
        <v/>
      </c>
    </row>
    <row r="325">
      <c r="B325" s="25" t="inlineStr">
        <is>
          <t>TOMATERIA DE CEA</t>
        </is>
      </c>
      <c r="C325" s="26" t="inlineStr">
        <is>
          <t>21/09/2026</t>
        </is>
      </c>
      <c r="D325" s="19" t="n">
        <v>40.95</v>
      </c>
      <c r="E325" s="27" t="n">
        <v>0.04</v>
      </c>
      <c r="F325" s="17">
        <f>D325+(D325*E325)</f>
        <v/>
      </c>
    </row>
    <row r="326">
      <c r="B326" s="25" t="inlineStr">
        <is>
          <t>TOMATERIA DE CEA</t>
        </is>
      </c>
      <c r="C326" s="26" t="inlineStr">
        <is>
          <t>22/09/2026</t>
        </is>
      </c>
      <c r="D326" s="19" t="n">
        <v>39</v>
      </c>
      <c r="E326" s="27" t="n">
        <v>0.04</v>
      </c>
      <c r="F326" s="17">
        <f>D326+(D326*E326)</f>
        <v/>
      </c>
    </row>
    <row r="327">
      <c r="B327" s="25" t="inlineStr">
        <is>
          <t>TOMATERIA DE CEA</t>
        </is>
      </c>
      <c r="C327" s="26" t="inlineStr">
        <is>
          <t>26/09/2026</t>
        </is>
      </c>
      <c r="D327" s="19" t="n">
        <v>82.55</v>
      </c>
      <c r="E327" s="27" t="n">
        <v>0.04</v>
      </c>
      <c r="F327" s="17">
        <f>D327+(D327*E327)</f>
        <v/>
      </c>
    </row>
    <row r="328">
      <c r="B328" s="25" t="inlineStr">
        <is>
          <t>TOMATERIA DE CEA</t>
        </is>
      </c>
      <c r="C328" s="26" t="inlineStr">
        <is>
          <t>28/09/2026</t>
        </is>
      </c>
      <c r="D328" s="19" t="n">
        <v>40.3</v>
      </c>
      <c r="E328" s="27" t="n">
        <v>0.04</v>
      </c>
      <c r="F328" s="17">
        <f>D328+(D328*E328)</f>
        <v/>
      </c>
    </row>
    <row r="329">
      <c r="B329" s="25" t="inlineStr">
        <is>
          <t>TOMATERIA DE CEA</t>
        </is>
      </c>
      <c r="C329" s="26" t="inlineStr">
        <is>
          <t>30/09/2026</t>
        </is>
      </c>
      <c r="D329" s="19" t="n">
        <v>53.3</v>
      </c>
      <c r="E329" s="27" t="n">
        <v>0.04</v>
      </c>
      <c r="F329" s="17">
        <f>D329+(D329*E329)</f>
        <v/>
      </c>
    </row>
    <row r="330">
      <c r="B330" s="25" t="inlineStr">
        <is>
          <t>VENERO CLARO</t>
        </is>
      </c>
      <c r="C330" s="26" t="inlineStr">
        <is>
          <t>26VC-2005</t>
        </is>
      </c>
      <c r="D330" s="19" t="n">
        <v>287.3</v>
      </c>
      <c r="E330" s="27" t="n">
        <v>0.1</v>
      </c>
      <c r="F330" s="17">
        <f>D330+(D330*E330)</f>
        <v/>
      </c>
    </row>
    <row r="331">
      <c r="B331" s="25" t="inlineStr">
        <is>
          <t>VENERO CLARO</t>
        </is>
      </c>
      <c r="C331" s="26" t="inlineStr">
        <is>
          <t>26VC-2175</t>
        </is>
      </c>
      <c r="D331" s="19" t="n">
        <v>274.3</v>
      </c>
      <c r="E331" s="27" t="n">
        <v>0.1</v>
      </c>
      <c r="F331" s="17">
        <f>D331+(D331*E331)</f>
        <v/>
      </c>
    </row>
    <row r="332">
      <c r="B332" s="25" t="inlineStr">
        <is>
          <t>VENERO CLARO</t>
        </is>
      </c>
      <c r="C332" s="26" t="inlineStr">
        <is>
          <t>26VC-2279</t>
        </is>
      </c>
      <c r="D332" s="19" t="n">
        <v>394.16</v>
      </c>
      <c r="E332" s="27" t="n">
        <v>0.1</v>
      </c>
      <c r="F332" s="17">
        <f>D332+(D332*E332)</f>
        <v/>
      </c>
    </row>
    <row r="333">
      <c r="B333" s="25" t="inlineStr">
        <is>
          <t>VINS DES DIEUX</t>
        </is>
      </c>
      <c r="C333" s="26" t="inlineStr">
        <is>
          <t>A262984</t>
        </is>
      </c>
      <c r="D333" s="19" t="n">
        <v>527.72</v>
      </c>
      <c r="E333" s="27" t="n">
        <v>0.21</v>
      </c>
      <c r="F333" s="17">
        <f>D333+(D333*E333)</f>
        <v/>
      </c>
    </row>
    <row r="334">
      <c r="B334" s="25" t="inlineStr">
        <is>
          <t>VOLDIS</t>
        </is>
      </c>
      <c r="C334" s="26" t="inlineStr">
        <is>
          <t>AP26-030095</t>
        </is>
      </c>
      <c r="D334" s="19" t="n">
        <v>164.26</v>
      </c>
      <c r="E334" s="27" t="n">
        <v>0.1</v>
      </c>
      <c r="F334" s="17">
        <f>D334+(D334*E334)</f>
        <v/>
      </c>
    </row>
    <row r="335">
      <c r="B335" s="25" t="inlineStr">
        <is>
          <t>VOLDIS</t>
        </is>
      </c>
      <c r="C335" s="26" t="inlineStr">
        <is>
          <t>AP26-030095</t>
        </is>
      </c>
      <c r="D335" s="19" t="n">
        <v>1085.51</v>
      </c>
      <c r="E335" s="27" t="n">
        <v>0.21</v>
      </c>
      <c r="F335" s="17">
        <f>D335+(D335*E335)</f>
        <v/>
      </c>
    </row>
    <row r="336">
      <c r="B336" s="25" t="inlineStr">
        <is>
          <t>VOLDIS</t>
        </is>
      </c>
      <c r="C336" s="26" t="inlineStr">
        <is>
          <t>AP26-030104 (ABONO)</t>
        </is>
      </c>
      <c r="D336" s="19" t="n">
        <v>-30</v>
      </c>
      <c r="E336" s="27" t="n">
        <v>0.21</v>
      </c>
      <c r="F336" s="17">
        <f>D336+(D336*E336)</f>
        <v/>
      </c>
    </row>
    <row r="337">
      <c r="B337" s="25" t="inlineStr">
        <is>
          <t>VOLDIS</t>
        </is>
      </c>
      <c r="C337" s="26" t="inlineStr">
        <is>
          <t>AP26-030112</t>
        </is>
      </c>
      <c r="D337" s="19" t="n">
        <v>98.44</v>
      </c>
      <c r="E337" s="27" t="n">
        <v>0.21</v>
      </c>
      <c r="F337" s="17">
        <f>D337+(D337*E337)</f>
        <v/>
      </c>
    </row>
    <row r="338">
      <c r="B338" s="25" t="inlineStr">
        <is>
          <t>VOLDIS</t>
        </is>
      </c>
      <c r="C338" s="26" t="inlineStr">
        <is>
          <t>AP26-030577</t>
        </is>
      </c>
      <c r="D338" s="19" t="n">
        <v>140.8</v>
      </c>
      <c r="E338" s="27" t="n">
        <v>0.1</v>
      </c>
      <c r="F338" s="17">
        <f>D338+(D338*E338)</f>
        <v/>
      </c>
    </row>
    <row r="339">
      <c r="B339" s="25" t="inlineStr">
        <is>
          <t>VOLDIS</t>
        </is>
      </c>
      <c r="C339" s="26" t="inlineStr">
        <is>
          <t>AP26-030577</t>
        </is>
      </c>
      <c r="D339" s="19" t="n">
        <v>345.47</v>
      </c>
      <c r="E339" s="27" t="n">
        <v>0.21</v>
      </c>
      <c r="F339" s="17">
        <f>D339+(D339*E339)</f>
        <v/>
      </c>
    </row>
    <row r="340">
      <c r="B340" s="25" t="inlineStr">
        <is>
          <t>VOLDIS</t>
        </is>
      </c>
      <c r="C340" s="26" t="inlineStr">
        <is>
          <t>AP26-030879</t>
        </is>
      </c>
      <c r="D340" s="19" t="n">
        <v>133.42</v>
      </c>
      <c r="E340" s="27" t="n">
        <v>0.1</v>
      </c>
      <c r="F340" s="17">
        <f>D340+(D340*E340)</f>
        <v/>
      </c>
    </row>
    <row r="341">
      <c r="B341" s="25" t="inlineStr">
        <is>
          <t>VOLDIS</t>
        </is>
      </c>
      <c r="C341" s="26" t="inlineStr">
        <is>
          <t>AP26-030879</t>
        </is>
      </c>
      <c r="D341" s="19" t="n">
        <v>744.67</v>
      </c>
      <c r="E341" s="27" t="n">
        <v>0.21</v>
      </c>
      <c r="F341" s="17">
        <f>D341+(D341*E341)</f>
        <v/>
      </c>
    </row>
    <row r="342">
      <c r="B342" s="25" t="inlineStr">
        <is>
          <t>VOLDIS</t>
        </is>
      </c>
      <c r="C342" s="26" t="inlineStr">
        <is>
          <t>AP26-031592</t>
        </is>
      </c>
      <c r="D342" s="19" t="n">
        <v>194.17</v>
      </c>
      <c r="E342" s="27" t="n">
        <v>0.1</v>
      </c>
      <c r="F342" s="17">
        <f>D342+(D342*E342)</f>
        <v/>
      </c>
    </row>
    <row r="343">
      <c r="B343" s="25" t="inlineStr">
        <is>
          <t>VOLDIS</t>
        </is>
      </c>
      <c r="C343" s="26" t="inlineStr">
        <is>
          <t>AP26-031592</t>
        </is>
      </c>
      <c r="D343" s="19" t="n">
        <v>924.39</v>
      </c>
      <c r="E343" s="27" t="n">
        <v>0.21</v>
      </c>
      <c r="F343" s="17">
        <f>D343+(D343*E343)</f>
        <v/>
      </c>
    </row>
    <row r="344">
      <c r="B344" s="25" t="inlineStr">
        <is>
          <t>VOLDIS</t>
        </is>
      </c>
      <c r="C344" s="26" t="inlineStr">
        <is>
          <t>AP26-032005</t>
        </is>
      </c>
      <c r="D344" s="19" t="n">
        <v>251.41</v>
      </c>
      <c r="E344" s="27" t="n">
        <v>0.1</v>
      </c>
      <c r="F344" s="17">
        <f>D344+(D344*E344)</f>
        <v/>
      </c>
    </row>
    <row r="345">
      <c r="B345" s="25" t="inlineStr">
        <is>
          <t>VOLDIS</t>
        </is>
      </c>
      <c r="C345" s="26" t="inlineStr">
        <is>
          <t>AP26-032005</t>
        </is>
      </c>
      <c r="D345" s="19" t="n">
        <v>380.47</v>
      </c>
      <c r="E345" s="27" t="n">
        <v>0.21</v>
      </c>
      <c r="F345" s="17">
        <f>D345+(D345*E345)</f>
        <v/>
      </c>
    </row>
    <row r="346">
      <c r="B346" s="25" t="inlineStr">
        <is>
          <t>VOLDIS</t>
        </is>
      </c>
      <c r="C346" s="26" t="inlineStr">
        <is>
          <t>AP26-032600</t>
        </is>
      </c>
      <c r="D346" s="19" t="n">
        <v>144.78</v>
      </c>
      <c r="E346" s="27" t="n">
        <v>0.1</v>
      </c>
      <c r="F346" s="17">
        <f>D346+(D346*E346)</f>
        <v/>
      </c>
    </row>
    <row r="347">
      <c r="B347" s="25" t="inlineStr">
        <is>
          <t>VOLDIS</t>
        </is>
      </c>
      <c r="C347" s="26" t="inlineStr">
        <is>
          <t>AP26-032600</t>
        </is>
      </c>
      <c r="D347" s="19" t="n">
        <v>864.27</v>
      </c>
      <c r="E347" s="27" t="n">
        <v>0.21</v>
      </c>
      <c r="F347" s="17">
        <f>D347+(D347*E347)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/>
  </sheetPr>
  <dimension ref="A2:I1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5" customWidth="1" min="3" max="3"/>
    <col width="17" customWidth="1" min="4" max="4"/>
    <col width="15" customWidth="1" min="5" max="5"/>
    <col width="13" customWidth="1" min="6" max="6"/>
    <col width="13" customWidth="1" min="7" max="7"/>
    <col width="11" customWidth="1" min="8" max="8"/>
    <col width="70" customWidth="1" min="9" max="9"/>
  </cols>
  <sheetData>
    <row r="2" ht="17.35" customHeight="1">
      <c r="A2" s="24" t="inlineStr">
        <is>
          <t>CUADRE POR PROVEEDOR Y MES</t>
        </is>
      </c>
    </row>
    <row r="3" ht="30" customHeight="1">
      <c r="A3" s="30" t="inlineStr">
        <is>
          <t>Compara, en cada hoja de proveedor, la suma de las líneas de producto con la suma de albaranes, y ésta con la hoja TOTAL del mes (JULIO y AGOSTO: importe fijo de los Excel de esos meses; SEPTIEMBRE: fórmula sobre TOTAL SEPTIEMBRE). Tolerancia ±0,05 €.</t>
        </is>
      </c>
    </row>
    <row r="5" ht="45" customHeight="1">
      <c r="A5" s="7" t="inlineStr">
        <is>
          <t>PROVEEDOR</t>
        </is>
      </c>
      <c r="B5" s="7" t="inlineStr">
        <is>
          <t>MES</t>
        </is>
      </c>
      <c r="C5" s="7" t="inlineStr">
        <is>
          <t>TOTAL LÍNEAS PRODUCTO</t>
        </is>
      </c>
      <c r="D5" s="7" t="inlineStr">
        <is>
          <t>TOTAL ALBARANES (hoja proveedor)</t>
        </is>
      </c>
      <c r="E5" s="7" t="inlineStr">
        <is>
          <t>TOTAL EN HOJA TOTAL DEL MES</t>
        </is>
      </c>
      <c r="F5" s="7" t="inlineStr">
        <is>
          <t>DIF. LÍNEAS − ALBARANES</t>
        </is>
      </c>
      <c r="G5" s="7" t="inlineStr">
        <is>
          <t>DIF. ALBARANES − HOJA TOTAL</t>
        </is>
      </c>
      <c r="H5" s="7" t="inlineStr">
        <is>
          <t>¿CUADRA?</t>
        </is>
      </c>
      <c r="I5" s="7" t="inlineStr">
        <is>
          <t>NOTA</t>
        </is>
      </c>
    </row>
    <row r="6" ht="15" customHeight="1">
      <c r="A6" s="25" t="inlineStr">
        <is>
          <t>ACEITE Y SAL</t>
        </is>
      </c>
      <c r="B6" s="31" t="inlineStr">
        <is>
          <t>SEPTIEMBRE</t>
        </is>
      </c>
      <c r="C6" s="32">
        <f>SUM('_____ACEITE Y SAL'!F6:F300)</f>
        <v/>
      </c>
      <c r="D6" s="32">
        <f>SUM('_____ACEITE Y SAL'!I9:I300)</f>
        <v/>
      </c>
      <c r="E6" s="32">
        <f>SUMIF('TOTAL SEPTIEMBRE'!$B$4:$B$2000,"ACEITE Y SAL",'TOTAL SEPTIEMBRE'!$D$4:$D$2000)</f>
        <v/>
      </c>
      <c r="F6" s="32">
        <f>IF(D6="","",ROUND(C6-D6,2))</f>
        <v/>
      </c>
      <c r="G6" s="32">
        <f>IF(D6="",ROUND(C6-E6,2),ROUND(D6-E6,2))</f>
        <v/>
      </c>
      <c r="H6" s="33">
        <f>IF(AND(ABS(N(F6))&lt;=0.05,ABS(G6)&lt;=0.05),"OK","REVISAR")</f>
        <v/>
      </c>
      <c r="I6" s="25" t="n"/>
    </row>
    <row r="7" ht="15" customHeight="1">
      <c r="A7" s="25" t="inlineStr">
        <is>
          <t>AGMASFOOD</t>
        </is>
      </c>
      <c r="B7" s="34" t="inlineStr">
        <is>
          <t>JULIO</t>
        </is>
      </c>
      <c r="C7" s="32">
        <f>SUM(_____AGMASFOOD!F6:F300)</f>
        <v/>
      </c>
      <c r="D7" s="32">
        <f>SUM(_____AGMASFOOD!I9:I300)</f>
        <v/>
      </c>
      <c r="E7" s="32" t="n">
        <v>1122.99</v>
      </c>
      <c r="F7" s="32">
        <f>IF(D7="","",ROUND(C7-D7,2))</f>
        <v/>
      </c>
      <c r="G7" s="32">
        <f>IF(D7="",ROUND(C7-E7,2),ROUND(D7-E7,2))</f>
        <v/>
      </c>
      <c r="H7" s="33">
        <f>IF(AND(ABS(N(F7))&lt;=0.05,ABS(G7)&lt;=0.05),"OK","REVISAR")</f>
        <v/>
      </c>
      <c r="I7" s="25" t="n"/>
    </row>
    <row r="8" ht="15" customHeight="1">
      <c r="A8" s="25" t="inlineStr">
        <is>
          <t>AGMASFOOD</t>
        </is>
      </c>
      <c r="B8" s="35" t="inlineStr">
        <is>
          <t>AGOSTO</t>
        </is>
      </c>
      <c r="C8" s="32">
        <f>SUM(_____AGMASFOOD!P6:P300)</f>
        <v/>
      </c>
      <c r="D8" s="32">
        <f>SUM(_____AGMASFOOD!S9:S300)</f>
        <v/>
      </c>
      <c r="E8" s="32" t="n">
        <v>1125.19</v>
      </c>
      <c r="F8" s="32">
        <f>IF(D8="","",ROUND(C8-D8,2))</f>
        <v/>
      </c>
      <c r="G8" s="32">
        <f>IF(D8="",ROUND(C8-E8,2),ROUND(D8-E8,2))</f>
        <v/>
      </c>
      <c r="H8" s="33">
        <f>IF(AND(ABS(N(F8))&lt;=0.05,ABS(G8)&lt;=0.05),"OK","REVISAR")</f>
        <v/>
      </c>
      <c r="I8" s="25" t="n"/>
    </row>
    <row r="9" ht="15" customHeight="1">
      <c r="A9" s="25" t="inlineStr">
        <is>
          <t>AGMASFOOD</t>
        </is>
      </c>
      <c r="B9" s="31" t="inlineStr">
        <is>
          <t>SEPTIEMBRE</t>
        </is>
      </c>
      <c r="C9" s="32">
        <f>SUM(_____AGMASFOOD!Z6:Z300)</f>
        <v/>
      </c>
      <c r="D9" s="32">
        <f>SUM(_____AGMASFOOD!AC9:AC300)</f>
        <v/>
      </c>
      <c r="E9" s="32">
        <f>SUMIF('TOTAL SEPTIEMBRE'!$B$4:$B$2000,"AGMASFOOD",'TOTAL SEPTIEMBRE'!$D$4:$D$2000)</f>
        <v/>
      </c>
      <c r="F9" s="32">
        <f>IF(D9="","",ROUND(C9-D9,2))</f>
        <v/>
      </c>
      <c r="G9" s="32">
        <f>IF(D9="",ROUND(C9-E9,2),ROUND(D9-E9,2))</f>
        <v/>
      </c>
      <c r="H9" s="33">
        <f>IF(AND(ABS(N(F9))&lt;=0.05,ABS(G9)&lt;=0.05),"OK","REVISAR")</f>
        <v/>
      </c>
      <c r="I9" s="25" t="n"/>
    </row>
    <row r="10" ht="15" customHeight="1">
      <c r="A10" s="25" t="inlineStr">
        <is>
          <t>AGROFOOD</t>
        </is>
      </c>
      <c r="B10" s="34" t="inlineStr">
        <is>
          <t>JULIO</t>
        </is>
      </c>
      <c r="C10" s="32">
        <f>SUM(_____AGROFOOD!F6:F300)</f>
        <v/>
      </c>
      <c r="D10" s="32">
        <f>SUM(_____AGROFOOD!I9:I300)</f>
        <v/>
      </c>
      <c r="E10" s="32" t="n">
        <v>4059.72</v>
      </c>
      <c r="F10" s="32">
        <f>IF(D10="","",ROUND(C10-D10,2))</f>
        <v/>
      </c>
      <c r="G10" s="32">
        <f>IF(D10="",ROUND(C10-E10,2),ROUND(D10-E10,2))</f>
        <v/>
      </c>
      <c r="H10" s="33">
        <f>IF(AND(ABS(N(F10))&lt;=0.05,ABS(G10)&lt;=0.05),"OK","REVISAR")</f>
        <v/>
      </c>
      <c r="I10" s="25" t="n"/>
    </row>
    <row r="11" ht="15" customHeight="1">
      <c r="A11" s="25" t="inlineStr">
        <is>
          <t>AGROFOOD</t>
        </is>
      </c>
      <c r="B11" s="35" t="inlineStr">
        <is>
          <t>AGOSTO</t>
        </is>
      </c>
      <c r="C11" s="32">
        <f>SUM(_____AGROFOOD!P6:P300)</f>
        <v/>
      </c>
      <c r="D11" s="32">
        <f>SUM(_____AGROFOOD!S9:S300)</f>
        <v/>
      </c>
      <c r="E11" s="32" t="n">
        <v>1199.46</v>
      </c>
      <c r="F11" s="32">
        <f>IF(D11="","",ROUND(C11-D11,2))</f>
        <v/>
      </c>
      <c r="G11" s="32">
        <f>IF(D11="",ROUND(C11-E11,2),ROUND(D11-E11,2))</f>
        <v/>
      </c>
      <c r="H11" s="33">
        <f>IF(AND(ABS(N(F11))&lt;=0.05,ABS(G11)&lt;=0.05),"OK","REVISAR")</f>
        <v/>
      </c>
      <c r="I11" s="25" t="n"/>
    </row>
    <row r="12" ht="15" customHeight="1">
      <c r="A12" s="25" t="inlineStr">
        <is>
          <t>AGROFOOD</t>
        </is>
      </c>
      <c r="B12" s="31" t="inlineStr">
        <is>
          <t>SEPTIEMBRE</t>
        </is>
      </c>
      <c r="C12" s="32">
        <f>SUM(_____AGROFOOD!Z6:Z300)</f>
        <v/>
      </c>
      <c r="D12" s="32">
        <f>SUM(_____AGROFOOD!AC9:AC300)</f>
        <v/>
      </c>
      <c r="E12" s="32">
        <f>SUMIF('TOTAL SEPTIEMBRE'!$B$4:$B$2000,"AGROFOOD",'TOTAL SEPTIEMBRE'!$D$4:$D$2000)</f>
        <v/>
      </c>
      <c r="F12" s="32">
        <f>IF(D12="","",ROUND(C12-D12,2))</f>
        <v/>
      </c>
      <c r="G12" s="32">
        <f>IF(D12="",ROUND(C12-E12,2),ROUND(D12-E12,2))</f>
        <v/>
      </c>
      <c r="H12" s="33">
        <f>IF(AND(ABS(N(F12))&lt;=0.05,ABS(G12)&lt;=0.05),"OK","REVISAR")</f>
        <v/>
      </c>
      <c r="I12" s="25" t="n"/>
    </row>
    <row r="13" ht="15" customHeight="1">
      <c r="A13" s="25" t="inlineStr">
        <is>
          <t>ANTONIO DE MIGUEL</t>
        </is>
      </c>
      <c r="B13" s="34" t="inlineStr">
        <is>
          <t>JULIO</t>
        </is>
      </c>
      <c r="C13" s="32">
        <f>SUM('_____ANTONIO DE MIGUEL'!F6:F300)</f>
        <v/>
      </c>
      <c r="D13" s="32">
        <f>SUM('_____ANTONIO DE MIGUEL'!I9:I300)</f>
        <v/>
      </c>
      <c r="E13" s="32" t="n">
        <v>280.3</v>
      </c>
      <c r="F13" s="32">
        <f>IF(D13="","",ROUND(C13-D13,2))</f>
        <v/>
      </c>
      <c r="G13" s="32">
        <f>IF(D13="",ROUND(C13-E13,2),ROUND(D13-E13,2))</f>
        <v/>
      </c>
      <c r="H13" s="33">
        <f>IF(AND(ABS(N(F13))&lt;=0.05,ABS(G13)&lt;=0.05),"OK","REVISAR")</f>
        <v/>
      </c>
      <c r="I13" s="25" t="n"/>
    </row>
    <row r="14" ht="15" customHeight="1">
      <c r="A14" s="25" t="inlineStr">
        <is>
          <t>CALIDOSCOPI</t>
        </is>
      </c>
      <c r="B14" s="34" t="inlineStr">
        <is>
          <t>JULIO</t>
        </is>
      </c>
      <c r="C14" s="32">
        <f>SUM(_____CALIDOSCOPI!F6:F300)</f>
        <v/>
      </c>
      <c r="D14" s="32">
        <f>SUM(_____CALIDOSCOPI!I9:I300)</f>
        <v/>
      </c>
      <c r="E14" s="32" t="n">
        <v>339</v>
      </c>
      <c r="F14" s="32">
        <f>IF(D14="","",ROUND(C14-D14,2))</f>
        <v/>
      </c>
      <c r="G14" s="32">
        <f>IF(D14="",ROUND(C14-E14,2),ROUND(D14-E14,2))</f>
        <v/>
      </c>
      <c r="H14" s="33">
        <f>IF(AND(ABS(N(F14))&lt;=0.05,ABS(G14)&lt;=0.05),"OK","REVISAR")</f>
        <v/>
      </c>
      <c r="I14" s="25" t="n"/>
    </row>
    <row r="15" ht="15" customHeight="1">
      <c r="A15" s="25" t="inlineStr">
        <is>
          <t>CARNICAS MEAT</t>
        </is>
      </c>
      <c r="B15" s="34" t="inlineStr">
        <is>
          <t>JULIO</t>
        </is>
      </c>
      <c r="C15" s="32">
        <f>SUM('_____CARNICAS MEAT'!F6:F300)</f>
        <v/>
      </c>
      <c r="D15" s="32">
        <f>SUM('_____CARNICAS MEAT'!I9:I300)</f>
        <v/>
      </c>
      <c r="E15" s="32" t="n">
        <v>1412.35</v>
      </c>
      <c r="F15" s="32">
        <f>IF(D15="","",ROUND(C15-D15,2))</f>
        <v/>
      </c>
      <c r="G15" s="32">
        <f>IF(D15="",ROUND(C15-E15,2),ROUND(D15-E15,2))</f>
        <v/>
      </c>
      <c r="H15" s="33">
        <f>IF(AND(ABS(N(F15))&lt;=0.05,ABS(G15)&lt;=0.05),"OK","REVISAR")</f>
        <v/>
      </c>
      <c r="I15" s="25" t="inlineStr">
        <is>
          <t>Diferencia de redondeo en las líneas (A1/209: 6,48 kg x 34,55 = 223,88 € y el albarán pone 223,85 €).</t>
        </is>
      </c>
    </row>
    <row r="16" ht="15" customHeight="1">
      <c r="A16" s="25" t="inlineStr">
        <is>
          <t>CARNICAS MEAT</t>
        </is>
      </c>
      <c r="B16" s="35" t="inlineStr">
        <is>
          <t>AGOSTO</t>
        </is>
      </c>
      <c r="C16" s="32">
        <f>SUM('_____CARNICAS MEAT'!P6:P300)</f>
        <v/>
      </c>
      <c r="D16" s="32">
        <f>SUM('_____CARNICAS MEAT'!S9:S300)</f>
        <v/>
      </c>
      <c r="E16" s="32" t="n">
        <v>640.26</v>
      </c>
      <c r="F16" s="32">
        <f>IF(D16="","",ROUND(C16-D16,2))</f>
        <v/>
      </c>
      <c r="G16" s="32">
        <f>IF(D16="",ROUND(C16-E16,2),ROUND(D16-E16,2))</f>
        <v/>
      </c>
      <c r="H16" s="33">
        <f>IF(AND(ABS(N(F16))&lt;=0.05,ABS(G16)&lt;=0.05),"OK","REVISAR")</f>
        <v/>
      </c>
      <c r="I16" s="25" t="n"/>
    </row>
    <row r="17" ht="15" customHeight="1">
      <c r="A17" s="25" t="inlineStr">
        <is>
          <t>CARNICAS MEAT</t>
        </is>
      </c>
      <c r="B17" s="31" t="inlineStr">
        <is>
          <t>SEPTIEMBRE</t>
        </is>
      </c>
      <c r="C17" s="32">
        <f>SUM('_____CARNICAS MEAT'!Z6:Z300)</f>
        <v/>
      </c>
      <c r="D17" s="32">
        <f>SUM('_____CARNICAS MEAT'!AC9:AC300)</f>
        <v/>
      </c>
      <c r="E17" s="32">
        <f>SUMIF('TOTAL SEPTIEMBRE'!$B$4:$B$2000,"CARNICAS MEAT",'TOTAL SEPTIEMBRE'!$D$4:$D$2000)</f>
        <v/>
      </c>
      <c r="F17" s="32">
        <f>IF(D17="","",ROUND(C17-D17,2))</f>
        <v/>
      </c>
      <c r="G17" s="32">
        <f>IF(D17="",ROUND(C17-E17,2),ROUND(D17-E17,2))</f>
        <v/>
      </c>
      <c r="H17" s="33">
        <f>IF(AND(ABS(N(F17))&lt;=0.05,ABS(G17)&lt;=0.05),"OK","REVISAR")</f>
        <v/>
      </c>
      <c r="I17" s="25" t="n"/>
    </row>
    <row r="18" ht="15" customHeight="1">
      <c r="A18" s="25" t="inlineStr">
        <is>
          <t>CARNICAS OPC</t>
        </is>
      </c>
      <c r="B18" s="34" t="inlineStr">
        <is>
          <t>JULIO</t>
        </is>
      </c>
      <c r="C18" s="32">
        <f>SUM('_____CARNICAS OPC'!F6:F300)</f>
        <v/>
      </c>
      <c r="D18" s="32">
        <f>SUM('_____CARNICAS OPC'!I9:I300)</f>
        <v/>
      </c>
      <c r="E18" s="32" t="n">
        <v>240.66</v>
      </c>
      <c r="F18" s="32">
        <f>IF(D18="","",ROUND(C18-D18,2))</f>
        <v/>
      </c>
      <c r="G18" s="32">
        <f>IF(D18="",ROUND(C18-E18,2),ROUND(D18-E18,2))</f>
        <v/>
      </c>
      <c r="H18" s="33">
        <f>IF(AND(ABS(N(F18))&lt;=0.05,ABS(G18)&lt;=0.05),"OK","REVISAR")</f>
        <v/>
      </c>
      <c r="I18" s="25" t="n"/>
    </row>
    <row r="19" ht="15" customHeight="1">
      <c r="A19" s="25" t="inlineStr">
        <is>
          <t>CASA MISU</t>
        </is>
      </c>
      <c r="B19" s="31" t="inlineStr">
        <is>
          <t>SEPTIEMBRE</t>
        </is>
      </c>
      <c r="C19" s="32">
        <f>SUM('_____CASA MISU'!F6:F300)</f>
        <v/>
      </c>
      <c r="D19" s="32">
        <f>SUM('_____CASA MISU'!I9:I300)</f>
        <v/>
      </c>
      <c r="E19" s="32">
        <f>SUMIF('TOTAL SEPTIEMBRE'!$B$4:$B$2000,"CASA MISU",'TOTAL SEPTIEMBRE'!$D$4:$D$2000)</f>
        <v/>
      </c>
      <c r="F19" s="32">
        <f>IF(D19="","",ROUND(C19-D19,2))</f>
        <v/>
      </c>
      <c r="G19" s="32">
        <f>IF(D19="",ROUND(C19-E19,2),ROUND(D19-E19,2))</f>
        <v/>
      </c>
      <c r="H19" s="33">
        <f>IF(AND(ABS(N(F19))&lt;=0.05,ABS(G19)&lt;=0.05),"OK","REVISAR")</f>
        <v/>
      </c>
      <c r="I19" s="25" t="n"/>
    </row>
    <row r="20" ht="15" customHeight="1">
      <c r="A20" s="25" t="inlineStr">
        <is>
          <t>COCACOLA</t>
        </is>
      </c>
      <c r="B20" s="34" t="inlineStr">
        <is>
          <t>JULIO</t>
        </is>
      </c>
      <c r="C20" s="32">
        <f>SUM('_____COCA-COLA'!F6:F300)</f>
        <v/>
      </c>
      <c r="D20" s="32">
        <f>SUM('_____COCA-COLA'!I9:I300)</f>
        <v/>
      </c>
      <c r="E20" s="32" t="n">
        <v>2124.02</v>
      </c>
      <c r="F20" s="32">
        <f>IF(D20="","",ROUND(C20-D20,2))</f>
        <v/>
      </c>
      <c r="G20" s="32">
        <f>IF(D20="",ROUND(C20-E20,2),ROUND(D20-E20,2))</f>
        <v/>
      </c>
      <c r="H20" s="33">
        <f>IF(AND(ABS(N(F20))&lt;=0.05,ABS(G20)&lt;=0.05),"OK","REVISAR")</f>
        <v/>
      </c>
      <c r="I20" s="25" t="n"/>
    </row>
    <row r="21" ht="15" customHeight="1">
      <c r="A21" s="25" t="inlineStr">
        <is>
          <t>COCACOLA</t>
        </is>
      </c>
      <c r="B21" s="35" t="inlineStr">
        <is>
          <t>AGOSTO</t>
        </is>
      </c>
      <c r="C21" s="32">
        <f>SUM('_____COCA-COLA'!P6:P300)</f>
        <v/>
      </c>
      <c r="D21" s="32">
        <f>SUM('_____COCA-COLA'!S9:S300)</f>
        <v/>
      </c>
      <c r="E21" s="32" t="n">
        <v>457.72</v>
      </c>
      <c r="F21" s="32">
        <f>IF(D21="","",ROUND(C21-D21,2))</f>
        <v/>
      </c>
      <c r="G21" s="32">
        <f>IF(D21="",ROUND(C21-E21,2),ROUND(D21-E21,2))</f>
        <v/>
      </c>
      <c r="H21" s="33">
        <f>IF(AND(ABS(N(F21))&lt;=0.05,ABS(G21)&lt;=0.05),"OK","REVISAR")</f>
        <v/>
      </c>
      <c r="I21" s="25" t="n"/>
    </row>
    <row r="22" ht="15" customHeight="1">
      <c r="A22" s="25" t="inlineStr">
        <is>
          <t>COCACOLA</t>
        </is>
      </c>
      <c r="B22" s="31" t="inlineStr">
        <is>
          <t>SEPTIEMBRE</t>
        </is>
      </c>
      <c r="C22" s="32">
        <f>SUM('_____COCA-COLA'!Z6:Z300)</f>
        <v/>
      </c>
      <c r="D22" s="32">
        <f>SUM('_____COCA-COLA'!AC9:AC300)</f>
        <v/>
      </c>
      <c r="E22" s="32">
        <f>SUMIF('TOTAL SEPTIEMBRE'!$B$4:$B$2000,"COCACOLA",'TOTAL SEPTIEMBRE'!$D$4:$D$2000)</f>
        <v/>
      </c>
      <c r="F22" s="32">
        <f>IF(D22="","",ROUND(C22-D22,2))</f>
        <v/>
      </c>
      <c r="G22" s="32">
        <f>IF(D22="",ROUND(C22-E22,2),ROUND(D22-E22,2))</f>
        <v/>
      </c>
      <c r="H22" s="33">
        <f>IF(AND(ABS(N(F22))&lt;=0.05,ABS(G22)&lt;=0.05),"OK","REVISAR")</f>
        <v/>
      </c>
      <c r="I22" s="25" t="n"/>
    </row>
    <row r="23" ht="15" customHeight="1">
      <c r="A23" s="25" t="inlineStr">
        <is>
          <t>CONS. SELEC. SANTO</t>
        </is>
      </c>
      <c r="B23" s="34" t="inlineStr">
        <is>
          <t>JULIO</t>
        </is>
      </c>
      <c r="C23" s="32">
        <f>SUM('_____CONS. SELEC. SANT'!F6:F300)</f>
        <v/>
      </c>
      <c r="D23" s="32">
        <f>SUM('_____CONS. SELEC. SANT'!I9:I300)</f>
        <v/>
      </c>
      <c r="E23" s="32" t="n">
        <v>705.24</v>
      </c>
      <c r="F23" s="32">
        <f>IF(D23="","",ROUND(C23-D23,2))</f>
        <v/>
      </c>
      <c r="G23" s="32">
        <f>IF(D23="",ROUND(C23-E23,2),ROUND(D23-E23,2))</f>
        <v/>
      </c>
      <c r="H23" s="33">
        <f>IF(AND(ABS(N(F23))&lt;=0.05,ABS(G23)&lt;=0.05),"OK","REVISAR")</f>
        <v/>
      </c>
      <c r="I23" s="25" t="n"/>
    </row>
    <row r="24" ht="15" customHeight="1">
      <c r="A24" s="25" t="inlineStr">
        <is>
          <t>CONS. SELEC. SANTO</t>
        </is>
      </c>
      <c r="B24" s="35" t="inlineStr">
        <is>
          <t>AGOSTO</t>
        </is>
      </c>
      <c r="C24" s="32">
        <f>SUM('_____CONS. SELEC. SANT'!P6:P300)</f>
        <v/>
      </c>
      <c r="D24" s="32">
        <f>SUM('_____CONS. SELEC. SANT'!S9:S300)</f>
        <v/>
      </c>
      <c r="E24" s="32" t="n">
        <v>382.59</v>
      </c>
      <c r="F24" s="32">
        <f>IF(D24="","",ROUND(C24-D24,2))</f>
        <v/>
      </c>
      <c r="G24" s="32">
        <f>IF(D24="",ROUND(C24-E24,2),ROUND(D24-E24,2))</f>
        <v/>
      </c>
      <c r="H24" s="33">
        <f>IF(AND(ABS(N(F24))&lt;=0.05,ABS(G24)&lt;=0.05),"OK","REVISAR")</f>
        <v/>
      </c>
      <c r="I24" s="25" t="n"/>
    </row>
    <row r="25" ht="15" customHeight="1">
      <c r="A25" s="25" t="inlineStr">
        <is>
          <t>CONS. SELEC. SANTO</t>
        </is>
      </c>
      <c r="B25" s="31" t="inlineStr">
        <is>
          <t>SEPTIEMBRE</t>
        </is>
      </c>
      <c r="C25" s="32">
        <f>SUM('_____CONS. SELEC. SANT'!Z6:Z300)</f>
        <v/>
      </c>
      <c r="D25" s="32">
        <f>SUM('_____CONS. SELEC. SANT'!AC9:AC300)</f>
        <v/>
      </c>
      <c r="E25" s="32">
        <f>SUMIF('TOTAL SEPTIEMBRE'!$B$4:$B$2000,"CONS. SELEC. SANTO",'TOTAL SEPTIEMBRE'!$D$4:$D$2000)</f>
        <v/>
      </c>
      <c r="F25" s="32">
        <f>IF(D25="","",ROUND(C25-D25,2))</f>
        <v/>
      </c>
      <c r="G25" s="32">
        <f>IF(D25="",ROUND(C25-E25,2),ROUND(D25-E25,2))</f>
        <v/>
      </c>
      <c r="H25" s="33">
        <f>IF(AND(ABS(N(F25))&lt;=0.05,ABS(G25)&lt;=0.05),"OK","REVISAR")</f>
        <v/>
      </c>
      <c r="I25" s="25" t="n"/>
    </row>
    <row r="26" ht="15" customHeight="1">
      <c r="A26" s="25" t="inlineStr">
        <is>
          <t>CONS. Y SAL. JIMENEZ</t>
        </is>
      </c>
      <c r="B26" s="34" t="inlineStr">
        <is>
          <t>JULIO</t>
        </is>
      </c>
      <c r="C26" s="32">
        <f>SUM('_____CONS. Y SALAZONES'!F6:F300)</f>
        <v/>
      </c>
      <c r="D26" s="32">
        <f>SUM('_____CONS. Y SALAZONES'!I9:I300)</f>
        <v/>
      </c>
      <c r="E26" s="32" t="n">
        <v>3739.92</v>
      </c>
      <c r="F26" s="32">
        <f>IF(D26="","",ROUND(C26-D26,2))</f>
        <v/>
      </c>
      <c r="G26" s="32">
        <f>IF(D26="",ROUND(C26-E26,2),ROUND(D26-E26,2))</f>
        <v/>
      </c>
      <c r="H26" s="33">
        <f>IF(AND(ABS(N(F26))&lt;=0.05,ABS(G26)&lt;=0.05),"OK","REVISAR")</f>
        <v/>
      </c>
      <c r="I26" s="25" t="n"/>
    </row>
    <row r="27" ht="15" customHeight="1">
      <c r="A27" s="25" t="inlineStr">
        <is>
          <t>CONS. Y SAL. JIMENEZ</t>
        </is>
      </c>
      <c r="B27" s="35" t="inlineStr">
        <is>
          <t>AGOSTO</t>
        </is>
      </c>
      <c r="C27" s="32">
        <f>SUM('_____CONS. Y SALAZONES'!P6:P300)</f>
        <v/>
      </c>
      <c r="D27" s="32">
        <f>SUM('_____CONS. Y SALAZONES'!S9:S300)</f>
        <v/>
      </c>
      <c r="E27" s="32" t="n">
        <v>1061.59</v>
      </c>
      <c r="F27" s="32">
        <f>IF(D27="","",ROUND(C27-D27,2))</f>
        <v/>
      </c>
      <c r="G27" s="32">
        <f>IF(D27="",ROUND(C27-E27,2),ROUND(D27-E27,2))</f>
        <v/>
      </c>
      <c r="H27" s="33">
        <f>IF(AND(ABS(N(F27))&lt;=0.05,ABS(G27)&lt;=0.05),"OK","REVISAR")</f>
        <v/>
      </c>
      <c r="I27" s="25" t="n"/>
    </row>
    <row r="28" ht="15" customHeight="1">
      <c r="A28" s="25" t="inlineStr">
        <is>
          <t>CONS. Y SAL. JIMENEZ</t>
        </is>
      </c>
      <c r="B28" s="31" t="inlineStr">
        <is>
          <t>SEPTIEMBRE</t>
        </is>
      </c>
      <c r="C28" s="32">
        <f>SUM('_____CONS. Y SALAZONES'!Z6:Z300)</f>
        <v/>
      </c>
      <c r="D28" s="32">
        <f>SUM('_____CONS. Y SALAZONES'!AC9:AC300)</f>
        <v/>
      </c>
      <c r="E28" s="32">
        <f>SUMIF('TOTAL SEPTIEMBRE'!$B$4:$B$2000,"CONS. Y SAL. JIMENEZ",'TOTAL SEPTIEMBRE'!$D$4:$D$2000)</f>
        <v/>
      </c>
      <c r="F28" s="32">
        <f>IF(D28="","",ROUND(C28-D28,2))</f>
        <v/>
      </c>
      <c r="G28" s="32">
        <f>IF(D28="",ROUND(C28-E28,2),ROUND(D28-E28,2))</f>
        <v/>
      </c>
      <c r="H28" s="33">
        <f>IF(AND(ABS(N(F28))&lt;=0.05,ABS(G28)&lt;=0.05),"OK","REVISAR")</f>
        <v/>
      </c>
      <c r="I28" s="25" t="n"/>
    </row>
    <row r="29" ht="15" customHeight="1">
      <c r="A29" s="25" t="inlineStr">
        <is>
          <t>CRNAS SERVAN</t>
        </is>
      </c>
      <c r="B29" s="34" t="inlineStr">
        <is>
          <t>JULIO</t>
        </is>
      </c>
      <c r="C29" s="32">
        <f>SUM('_____CRNAS SERVAN'!F6:F300)</f>
        <v/>
      </c>
      <c r="D29" s="32">
        <f>SUM('_____CRNAS SERVAN'!I9:I300)</f>
        <v/>
      </c>
      <c r="E29" s="32" t="n">
        <v>1086.03</v>
      </c>
      <c r="F29" s="32">
        <f>IF(D29="","",ROUND(C29-D29,2))</f>
        <v/>
      </c>
      <c r="G29" s="32">
        <f>IF(D29="",ROUND(C29-E29,2),ROUND(D29-E29,2))</f>
        <v/>
      </c>
      <c r="H29" s="33">
        <f>IF(AND(ABS(N(F29))&lt;=0.05,ABS(G29)&lt;=0.05),"OK","REVISAR")</f>
        <v/>
      </c>
      <c r="I29" s="25" t="n"/>
    </row>
    <row r="30" ht="15" customHeight="1">
      <c r="A30" s="25" t="inlineStr">
        <is>
          <t>CRNAS SERVAN</t>
        </is>
      </c>
      <c r="B30" s="35" t="inlineStr">
        <is>
          <t>AGOSTO</t>
        </is>
      </c>
      <c r="C30" s="32">
        <f>SUM('_____CRNAS SERVAN'!P6:P300)</f>
        <v/>
      </c>
      <c r="D30" s="32">
        <f>SUM('_____CRNAS SERVAN'!S9:S300)</f>
        <v/>
      </c>
      <c r="E30" s="32" t="n">
        <v>890.28</v>
      </c>
      <c r="F30" s="32">
        <f>IF(D30="","",ROUND(C30-D30,2))</f>
        <v/>
      </c>
      <c r="G30" s="32">
        <f>IF(D30="",ROUND(C30-E30,2),ROUND(D30-E30,2))</f>
        <v/>
      </c>
      <c r="H30" s="33">
        <f>IF(AND(ABS(N(F30))&lt;=0.05,ABS(G30)&lt;=0.05),"OK","REVISAR")</f>
        <v/>
      </c>
      <c r="I30" s="25" t="n"/>
    </row>
    <row r="31" ht="15" customHeight="1">
      <c r="A31" s="25" t="inlineStr">
        <is>
          <t>CRNAS SERVAN</t>
        </is>
      </c>
      <c r="B31" s="31" t="inlineStr">
        <is>
          <t>SEPTIEMBRE</t>
        </is>
      </c>
      <c r="C31" s="32">
        <f>SUM('_____CRNAS SERVAN'!Z6:Z300)</f>
        <v/>
      </c>
      <c r="D31" s="32">
        <f>SUM('_____CRNAS SERVAN'!AC9:AC300)</f>
        <v/>
      </c>
      <c r="E31" s="32">
        <f>SUMIF('TOTAL SEPTIEMBRE'!$B$4:$B$2000,"CRNAS SERVAN",'TOTAL SEPTIEMBRE'!$D$4:$D$2000)</f>
        <v/>
      </c>
      <c r="F31" s="32">
        <f>IF(D31="","",ROUND(C31-D31,2))</f>
        <v/>
      </c>
      <c r="G31" s="32">
        <f>IF(D31="",ROUND(C31-E31,2),ROUND(D31-E31,2))</f>
        <v/>
      </c>
      <c r="H31" s="33">
        <f>IF(AND(ABS(N(F31))&lt;=0.05,ABS(G31)&lt;=0.05),"OK","REVISAR")</f>
        <v/>
      </c>
      <c r="I31" s="25" t="n"/>
    </row>
    <row r="32" ht="15" customHeight="1">
      <c r="A32" s="25" t="inlineStr">
        <is>
          <t>CRUSTAPESCA</t>
        </is>
      </c>
      <c r="B32" s="34" t="inlineStr">
        <is>
          <t>JULIO</t>
        </is>
      </c>
      <c r="C32" s="32">
        <f>SUM(_____CRUSTAPESCA!F6:F300)</f>
        <v/>
      </c>
      <c r="D32" s="32">
        <f>SUM(_____CRUSTAPESCA!I9:I300)</f>
        <v/>
      </c>
      <c r="E32" s="32" t="n">
        <v>1970.46</v>
      </c>
      <c r="F32" s="32">
        <f>IF(D32="","",ROUND(C32-D32,2))</f>
        <v/>
      </c>
      <c r="G32" s="32">
        <f>IF(D32="",ROUND(C32-E32,2),ROUND(D32-E32,2))</f>
        <v/>
      </c>
      <c r="H32" s="33">
        <f>IF(AND(ABS(N(F32))&lt;=0.05,ABS(G32)&lt;=0.05),"OK","REVISAR")</f>
        <v/>
      </c>
      <c r="I32" s="25" t="n"/>
    </row>
    <row r="33" ht="15" customHeight="1">
      <c r="A33" s="25" t="inlineStr">
        <is>
          <t>CRUSTAPESCA</t>
        </is>
      </c>
      <c r="B33" s="35" t="inlineStr">
        <is>
          <t>AGOSTO</t>
        </is>
      </c>
      <c r="C33" s="32">
        <f>SUM(_____CRUSTAPESCA!P6:P300)</f>
        <v/>
      </c>
      <c r="D33" s="32">
        <f>SUM(_____CRUSTAPESCA!S9:S300)</f>
        <v/>
      </c>
      <c r="E33" s="32" t="n">
        <v>772</v>
      </c>
      <c r="F33" s="32">
        <f>IF(D33="","",ROUND(C33-D33,2))</f>
        <v/>
      </c>
      <c r="G33" s="32">
        <f>IF(D33="",ROUND(C33-E33,2),ROUND(D33-E33,2))</f>
        <v/>
      </c>
      <c r="H33" s="33">
        <f>IF(AND(ABS(N(F33))&lt;=0.05,ABS(G33)&lt;=0.05),"OK","REVISAR")</f>
        <v/>
      </c>
      <c r="I33" s="25" t="n"/>
    </row>
    <row r="34" ht="15" customHeight="1">
      <c r="A34" s="25" t="inlineStr">
        <is>
          <t>CRUSTAPESCA</t>
        </is>
      </c>
      <c r="B34" s="31" t="inlineStr">
        <is>
          <t>SEPTIEMBRE</t>
        </is>
      </c>
      <c r="C34" s="32">
        <f>SUM(_____CRUSTAPESCA!Z6:Z300)</f>
        <v/>
      </c>
      <c r="D34" s="32">
        <f>SUM(_____CRUSTAPESCA!AC9:AC300)</f>
        <v/>
      </c>
      <c r="E34" s="32">
        <f>SUMIF('TOTAL SEPTIEMBRE'!$B$4:$B$2000,"CRUSTAPESCA",'TOTAL SEPTIEMBRE'!$D$4:$D$2000)</f>
        <v/>
      </c>
      <c r="F34" s="32">
        <f>IF(D34="","",ROUND(C34-D34,2))</f>
        <v/>
      </c>
      <c r="G34" s="32">
        <f>IF(D34="",ROUND(C34-E34,2),ROUND(D34-E34,2))</f>
        <v/>
      </c>
      <c r="H34" s="33">
        <f>IF(AND(ABS(N(F34))&lt;=0.05,ABS(G34)&lt;=0.05),"OK","REVISAR")</f>
        <v/>
      </c>
      <c r="I34" s="25" t="n"/>
    </row>
    <row r="35" ht="15" customHeight="1">
      <c r="A35" s="25" t="inlineStr">
        <is>
          <t>DELIPAN</t>
        </is>
      </c>
      <c r="B35" s="34" t="inlineStr">
        <is>
          <t>JULIO</t>
        </is>
      </c>
      <c r="C35" s="32">
        <f>SUM(_____DELIPAN!F6:F300)</f>
        <v/>
      </c>
      <c r="D35" s="32">
        <f>SUM(_____DELIPAN!I9:I300)</f>
        <v/>
      </c>
      <c r="E35" s="32" t="n">
        <v>1032.66</v>
      </c>
      <c r="F35" s="32">
        <f>IF(D35="","",ROUND(C35-D35,2))</f>
        <v/>
      </c>
      <c r="G35" s="32">
        <f>IF(D35="",ROUND(C35-E35,2),ROUND(D35-E35,2))</f>
        <v/>
      </c>
      <c r="H35" s="33">
        <f>IF(AND(ABS(N(F35))&lt;=0.05,ABS(G35)&lt;=0.05),"OK","REVISAR")</f>
        <v/>
      </c>
      <c r="I35" s="25" t="n"/>
    </row>
    <row r="36" ht="15" customHeight="1">
      <c r="A36" s="25" t="inlineStr">
        <is>
          <t>DELIPAN</t>
        </is>
      </c>
      <c r="B36" s="35" t="inlineStr">
        <is>
          <t>AGOSTO</t>
        </is>
      </c>
      <c r="C36" s="32">
        <f>SUM(_____DELIPAN!P6:P300)</f>
        <v/>
      </c>
      <c r="D36" s="32">
        <f>SUM(_____DELIPAN!S9:S300)</f>
        <v/>
      </c>
      <c r="E36" s="32" t="n">
        <v>381.21</v>
      </c>
      <c r="F36" s="32">
        <f>IF(D36="","",ROUND(C36-D36,2))</f>
        <v/>
      </c>
      <c r="G36" s="32">
        <f>IF(D36="",ROUND(C36-E36,2),ROUND(D36-E36,2))</f>
        <v/>
      </c>
      <c r="H36" s="33">
        <f>IF(AND(ABS(N(F36))&lt;=0.05,ABS(G36)&lt;=0.05),"OK","REVISAR")</f>
        <v/>
      </c>
      <c r="I36" s="25" t="n"/>
    </row>
    <row r="37" ht="15" customHeight="1">
      <c r="A37" s="25" t="inlineStr">
        <is>
          <t>DELIPAN</t>
        </is>
      </c>
      <c r="B37" s="31" t="inlineStr">
        <is>
          <t>SEPTIEMBRE</t>
        </is>
      </c>
      <c r="C37" s="32">
        <f>SUM(_____DELIPAN!Z6:Z300)</f>
        <v/>
      </c>
      <c r="D37" s="32">
        <f>SUM(_____DELIPAN!AC9:AC300)</f>
        <v/>
      </c>
      <c r="E37" s="32">
        <f>SUMIF('TOTAL SEPTIEMBRE'!$B$4:$B$2000,"DELIPAN",'TOTAL SEPTIEMBRE'!$D$4:$D$2000)</f>
        <v/>
      </c>
      <c r="F37" s="32">
        <f>IF(D37="","",ROUND(C37-D37,2))</f>
        <v/>
      </c>
      <c r="G37" s="32">
        <f>IF(D37="",ROUND(C37-E37,2),ROUND(D37-E37,2))</f>
        <v/>
      </c>
      <c r="H37" s="33">
        <f>IF(AND(ABS(N(F37))&lt;=0.05,ABS(G37)&lt;=0.05),"OK","REVISAR")</f>
        <v/>
      </c>
      <c r="I37" s="25" t="n"/>
    </row>
    <row r="38" ht="15" customHeight="1">
      <c r="A38" s="25" t="inlineStr">
        <is>
          <t>DISOLTRIGO</t>
        </is>
      </c>
      <c r="B38" s="34" t="inlineStr">
        <is>
          <t>JULIO</t>
        </is>
      </c>
      <c r="C38" s="32">
        <f>SUM(_____DISOLTRIGO!F6:F300)</f>
        <v/>
      </c>
      <c r="D38" s="32">
        <f>SUM(_____DISOLTRIGO!I9:I300)</f>
        <v/>
      </c>
      <c r="E38" s="32" t="n">
        <v>1295.5</v>
      </c>
      <c r="F38" s="32">
        <f>IF(D38="","",ROUND(C38-D38,2))</f>
        <v/>
      </c>
      <c r="G38" s="32">
        <f>IF(D38="",ROUND(C38-E38,2),ROUND(D38-E38,2))</f>
        <v/>
      </c>
      <c r="H38" s="33">
        <f>IF(AND(ABS(N(F38))&lt;=0.05,ABS(G38)&lt;=0.05),"OK","REVISAR")</f>
        <v/>
      </c>
      <c r="I38" s="25" t="n"/>
    </row>
    <row r="39" ht="15" customHeight="1">
      <c r="A39" s="25" t="inlineStr">
        <is>
          <t>DISOLTRIGO</t>
        </is>
      </c>
      <c r="B39" s="35" t="inlineStr">
        <is>
          <t>AGOSTO</t>
        </is>
      </c>
      <c r="C39" s="32">
        <f>SUM(_____DISOLTRIGO!P6:P300)</f>
        <v/>
      </c>
      <c r="D39" s="32">
        <f>SUM(_____DISOLTRIGO!S9:S300)</f>
        <v/>
      </c>
      <c r="E39" s="32" t="n">
        <v>318</v>
      </c>
      <c r="F39" s="32">
        <f>IF(D39="","",ROUND(C39-D39,2))</f>
        <v/>
      </c>
      <c r="G39" s="32">
        <f>IF(D39="",ROUND(C39-E39,2),ROUND(D39-E39,2))</f>
        <v/>
      </c>
      <c r="H39" s="33">
        <f>IF(AND(ABS(N(F39))&lt;=0.05,ABS(G39)&lt;=0.05),"OK","REVISAR")</f>
        <v/>
      </c>
      <c r="I39" s="25" t="n"/>
    </row>
    <row r="40" ht="15" customHeight="1">
      <c r="A40" s="25" t="inlineStr">
        <is>
          <t>DISOLTRIGO</t>
        </is>
      </c>
      <c r="B40" s="31" t="inlineStr">
        <is>
          <t>SEPTIEMBRE</t>
        </is>
      </c>
      <c r="C40" s="32">
        <f>SUM(_____DISOLTRIGO!Z6:Z300)</f>
        <v/>
      </c>
      <c r="D40" s="32">
        <f>SUM(_____DISOLTRIGO!AC9:AC300)</f>
        <v/>
      </c>
      <c r="E40" s="32">
        <f>SUMIF('TOTAL SEPTIEMBRE'!$B$4:$B$2000,"DISOLTRIGO",'TOTAL SEPTIEMBRE'!$D$4:$D$2000)</f>
        <v/>
      </c>
      <c r="F40" s="32">
        <f>IF(D40="","",ROUND(C40-D40,2))</f>
        <v/>
      </c>
      <c r="G40" s="32">
        <f>IF(D40="",ROUND(C40-E40,2),ROUND(D40-E40,2))</f>
        <v/>
      </c>
      <c r="H40" s="33">
        <f>IF(AND(ABS(N(F40))&lt;=0.05,ABS(G40)&lt;=0.05),"OK","REVISAR")</f>
        <v/>
      </c>
      <c r="I40" s="25" t="n"/>
    </row>
    <row r="41" ht="15" customHeight="1">
      <c r="A41" s="25" t="inlineStr">
        <is>
          <t>DIST. TENA MTNEZ</t>
        </is>
      </c>
      <c r="B41" s="34" t="inlineStr">
        <is>
          <t>JULIO</t>
        </is>
      </c>
      <c r="C41" s="32">
        <f>SUM('_____DIST. TENA'!F6:F300)</f>
        <v/>
      </c>
      <c r="D41" s="32">
        <f>SUM('_____DIST. TENA'!I9:I300)</f>
        <v/>
      </c>
      <c r="E41" s="32" t="n">
        <v>3131.64</v>
      </c>
      <c r="F41" s="32">
        <f>IF(D41="","",ROUND(C41-D41,2))</f>
        <v/>
      </c>
      <c r="G41" s="32">
        <f>IF(D41="",ROUND(C41-E41,2),ROUND(D41-E41,2))</f>
        <v/>
      </c>
      <c r="H41" s="33">
        <f>IF(AND(ABS(N(F41))&lt;=0.05,ABS(G41)&lt;=0.05),"OK","REVISAR")</f>
        <v/>
      </c>
      <c r="I41" s="25" t="n"/>
    </row>
    <row r="42" ht="15" customHeight="1">
      <c r="A42" s="25" t="inlineStr">
        <is>
          <t>DIST. TENA MTNEZ</t>
        </is>
      </c>
      <c r="B42" s="35" t="inlineStr">
        <is>
          <t>AGOSTO</t>
        </is>
      </c>
      <c r="C42" s="32">
        <f>SUM('_____DIST. TENA'!P6:P300)</f>
        <v/>
      </c>
      <c r="D42" s="32">
        <f>SUM('_____DIST. TENA'!S9:S300)</f>
        <v/>
      </c>
      <c r="E42" s="32" t="n">
        <v>1320.36</v>
      </c>
      <c r="F42" s="32">
        <f>IF(D42="","",ROUND(C42-D42,2))</f>
        <v/>
      </c>
      <c r="G42" s="32">
        <f>IF(D42="",ROUND(C42-E42,2),ROUND(D42-E42,2))</f>
        <v/>
      </c>
      <c r="H42" s="33">
        <f>IF(AND(ABS(N(F42))&lt;=0.05,ABS(G42)&lt;=0.05),"OK","REVISAR")</f>
        <v/>
      </c>
      <c r="I42" s="25" t="n"/>
    </row>
    <row r="43" ht="15" customHeight="1">
      <c r="A43" s="25" t="inlineStr">
        <is>
          <t>DIST. TENA MTNEZ</t>
        </is>
      </c>
      <c r="B43" s="31" t="inlineStr">
        <is>
          <t>SEPTIEMBRE</t>
        </is>
      </c>
      <c r="C43" s="32">
        <f>SUM('_____DIST. TENA'!Z6:Z300)</f>
        <v/>
      </c>
      <c r="D43" s="32">
        <f>SUM('_____DIST. TENA'!AC9:AC300)</f>
        <v/>
      </c>
      <c r="E43" s="32">
        <f>SUMIF('TOTAL SEPTIEMBRE'!$B$4:$B$2000,"DIST. TENA MTNEZ",'TOTAL SEPTIEMBRE'!$D$4:$D$2000)</f>
        <v/>
      </c>
      <c r="F43" s="32">
        <f>IF(D43="","",ROUND(C43-D43,2))</f>
        <v/>
      </c>
      <c r="G43" s="32">
        <f>IF(D43="",ROUND(C43-E43,2),ROUND(D43-E43,2))</f>
        <v/>
      </c>
      <c r="H43" s="33">
        <f>IF(AND(ABS(N(F43))&lt;=0.05,ABS(G43)&lt;=0.05),"OK","REVISAR")</f>
        <v/>
      </c>
      <c r="I43" s="25" t="n"/>
    </row>
    <row r="44" ht="15" customHeight="1">
      <c r="A44" s="25" t="inlineStr">
        <is>
          <t>EIF DISTRIBUCIONES</t>
        </is>
      </c>
      <c r="B44" s="34" t="inlineStr">
        <is>
          <t>JULIO</t>
        </is>
      </c>
      <c r="C44" s="32">
        <f>SUM('_____EIF DISTRIBUCIONES'!F6:F300)</f>
        <v/>
      </c>
      <c r="D44" s="32">
        <f>SUM('_____EIF DISTRIBUCIONES'!I9:I300)</f>
        <v/>
      </c>
      <c r="E44" s="32" t="n">
        <v>646.58</v>
      </c>
      <c r="F44" s="32">
        <f>IF(D44="","",ROUND(C44-D44,2))</f>
        <v/>
      </c>
      <c r="G44" s="32">
        <f>IF(D44="",ROUND(C44-E44,2),ROUND(D44-E44,2))</f>
        <v/>
      </c>
      <c r="H44" s="33">
        <f>IF(AND(ABS(N(F44))&lt;=0.05,ABS(G44)&lt;=0.05),"OK","REVISAR")</f>
        <v/>
      </c>
      <c r="I44" s="25" t="n"/>
    </row>
    <row r="45" ht="15" customHeight="1">
      <c r="A45" s="25" t="inlineStr">
        <is>
          <t>EIF DISTRIBUCIONES</t>
        </is>
      </c>
      <c r="B45" s="35" t="inlineStr">
        <is>
          <t>AGOSTO</t>
        </is>
      </c>
      <c r="C45" s="32">
        <f>SUM('_____EIF DISTRIBUCIONES'!P6:P300)</f>
        <v/>
      </c>
      <c r="D45" s="32">
        <f>SUM('_____EIF DISTRIBUCIONES'!S9:S300)</f>
        <v/>
      </c>
      <c r="E45" s="32" t="n">
        <v>604.05</v>
      </c>
      <c r="F45" s="32">
        <f>IF(D45="","",ROUND(C45-D45,2))</f>
        <v/>
      </c>
      <c r="G45" s="32">
        <f>IF(D45="",ROUND(C45-E45,2),ROUND(D45-E45,2))</f>
        <v/>
      </c>
      <c r="H45" s="33">
        <f>IF(AND(ABS(N(F45))&lt;=0.05,ABS(G45)&lt;=0.05),"OK","REVISAR")</f>
        <v/>
      </c>
      <c r="I45" s="25" t="n"/>
    </row>
    <row r="46" ht="15" customHeight="1">
      <c r="A46" s="25" t="inlineStr">
        <is>
          <t>ENRIQUE CAMPS</t>
        </is>
      </c>
      <c r="B46" s="34" t="inlineStr">
        <is>
          <t>JULIO</t>
        </is>
      </c>
      <c r="C46" s="32">
        <f>SUM('_____ENRIQUE CAMPS'!F6:F300)</f>
        <v/>
      </c>
      <c r="D46" s="32">
        <f>SUM('_____ENRIQUE CAMPS'!I9:I300)</f>
        <v/>
      </c>
      <c r="E46" s="32" t="n">
        <v>1189</v>
      </c>
      <c r="F46" s="32">
        <f>IF(D46="","",ROUND(C46-D46,2))</f>
        <v/>
      </c>
      <c r="G46" s="32">
        <f>IF(D46="",ROUND(C46-E46,2),ROUND(D46-E46,2))</f>
        <v/>
      </c>
      <c r="H46" s="33">
        <f>IF(AND(ABS(N(F46))&lt;=0.05,ABS(G46)&lt;=0.05),"OK","REVISAR")</f>
        <v/>
      </c>
      <c r="I46" s="25" t="n"/>
    </row>
    <row r="47" ht="15" customHeight="1">
      <c r="A47" s="25" t="inlineStr">
        <is>
          <t>ENRIQUE CAMPS</t>
        </is>
      </c>
      <c r="B47" s="35" t="inlineStr">
        <is>
          <t>AGOSTO</t>
        </is>
      </c>
      <c r="C47" s="32">
        <f>SUM('_____ENRIQUE CAMPS'!P6:P300)</f>
        <v/>
      </c>
      <c r="D47" s="32">
        <f>SUM('_____ENRIQUE CAMPS'!S9:S300)</f>
        <v/>
      </c>
      <c r="E47" s="32" t="n">
        <v>432</v>
      </c>
      <c r="F47" s="32">
        <f>IF(D47="","",ROUND(C47-D47,2))</f>
        <v/>
      </c>
      <c r="G47" s="32">
        <f>IF(D47="",ROUND(C47-E47,2),ROUND(D47-E47,2))</f>
        <v/>
      </c>
      <c r="H47" s="33">
        <f>IF(AND(ABS(N(F47))&lt;=0.05,ABS(G47)&lt;=0.05),"OK","REVISAR")</f>
        <v/>
      </c>
      <c r="I47" s="25" t="n"/>
    </row>
    <row r="48" ht="15" customHeight="1">
      <c r="A48" s="25" t="inlineStr">
        <is>
          <t>ENRIQUE CAMPS</t>
        </is>
      </c>
      <c r="B48" s="31" t="inlineStr">
        <is>
          <t>SEPTIEMBRE</t>
        </is>
      </c>
      <c r="C48" s="32">
        <f>SUM('_____ENRIQUE CAMPS'!Z6:Z300)</f>
        <v/>
      </c>
      <c r="D48" s="32">
        <f>SUM('_____ENRIQUE CAMPS'!AC9:AC300)</f>
        <v/>
      </c>
      <c r="E48" s="32">
        <f>SUMIF('TOTAL SEPTIEMBRE'!$B$4:$B$2000,"ENRIQUE CAMPS",'TOTAL SEPTIEMBRE'!$D$4:$D$2000)</f>
        <v/>
      </c>
      <c r="F48" s="32">
        <f>IF(D48="","",ROUND(C48-D48,2))</f>
        <v/>
      </c>
      <c r="G48" s="32">
        <f>IF(D48="",ROUND(C48-E48,2),ROUND(D48-E48,2))</f>
        <v/>
      </c>
      <c r="H48" s="33">
        <f>IF(AND(ABS(N(F48))&lt;=0.05,ABS(G48)&lt;=0.05),"OK","REVISAR")</f>
        <v/>
      </c>
      <c r="I48" s="25" t="n"/>
    </row>
    <row r="49" ht="15" customHeight="1">
      <c r="A49" s="25" t="inlineStr">
        <is>
          <t>ESCRIBANO SANZ</t>
        </is>
      </c>
      <c r="B49" s="34" t="inlineStr">
        <is>
          <t>JULIO</t>
        </is>
      </c>
      <c r="C49" s="32">
        <f>SUM('_____ESCRIBANO SANZ'!F6:F300)</f>
        <v/>
      </c>
      <c r="D49" s="32">
        <f>SUM('_____ESCRIBANO SANZ'!I9:I300)</f>
        <v/>
      </c>
      <c r="E49" s="32" t="n">
        <v>193.7</v>
      </c>
      <c r="F49" s="32">
        <f>IF(D49="","",ROUND(C49-D49,2))</f>
        <v/>
      </c>
      <c r="G49" s="32">
        <f>IF(D49="",ROUND(C49-E49,2),ROUND(D49-E49,2))</f>
        <v/>
      </c>
      <c r="H49" s="33">
        <f>IF(AND(ABS(N(F49))&lt;=0.05,ABS(G49)&lt;=0.05),"OK","REVISAR")</f>
        <v/>
      </c>
      <c r="I49" s="25" t="n"/>
    </row>
    <row r="50" ht="15" customHeight="1">
      <c r="A50" s="25" t="inlineStr">
        <is>
          <t>ESCRIBANO SANZ</t>
        </is>
      </c>
      <c r="B50" s="35" t="inlineStr">
        <is>
          <t>AGOSTO</t>
        </is>
      </c>
      <c r="C50" s="32">
        <f>SUM('_____ESCRIBANO SANZ'!P6:P300)</f>
        <v/>
      </c>
      <c r="D50" s="32">
        <f>SUM('_____ESCRIBANO SANZ'!S9:S300)</f>
        <v/>
      </c>
      <c r="E50" s="32" t="n">
        <v>84.48</v>
      </c>
      <c r="F50" s="32">
        <f>IF(D50="","",ROUND(C50-D50,2))</f>
        <v/>
      </c>
      <c r="G50" s="32">
        <f>IF(D50="",ROUND(C50-E50,2),ROUND(D50-E50,2))</f>
        <v/>
      </c>
      <c r="H50" s="33">
        <f>IF(AND(ABS(N(F50))&lt;=0.05,ABS(G50)&lt;=0.05),"OK","REVISAR")</f>
        <v/>
      </c>
      <c r="I50" s="25" t="n"/>
    </row>
    <row r="51" ht="15" customHeight="1">
      <c r="A51" s="25" t="inlineStr">
        <is>
          <t>ESCRIBANO SANZ</t>
        </is>
      </c>
      <c r="B51" s="31" t="inlineStr">
        <is>
          <t>SEPTIEMBRE</t>
        </is>
      </c>
      <c r="C51" s="32">
        <f>SUM('_____ESCRIBANO SANZ'!Z6:Z300)</f>
        <v/>
      </c>
      <c r="D51" s="32">
        <f>SUM('_____ESCRIBANO SANZ'!AC9:AC300)</f>
        <v/>
      </c>
      <c r="E51" s="32">
        <f>SUMIF('TOTAL SEPTIEMBRE'!$B$4:$B$2000,"ESCRIBANO SANZ",'TOTAL SEPTIEMBRE'!$D$4:$D$2000)</f>
        <v/>
      </c>
      <c r="F51" s="32">
        <f>IF(D51="","",ROUND(C51-D51,2))</f>
        <v/>
      </c>
      <c r="G51" s="32">
        <f>IF(D51="",ROUND(C51-E51,2),ROUND(D51-E51,2))</f>
        <v/>
      </c>
      <c r="H51" s="33">
        <f>IF(AND(ABS(N(F51))&lt;=0.05,ABS(G51)&lt;=0.05),"OK","REVISAR")</f>
        <v/>
      </c>
      <c r="I51" s="25" t="n"/>
    </row>
    <row r="52" ht="15" customHeight="1">
      <c r="A52" s="25" t="inlineStr">
        <is>
          <t>EXTRAMAR</t>
        </is>
      </c>
      <c r="B52" s="31" t="inlineStr">
        <is>
          <t>SEPTIEMBRE</t>
        </is>
      </c>
      <c r="C52" s="32">
        <f>SUM(_____EXTRAMAR!F6:F300)</f>
        <v/>
      </c>
      <c r="D52" s="32">
        <f>SUM(_____EXTRAMAR!I9:I300)</f>
        <v/>
      </c>
      <c r="E52" s="32">
        <f>SUMIF('TOTAL SEPTIEMBRE'!$B$4:$B$2000,"EXTRAMAR",'TOTAL SEPTIEMBRE'!$D$4:$D$2000)</f>
        <v/>
      </c>
      <c r="F52" s="32">
        <f>IF(D52="","",ROUND(C52-D52,2))</f>
        <v/>
      </c>
      <c r="G52" s="32">
        <f>IF(D52="",ROUND(C52-E52,2),ROUND(D52-E52,2))</f>
        <v/>
      </c>
      <c r="H52" s="33">
        <f>IF(AND(ABS(N(F52))&lt;=0.05,ABS(G52)&lt;=0.05),"OK","REVISAR")</f>
        <v/>
      </c>
      <c r="I52" s="25" t="n"/>
    </row>
    <row r="53" ht="15" customHeight="1">
      <c r="A53" s="25" t="inlineStr">
        <is>
          <t>FCO JAVIER LABRADOR</t>
        </is>
      </c>
      <c r="B53" s="34" t="inlineStr">
        <is>
          <t>JULIO</t>
        </is>
      </c>
      <c r="C53" s="32">
        <f>SUM('_____FCO JAVIER LABRADOR'!F6:F300)</f>
        <v/>
      </c>
      <c r="D53" s="32">
        <f>SUM('_____FCO JAVIER LABRADOR'!I9:I300)</f>
        <v/>
      </c>
      <c r="E53" s="32" t="n">
        <v>183.2</v>
      </c>
      <c r="F53" s="32">
        <f>IF(D53="","",ROUND(C53-D53,2))</f>
        <v/>
      </c>
      <c r="G53" s="32">
        <f>IF(D53="",ROUND(C53-E53,2),ROUND(D53-E53,2))</f>
        <v/>
      </c>
      <c r="H53" s="33">
        <f>IF(AND(ABS(N(F53))&lt;=0.05,ABS(G53)&lt;=0.05),"OK","REVISAR")</f>
        <v/>
      </c>
      <c r="I53" s="25" t="n"/>
    </row>
    <row r="54" ht="15" customHeight="1">
      <c r="A54" s="25" t="inlineStr">
        <is>
          <t>FCO JAVIER LABRADOR</t>
        </is>
      </c>
      <c r="B54" s="35" t="inlineStr">
        <is>
          <t>AGOSTO</t>
        </is>
      </c>
      <c r="C54" s="32">
        <f>SUM('_____FCO JAVIER LABRADOR'!P6:P300)</f>
        <v/>
      </c>
      <c r="D54" s="32">
        <f>SUM('_____FCO JAVIER LABRADOR'!S9:S300)</f>
        <v/>
      </c>
      <c r="E54" s="32" t="n">
        <v>91.59999999999999</v>
      </c>
      <c r="F54" s="32">
        <f>IF(D54="","",ROUND(C54-D54,2))</f>
        <v/>
      </c>
      <c r="G54" s="32">
        <f>IF(D54="",ROUND(C54-E54,2),ROUND(D54-E54,2))</f>
        <v/>
      </c>
      <c r="H54" s="33">
        <f>IF(AND(ABS(N(F54))&lt;=0.05,ABS(G54)&lt;=0.05),"OK","REVISAR")</f>
        <v/>
      </c>
      <c r="I54" s="25" t="n"/>
    </row>
    <row r="55" ht="15" customHeight="1">
      <c r="A55" s="25" t="inlineStr">
        <is>
          <t>FCO JAVIER LABRADOR</t>
        </is>
      </c>
      <c r="B55" s="31" t="inlineStr">
        <is>
          <t>SEPTIEMBRE</t>
        </is>
      </c>
      <c r="C55" s="32">
        <f>SUM('_____FCO JAVIER LABRADOR'!Z6:Z300)</f>
        <v/>
      </c>
      <c r="D55" s="32">
        <f>SUM('_____FCO JAVIER LABRADOR'!AC9:AC300)</f>
        <v/>
      </c>
      <c r="E55" s="32">
        <f>SUMIF('TOTAL SEPTIEMBRE'!$B$4:$B$2000,"FCO JAVIER LABRADOR",'TOTAL SEPTIEMBRE'!$D$4:$D$2000)</f>
        <v/>
      </c>
      <c r="F55" s="32">
        <f>IF(D55="","",ROUND(C55-D55,2))</f>
        <v/>
      </c>
      <c r="G55" s="32">
        <f>IF(D55="",ROUND(C55-E55,2),ROUND(D55-E55,2))</f>
        <v/>
      </c>
      <c r="H55" s="33">
        <f>IF(AND(ABS(N(F55))&lt;=0.05,ABS(G55)&lt;=0.05),"OK","REVISAR")</f>
        <v/>
      </c>
      <c r="I55" s="25" t="n"/>
    </row>
    <row r="56" ht="15" customHeight="1">
      <c r="A56" s="25" t="inlineStr">
        <is>
          <t>FRUTERIA D'ALISTE</t>
        </is>
      </c>
      <c r="B56" s="34" t="inlineStr">
        <is>
          <t>JULIO</t>
        </is>
      </c>
      <c r="C56" s="32">
        <f>SUM('_____FRUTERIA DALISTE'!F6:F300)</f>
        <v/>
      </c>
      <c r="D56" s="32">
        <f>SUM('_____FRUTERIA DALISTE'!I9:I300)</f>
        <v/>
      </c>
      <c r="E56" s="32" t="n">
        <v>158.99</v>
      </c>
      <c r="F56" s="32">
        <f>IF(D56="","",ROUND(C56-D56,2))</f>
        <v/>
      </c>
      <c r="G56" s="32">
        <f>IF(D56="",ROUND(C56-E56,2),ROUND(D56-E56,2))</f>
        <v/>
      </c>
      <c r="H56" s="33">
        <f>IF(AND(ABS(N(F56))&lt;=0.05,ABS(G56)&lt;=0.05),"OK","REVISAR")</f>
        <v/>
      </c>
      <c r="I56" s="25" t="n"/>
    </row>
    <row r="57" ht="15" customHeight="1">
      <c r="A57" s="25" t="inlineStr">
        <is>
          <t>HIELOS ANGEL ICE</t>
        </is>
      </c>
      <c r="B57" s="31" t="inlineStr">
        <is>
          <t>SEPTIEMBRE</t>
        </is>
      </c>
      <c r="C57" s="32">
        <f>SUM('_____HIELOS ANGEL ICE'!F6:F300)</f>
        <v/>
      </c>
      <c r="D57" s="32">
        <f>SUM('_____HIELOS ANGEL ICE'!I9:I300)</f>
        <v/>
      </c>
      <c r="E57" s="32">
        <f>SUMIF('TOTAL SEPTIEMBRE'!$B$4:$B$2000,"HIELOS ANGEL ICE",'TOTAL SEPTIEMBRE'!$D$4:$D$2000)</f>
        <v/>
      </c>
      <c r="F57" s="32">
        <f>IF(D57="","",ROUND(C57-D57,2))</f>
        <v/>
      </c>
      <c r="G57" s="32">
        <f>IF(D57="",ROUND(C57-E57,2),ROUND(D57-E57,2))</f>
        <v/>
      </c>
      <c r="H57" s="33">
        <f>IF(AND(ABS(N(F57))&lt;=0.05,ABS(G57)&lt;=0.05),"OK","REVISAR")</f>
        <v/>
      </c>
      <c r="I57" s="25" t="n"/>
    </row>
    <row r="58" ht="15" customHeight="1">
      <c r="A58" s="25" t="inlineStr">
        <is>
          <t>INESCU SERVICES</t>
        </is>
      </c>
      <c r="B58" s="31" t="inlineStr">
        <is>
          <t>SEPTIEMBRE</t>
        </is>
      </c>
      <c r="C58" s="32">
        <f>SUM('_____INESCU SERVICES'!F6:F300)</f>
        <v/>
      </c>
      <c r="D58" s="32">
        <f>SUM('_____INESCU SERVICES'!I9:I300)</f>
        <v/>
      </c>
      <c r="E58" s="32">
        <f>SUMIF('TOTAL SEPTIEMBRE'!$B$4:$B$2000,"INESCU SERVICES",'TOTAL SEPTIEMBRE'!$D$4:$D$2000)</f>
        <v/>
      </c>
      <c r="F58" s="32">
        <f>IF(D58="","",ROUND(C58-D58,2))</f>
        <v/>
      </c>
      <c r="G58" s="32">
        <f>IF(D58="",ROUND(C58-E58,2),ROUND(D58-E58,2))</f>
        <v/>
      </c>
      <c r="H58" s="33">
        <f>IF(AND(ABS(N(F58))&lt;=0.05,ABS(G58)&lt;=0.05),"OK","REVISAR")</f>
        <v/>
      </c>
      <c r="I58" s="25" t="n"/>
    </row>
    <row r="59" ht="15" customHeight="1">
      <c r="A59" s="25" t="inlineStr">
        <is>
          <t>JC MACKINTOSH</t>
        </is>
      </c>
      <c r="B59" s="35" t="inlineStr">
        <is>
          <t>AGOSTO</t>
        </is>
      </c>
      <c r="C59" s="32">
        <f>SUM('_____JC MACKINTOSH'!F6:F300)</f>
        <v/>
      </c>
      <c r="D59" s="32">
        <f>SUM('_____JC MACKINTOSH'!I9:I300)</f>
        <v/>
      </c>
      <c r="E59" s="32" t="n">
        <v>516</v>
      </c>
      <c r="F59" s="32">
        <f>IF(D59="","",ROUND(C59-D59,2))</f>
        <v/>
      </c>
      <c r="G59" s="32">
        <f>IF(D59="",ROUND(C59-E59,2),ROUND(D59-E59,2))</f>
        <v/>
      </c>
      <c r="H59" s="33">
        <f>IF(AND(ABS(N(F59))&lt;=0.05,ABS(G59)&lt;=0.05),"OK","REVISAR")</f>
        <v/>
      </c>
      <c r="I59" s="25" t="n"/>
    </row>
    <row r="60" ht="15" customHeight="1">
      <c r="A60" s="25" t="inlineStr">
        <is>
          <t>JOSE PEÑA</t>
        </is>
      </c>
      <c r="B60" s="34" t="inlineStr">
        <is>
          <t>JULIO</t>
        </is>
      </c>
      <c r="C60" s="32">
        <f>SUM('_____JOSE PEÑA'!F6:F300)</f>
        <v/>
      </c>
      <c r="D60" s="32">
        <f>SUM('_____JOSE PEÑA'!I9:I300)</f>
        <v/>
      </c>
      <c r="E60" s="32" t="n">
        <v>748.5</v>
      </c>
      <c r="F60" s="32">
        <f>IF(D60="","",ROUND(C60-D60,2))</f>
        <v/>
      </c>
      <c r="G60" s="32">
        <f>IF(D60="",ROUND(C60-E60,2),ROUND(D60-E60,2))</f>
        <v/>
      </c>
      <c r="H60" s="33">
        <f>IF(AND(ABS(N(F60))&lt;=0.05,ABS(G60)&lt;=0.05),"OK","REVISAR")</f>
        <v/>
      </c>
      <c r="I60" s="25" t="n"/>
    </row>
    <row r="61" ht="15" customHeight="1">
      <c r="A61" s="25" t="inlineStr">
        <is>
          <t>JOSE ROMERO PLAZA</t>
        </is>
      </c>
      <c r="B61" s="34" t="inlineStr">
        <is>
          <t>JULIO</t>
        </is>
      </c>
      <c r="C61" s="32">
        <f>SUM('_____JOSE ROMERO PLAZA'!F6:F300)</f>
        <v/>
      </c>
      <c r="D61" s="32">
        <f>SUM('_____JOSE ROMERO PLAZA'!I9:I300)</f>
        <v/>
      </c>
      <c r="E61" s="32" t="n">
        <v>444.1</v>
      </c>
      <c r="F61" s="32">
        <f>IF(D61="","",ROUND(C61-D61,2))</f>
        <v/>
      </c>
      <c r="G61" s="32">
        <f>IF(D61="",ROUND(C61-E61,2),ROUND(D61-E61,2))</f>
        <v/>
      </c>
      <c r="H61" s="33">
        <f>IF(AND(ABS(N(F61))&lt;=0.05,ABS(G61)&lt;=0.05),"OK","REVISAR")</f>
        <v/>
      </c>
      <c r="I61" s="25" t="n"/>
    </row>
    <row r="62" ht="15" customHeight="1">
      <c r="A62" s="25" t="inlineStr">
        <is>
          <t>JOSE ROMERO PLAZA</t>
        </is>
      </c>
      <c r="B62" s="31" t="inlineStr">
        <is>
          <t>SEPTIEMBRE</t>
        </is>
      </c>
      <c r="C62" s="32">
        <f>SUM('_____JOSE ROMERO PLAZA'!P6:P300)</f>
        <v/>
      </c>
      <c r="D62" s="32">
        <f>SUM('_____JOSE ROMERO PLAZA'!S9:S300)</f>
        <v/>
      </c>
      <c r="E62" s="32">
        <f>SUMIF('TOTAL SEPTIEMBRE'!$B$4:$B$2000,"JOSE ROMERO PLAZA",'TOTAL SEPTIEMBRE'!$D$4:$D$2000)</f>
        <v/>
      </c>
      <c r="F62" s="32">
        <f>IF(D62="","",ROUND(C62-D62,2))</f>
        <v/>
      </c>
      <c r="G62" s="32">
        <f>IF(D62="",ROUND(C62-E62,2),ROUND(D62-E62,2))</f>
        <v/>
      </c>
      <c r="H62" s="33">
        <f>IF(AND(ABS(N(F62))&lt;=0.05,ABS(G62)&lt;=0.05),"OK","REVISAR")</f>
        <v/>
      </c>
      <c r="I62" s="25" t="n"/>
    </row>
    <row r="63" ht="15" customHeight="1">
      <c r="A63" s="25" t="inlineStr">
        <is>
          <t>LEVADURA MADRE</t>
        </is>
      </c>
      <c r="B63" s="31" t="inlineStr">
        <is>
          <t>SEPTIEMBRE</t>
        </is>
      </c>
      <c r="C63" s="32">
        <f>SUM('_____LEVADURA MADRE'!F6:F300)</f>
        <v/>
      </c>
      <c r="D63" s="32">
        <f>SUM('_____LEVADURA MADRE'!I9:I300)</f>
        <v/>
      </c>
      <c r="E63" s="32">
        <f>SUMIF('TOTAL SEPTIEMBRE'!$B$4:$B$2000,"LEVADURA MADRE",'TOTAL SEPTIEMBRE'!$D$4:$D$2000)</f>
        <v/>
      </c>
      <c r="F63" s="32">
        <f>IF(D63="","",ROUND(C63-D63,2))</f>
        <v/>
      </c>
      <c r="G63" s="32">
        <f>IF(D63="",ROUND(C63-E63,2),ROUND(D63-E63,2))</f>
        <v/>
      </c>
      <c r="H63" s="33">
        <f>IF(AND(ABS(N(F63))&lt;=0.05,ABS(G63)&lt;=0.05),"OK","REVISAR")</f>
        <v/>
      </c>
      <c r="I63" s="25" t="n"/>
    </row>
    <row r="64" ht="15" customHeight="1">
      <c r="A64" s="25" t="inlineStr">
        <is>
          <t>MAGOASE</t>
        </is>
      </c>
      <c r="B64" s="34" t="inlineStr">
        <is>
          <t>JULIO</t>
        </is>
      </c>
      <c r="C64" s="32">
        <f>SUM(_____MAGOASE!F6:F300)</f>
        <v/>
      </c>
      <c r="D64" s="32">
        <f>SUM(_____MAGOASE!I9:I300)</f>
        <v/>
      </c>
      <c r="E64" s="32" t="n">
        <v>1815.6</v>
      </c>
      <c r="F64" s="32">
        <f>IF(D64="","",ROUND(C64-D64,2))</f>
        <v/>
      </c>
      <c r="G64" s="32">
        <f>IF(D64="",ROUND(C64-E64,2),ROUND(D64-E64,2))</f>
        <v/>
      </c>
      <c r="H64" s="33">
        <f>IF(AND(ABS(N(F64))&lt;=0.05,ABS(G64)&lt;=0.05),"OK","REVISAR")</f>
        <v/>
      </c>
      <c r="I64" s="25" t="n"/>
    </row>
    <row r="65" ht="15" customHeight="1">
      <c r="A65" s="25" t="inlineStr">
        <is>
          <t>MAGOASE</t>
        </is>
      </c>
      <c r="B65" s="35" t="inlineStr">
        <is>
          <t>AGOSTO</t>
        </is>
      </c>
      <c r="C65" s="32">
        <f>SUM(_____MAGOASE!P6:P300)</f>
        <v/>
      </c>
      <c r="D65" s="32">
        <f>SUM(_____MAGOASE!S9:S300)</f>
        <v/>
      </c>
      <c r="E65" s="32" t="n">
        <v>930.8</v>
      </c>
      <c r="F65" s="32">
        <f>IF(D65="","",ROUND(C65-D65,2))</f>
        <v/>
      </c>
      <c r="G65" s="32">
        <f>IF(D65="",ROUND(C65-E65,2),ROUND(D65-E65,2))</f>
        <v/>
      </c>
      <c r="H65" s="33">
        <f>IF(AND(ABS(N(F65))&lt;=0.05,ABS(G65)&lt;=0.05),"OK","REVISAR")</f>
        <v/>
      </c>
      <c r="I65" s="25" t="n"/>
    </row>
    <row r="66" ht="15" customHeight="1">
      <c r="A66" s="25" t="inlineStr">
        <is>
          <t>MAGOASE</t>
        </is>
      </c>
      <c r="B66" s="31" t="inlineStr">
        <is>
          <t>SEPTIEMBRE</t>
        </is>
      </c>
      <c r="C66" s="32">
        <f>SUM(_____MAGOASE!Z6:Z300)</f>
        <v/>
      </c>
      <c r="D66" s="32">
        <f>SUM(_____MAGOASE!AC9:AC300)</f>
        <v/>
      </c>
      <c r="E66" s="32">
        <f>SUMIF('TOTAL SEPTIEMBRE'!$B$4:$B$2000,"MAGOASE",'TOTAL SEPTIEMBRE'!$D$4:$D$2000)</f>
        <v/>
      </c>
      <c r="F66" s="32">
        <f>IF(D66="","",ROUND(C66-D66,2))</f>
        <v/>
      </c>
      <c r="G66" s="32">
        <f>IF(D66="",ROUND(C66-E66,2),ROUND(D66-E66,2))</f>
        <v/>
      </c>
      <c r="H66" s="33">
        <f>IF(AND(ABS(N(F66))&lt;=0.05,ABS(G66)&lt;=0.05),"OK","REVISAR")</f>
        <v/>
      </c>
      <c r="I66" s="25" t="n"/>
    </row>
    <row r="67" ht="15" customHeight="1">
      <c r="A67" s="25" t="inlineStr">
        <is>
          <t>MAHOU</t>
        </is>
      </c>
      <c r="B67" s="31" t="inlineStr">
        <is>
          <t>SEPTIEMBRE</t>
        </is>
      </c>
      <c r="C67" s="32">
        <f>SUM(_____MAHOU!F6:F300)</f>
        <v/>
      </c>
      <c r="D67" s="32">
        <f>SUM(_____MAHOU!I9:I300)</f>
        <v/>
      </c>
      <c r="E67" s="32">
        <f>SUMIF('TOTAL SEPTIEMBRE'!$B$4:$B$2000,"MAHOU",'TOTAL SEPTIEMBRE'!$D$4:$D$2000)</f>
        <v/>
      </c>
      <c r="F67" s="32">
        <f>IF(D67="","",ROUND(C67-D67,2))</f>
        <v/>
      </c>
      <c r="G67" s="32">
        <f>IF(D67="",ROUND(C67-E67,2),ROUND(D67-E67,2))</f>
        <v/>
      </c>
      <c r="H67" s="33">
        <f>IF(AND(ABS(N(F67))&lt;=0.05,ABS(G67)&lt;=0.05),"OK","REVISAR")</f>
        <v/>
      </c>
      <c r="I67" s="25" t="n"/>
    </row>
    <row r="68" ht="15" customHeight="1">
      <c r="A68" s="25" t="inlineStr">
        <is>
          <t>MAKRO</t>
        </is>
      </c>
      <c r="B68" s="34" t="inlineStr">
        <is>
          <t>JULIO</t>
        </is>
      </c>
      <c r="C68" s="32">
        <f>SUM(_____MAKRO!F6:F300)</f>
        <v/>
      </c>
      <c r="D68" s="32">
        <f>SUM(_____MAKRO!I9:I300)</f>
        <v/>
      </c>
      <c r="E68" s="32" t="n">
        <v>227.89</v>
      </c>
      <c r="F68" s="32">
        <f>IF(D68="","",ROUND(C68-D68,2))</f>
        <v/>
      </c>
      <c r="G68" s="32">
        <f>IF(D68="",ROUND(C68-E68,2),ROUND(D68-E68,2))</f>
        <v/>
      </c>
      <c r="H68" s="33">
        <f>IF(AND(ABS(N(F68))&lt;=0.05,ABS(G68)&lt;=0.05),"OK","REVISAR")</f>
        <v/>
      </c>
      <c r="I68" s="25" t="n"/>
    </row>
    <row r="69" ht="15" customHeight="1">
      <c r="A69" s="25" t="inlineStr">
        <is>
          <t>MAKRO</t>
        </is>
      </c>
      <c r="B69" s="31" t="inlineStr">
        <is>
          <t>SEPTIEMBRE</t>
        </is>
      </c>
      <c r="C69" s="32">
        <f>SUM(_____MAKRO!P6:P300)</f>
        <v/>
      </c>
      <c r="D69" s="32">
        <f>SUM(_____MAKRO!S9:S300)</f>
        <v/>
      </c>
      <c r="E69" s="32">
        <f>SUMIF('TOTAL SEPTIEMBRE'!$B$4:$B$2000,"MAKRO",'TOTAL SEPTIEMBRE'!$D$4:$D$2000)</f>
        <v/>
      </c>
      <c r="F69" s="32">
        <f>IF(D69="","",ROUND(C69-D69,2))</f>
        <v/>
      </c>
      <c r="G69" s="32">
        <f>IF(D69="",ROUND(C69-E69,2),ROUND(D69-E69,2))</f>
        <v/>
      </c>
      <c r="H69" s="33">
        <f>IF(AND(ABS(N(F69))&lt;=0.05,ABS(G69)&lt;=0.05),"OK","REVISAR")</f>
        <v/>
      </c>
      <c r="I69" s="25" t="n"/>
    </row>
    <row r="70" ht="15" customHeight="1">
      <c r="A70" s="25" t="inlineStr">
        <is>
          <t>MANUEL AMBRES</t>
        </is>
      </c>
      <c r="B70" s="34" t="inlineStr">
        <is>
          <t>JULIO</t>
        </is>
      </c>
      <c r="C70" s="32">
        <f>SUM('_____MANU AMBRES'!F6:F300)</f>
        <v/>
      </c>
      <c r="D70" s="32">
        <f>SUM('_____MANU AMBRES'!I9:I300)</f>
        <v/>
      </c>
      <c r="E70" s="32" t="n">
        <v>904.8200000000001</v>
      </c>
      <c r="F70" s="32">
        <f>IF(D70="","",ROUND(C70-D70,2))</f>
        <v/>
      </c>
      <c r="G70" s="32">
        <f>IF(D70="",ROUND(C70-E70,2),ROUND(D70-E70,2))</f>
        <v/>
      </c>
      <c r="H70" s="33">
        <f>IF(AND(ABS(N(F70))&lt;=0.05,ABS(G70)&lt;=0.05),"OK","REVISAR")</f>
        <v/>
      </c>
      <c r="I70" s="25" t="n"/>
    </row>
    <row r="71" ht="15" customHeight="1">
      <c r="A71" s="25" t="inlineStr">
        <is>
          <t>MANUEL AMBRES</t>
        </is>
      </c>
      <c r="B71" s="35" t="inlineStr">
        <is>
          <t>AGOSTO</t>
        </is>
      </c>
      <c r="C71" s="32">
        <f>SUM('_____MANU AMBRES'!P6:P300)</f>
        <v/>
      </c>
      <c r="D71" s="32">
        <f>SUM('_____MANU AMBRES'!S9:S300)</f>
        <v/>
      </c>
      <c r="E71" s="32" t="n">
        <v>425</v>
      </c>
      <c r="F71" s="32">
        <f>IF(D71="","",ROUND(C71-D71,2))</f>
        <v/>
      </c>
      <c r="G71" s="32">
        <f>IF(D71="",ROUND(C71-E71,2),ROUND(D71-E71,2))</f>
        <v/>
      </c>
      <c r="H71" s="33">
        <f>IF(AND(ABS(N(F71))&lt;=0.05,ABS(G71)&lt;=0.05),"OK","REVISAR")</f>
        <v/>
      </c>
      <c r="I71" s="25" t="n"/>
    </row>
    <row r="72" ht="15" customHeight="1">
      <c r="A72" s="25" t="inlineStr">
        <is>
          <t>MANUEL AMBRES</t>
        </is>
      </c>
      <c r="B72" s="31" t="inlineStr">
        <is>
          <t>SEPTIEMBRE</t>
        </is>
      </c>
      <c r="C72" s="32">
        <f>SUM('_____MANU AMBRES'!Z6:Z300)</f>
        <v/>
      </c>
      <c r="D72" s="32">
        <f>SUM('_____MANU AMBRES'!AC9:AC300)</f>
        <v/>
      </c>
      <c r="E72" s="32">
        <f>SUMIF('TOTAL SEPTIEMBRE'!$B$4:$B$2000,"MANUEL AMBRES",'TOTAL SEPTIEMBRE'!$D$4:$D$2000)</f>
        <v/>
      </c>
      <c r="F72" s="32">
        <f>IF(D72="","",ROUND(C72-D72,2))</f>
        <v/>
      </c>
      <c r="G72" s="32">
        <f>IF(D72="",ROUND(C72-E72,2),ROUND(D72-E72,2))</f>
        <v/>
      </c>
      <c r="H72" s="33">
        <f>IF(AND(ABS(N(F72))&lt;=0.05,ABS(G72)&lt;=0.05),"OK","REVISAR")</f>
        <v/>
      </c>
      <c r="I72" s="25" t="n"/>
    </row>
    <row r="73" ht="15" customHeight="1">
      <c r="A73" s="25" t="inlineStr">
        <is>
          <t>MARTIN CANEDA</t>
        </is>
      </c>
      <c r="B73" s="34" t="inlineStr">
        <is>
          <t>JULIO</t>
        </is>
      </c>
      <c r="C73" s="32">
        <f>SUM('_____MARTIN CANEDA'!F6:F300)</f>
        <v/>
      </c>
      <c r="D73" s="32">
        <f>SUM('_____MARTIN CANEDA'!I9:I300)</f>
        <v/>
      </c>
      <c r="E73" s="32" t="n">
        <v>3561.4</v>
      </c>
      <c r="F73" s="32">
        <f>IF(D73="","",ROUND(C73-D73,2))</f>
        <v/>
      </c>
      <c r="G73" s="32">
        <f>IF(D73="",ROUND(C73-E73,2),ROUND(D73-E73,2))</f>
        <v/>
      </c>
      <c r="H73" s="33">
        <f>IF(AND(ABS(N(F73))&lt;=0.05,ABS(G73)&lt;=0.05),"OK","REVISAR")</f>
        <v/>
      </c>
      <c r="I73" s="25" t="n"/>
    </row>
    <row r="74" ht="15" customHeight="1">
      <c r="A74" s="25" t="inlineStr">
        <is>
          <t>MARTIN CANEDA</t>
        </is>
      </c>
      <c r="B74" s="35" t="inlineStr">
        <is>
          <t>AGOSTO</t>
        </is>
      </c>
      <c r="C74" s="32">
        <f>SUM('_____MARTIN CANEDA'!P6:P300)</f>
        <v/>
      </c>
      <c r="D74" s="32">
        <f>SUM('_____MARTIN CANEDA'!S9:S300)</f>
        <v/>
      </c>
      <c r="E74" s="32" t="n">
        <v>1617.8</v>
      </c>
      <c r="F74" s="32">
        <f>IF(D74="","",ROUND(C74-D74,2))</f>
        <v/>
      </c>
      <c r="G74" s="32">
        <f>IF(D74="",ROUND(C74-E74,2),ROUND(D74-E74,2))</f>
        <v/>
      </c>
      <c r="H74" s="33">
        <f>IF(AND(ABS(N(F74))&lt;=0.05,ABS(G74)&lt;=0.05),"OK","REVISAR")</f>
        <v/>
      </c>
      <c r="I74" s="25" t="n"/>
    </row>
    <row r="75" ht="15" customHeight="1">
      <c r="A75" s="25" t="inlineStr">
        <is>
          <t>MARTIN CANEDA</t>
        </is>
      </c>
      <c r="B75" s="31" t="inlineStr">
        <is>
          <t>SEPTIEMBRE</t>
        </is>
      </c>
      <c r="C75" s="32">
        <f>SUM('_____MARTIN CANEDA'!Z6:Z300)</f>
        <v/>
      </c>
      <c r="D75" s="32">
        <f>SUM('_____MARTIN CANEDA'!AC9:AC300)</f>
        <v/>
      </c>
      <c r="E75" s="32">
        <f>SUMIF('TOTAL SEPTIEMBRE'!$B$4:$B$2000,"MARTIN CANEDA",'TOTAL SEPTIEMBRE'!$D$4:$D$2000)</f>
        <v/>
      </c>
      <c r="F75" s="32">
        <f>IF(D75="","",ROUND(C75-D75,2))</f>
        <v/>
      </c>
      <c r="G75" s="32">
        <f>IF(D75="",ROUND(C75-E75,2),ROUND(D75-E75,2))</f>
        <v/>
      </c>
      <c r="H75" s="33">
        <f>IF(AND(ABS(N(F75))&lt;=0.05,ABS(G75)&lt;=0.05),"OK","REVISAR")</f>
        <v/>
      </c>
      <c r="I75" s="25" t="n"/>
    </row>
    <row r="76" ht="15" customHeight="1">
      <c r="A76" s="25" t="inlineStr">
        <is>
          <t>MAXXIMO (MOLLETES)</t>
        </is>
      </c>
      <c r="B76" s="31" t="inlineStr">
        <is>
          <t>SEPTIEMBRE</t>
        </is>
      </c>
      <c r="C76" s="32">
        <f>SUM(_____MAXXIMO!F6:F300)</f>
        <v/>
      </c>
      <c r="D76" s="32">
        <f>SUM(_____MAXXIMO!I9:I300)</f>
        <v/>
      </c>
      <c r="E76" s="32">
        <f>SUMIF('TOTAL SEPTIEMBRE'!$B$4:$B$2000,"MAXXIMO (MOLLETES)",'TOTAL SEPTIEMBRE'!$D$4:$D$2000)</f>
        <v/>
      </c>
      <c r="F76" s="32">
        <f>IF(D76="","",ROUND(C76-D76,2))</f>
        <v/>
      </c>
      <c r="G76" s="32">
        <f>IF(D76="",ROUND(C76-E76,2),ROUND(D76-E76,2))</f>
        <v/>
      </c>
      <c r="H76" s="33">
        <f>IF(AND(ABS(N(F76))&lt;=0.05,ABS(G76)&lt;=0.05),"OK","REVISAR")</f>
        <v/>
      </c>
      <c r="I76" s="25" t="n"/>
    </row>
    <row r="77" ht="15" customHeight="1">
      <c r="A77" s="25" t="inlineStr">
        <is>
          <t>MONVA</t>
        </is>
      </c>
      <c r="B77" s="34" t="inlineStr">
        <is>
          <t>JULIO</t>
        </is>
      </c>
      <c r="C77" s="32">
        <f>SUM(_____MONVA!F6:F300)</f>
        <v/>
      </c>
      <c r="D77" s="32">
        <f>SUM(_____MONVA!I9:I300)</f>
        <v/>
      </c>
      <c r="E77" s="32" t="n">
        <v>171</v>
      </c>
      <c r="F77" s="32">
        <f>IF(D77="","",ROUND(C77-D77,2))</f>
        <v/>
      </c>
      <c r="G77" s="32">
        <f>IF(D77="",ROUND(C77-E77,2),ROUND(D77-E77,2))</f>
        <v/>
      </c>
      <c r="H77" s="33">
        <f>IF(AND(ABS(N(F77))&lt;=0.05,ABS(G77)&lt;=0.05),"OK","REVISAR")</f>
        <v/>
      </c>
      <c r="I77" s="25" t="n"/>
    </row>
    <row r="78" ht="15" customHeight="1">
      <c r="A78" s="25" t="inlineStr">
        <is>
          <t>MONVA</t>
        </is>
      </c>
      <c r="B78" s="31" t="inlineStr">
        <is>
          <t>SEPTIEMBRE</t>
        </is>
      </c>
      <c r="C78" s="32">
        <f>SUM(_____MONVA!P6:P300)</f>
        <v/>
      </c>
      <c r="D78" s="32">
        <f>SUM(_____MONVA!S9:S300)</f>
        <v/>
      </c>
      <c r="E78" s="32">
        <f>SUMIF('TOTAL SEPTIEMBRE'!$B$4:$B$2000,"MONVA",'TOTAL SEPTIEMBRE'!$D$4:$D$2000)</f>
        <v/>
      </c>
      <c r="F78" s="32">
        <f>IF(D78="","",ROUND(C78-D78,2))</f>
        <v/>
      </c>
      <c r="G78" s="32">
        <f>IF(D78="",ROUND(C78-E78,2),ROUND(D78-E78,2))</f>
        <v/>
      </c>
      <c r="H78" s="33">
        <f>IF(AND(ABS(N(F78))&lt;=0.05,ABS(G78)&lt;=0.05),"OK","REVISAR")</f>
        <v/>
      </c>
      <c r="I78" s="25" t="n"/>
    </row>
    <row r="79" ht="15" customHeight="1">
      <c r="A79" s="25" t="inlineStr">
        <is>
          <t>MUNDELA</t>
        </is>
      </c>
      <c r="B79" s="34" t="inlineStr">
        <is>
          <t>JULIO</t>
        </is>
      </c>
      <c r="C79" s="32">
        <f>SUM(_____MUNDELA!F6:F300)</f>
        <v/>
      </c>
      <c r="D79" s="32">
        <f>SUM(_____MUNDELA!I9:I300)</f>
        <v/>
      </c>
      <c r="E79" s="32" t="n">
        <v>5092.38</v>
      </c>
      <c r="F79" s="32">
        <f>IF(D79="","",ROUND(C79-D79,2))</f>
        <v/>
      </c>
      <c r="G79" s="32">
        <f>IF(D79="",ROUND(C79-E79,2),ROUND(D79-E79,2))</f>
        <v/>
      </c>
      <c r="H79" s="33">
        <f>IF(AND(ABS(N(F79))&lt;=0.05,ABS(G79)&lt;=0.05),"OK","REVISAR")</f>
        <v/>
      </c>
      <c r="I79" s="25" t="n"/>
    </row>
    <row r="80" ht="15" customHeight="1">
      <c r="A80" s="25" t="inlineStr">
        <is>
          <t>MUNDELA</t>
        </is>
      </c>
      <c r="B80" s="35" t="inlineStr">
        <is>
          <t>AGOSTO</t>
        </is>
      </c>
      <c r="C80" s="32">
        <f>SUM(_____MUNDELA!P6:P300)</f>
        <v/>
      </c>
      <c r="D80" s="32">
        <f>SUM(_____MUNDELA!S9:S300)</f>
        <v/>
      </c>
      <c r="E80" s="32" t="n">
        <v>1920.54</v>
      </c>
      <c r="F80" s="32">
        <f>IF(D80="","",ROUND(C80-D80,2))</f>
        <v/>
      </c>
      <c r="G80" s="32">
        <f>IF(D80="",ROUND(C80-E80,2),ROUND(D80-E80,2))</f>
        <v/>
      </c>
      <c r="H80" s="33">
        <f>IF(AND(ABS(N(F80))&lt;=0.05,ABS(G80)&lt;=0.05),"OK","REVISAR")</f>
        <v/>
      </c>
      <c r="I80" s="25" t="n"/>
    </row>
    <row r="81" ht="15" customHeight="1">
      <c r="A81" s="25" t="inlineStr">
        <is>
          <t>MUNDELA</t>
        </is>
      </c>
      <c r="B81" s="31" t="inlineStr">
        <is>
          <t>SEPTIEMBRE</t>
        </is>
      </c>
      <c r="C81" s="32">
        <f>SUM(_____MUNDELA!Z6:Z300)</f>
        <v/>
      </c>
      <c r="D81" s="32">
        <f>SUM(_____MUNDELA!AC9:AC300)</f>
        <v/>
      </c>
      <c r="E81" s="32">
        <f>SUMIF('TOTAL SEPTIEMBRE'!$B$4:$B$2000,"MUNDELA",'TOTAL SEPTIEMBRE'!$D$4:$D$2000)</f>
        <v/>
      </c>
      <c r="F81" s="32">
        <f>IF(D81="","",ROUND(C81-D81,2))</f>
        <v/>
      </c>
      <c r="G81" s="32">
        <f>IF(D81="",ROUND(C81-E81,2),ROUND(D81-E81,2))</f>
        <v/>
      </c>
      <c r="H81" s="33">
        <f>IF(AND(ABS(N(F81))&lt;=0.05,ABS(G81)&lt;=0.05),"OK","REVISAR")</f>
        <v/>
      </c>
      <c r="I81" s="25" t="n"/>
    </row>
    <row r="82" ht="15" customHeight="1">
      <c r="A82" s="25" t="inlineStr">
        <is>
          <t>PATATAS YAGO</t>
        </is>
      </c>
      <c r="B82" s="34" t="inlineStr">
        <is>
          <t>JULIO</t>
        </is>
      </c>
      <c r="C82" s="32">
        <f>SUM('_____PATATAS YAGO'!F6:F300)</f>
        <v/>
      </c>
      <c r="D82" s="32">
        <f>SUM('_____PATATAS YAGO'!I9:I300)</f>
        <v/>
      </c>
      <c r="E82" s="32" t="n">
        <v>611.4</v>
      </c>
      <c r="F82" s="32">
        <f>IF(D82="","",ROUND(C82-D82,2))</f>
        <v/>
      </c>
      <c r="G82" s="32">
        <f>IF(D82="",ROUND(C82-E82,2),ROUND(D82-E82,2))</f>
        <v/>
      </c>
      <c r="H82" s="33">
        <f>IF(AND(ABS(N(F82))&lt;=0.05,ABS(G82)&lt;=0.05),"OK","REVISAR")</f>
        <v/>
      </c>
      <c r="I82" s="25" t="n"/>
    </row>
    <row r="83" ht="15" customHeight="1">
      <c r="A83" s="25" t="inlineStr">
        <is>
          <t>PATATAS YAGO</t>
        </is>
      </c>
      <c r="B83" s="35" t="inlineStr">
        <is>
          <t>AGOSTO</t>
        </is>
      </c>
      <c r="C83" s="32">
        <f>SUM('_____PATATAS YAGO'!P6:P300)</f>
        <v/>
      </c>
      <c r="D83" s="32">
        <f>SUM('_____PATATAS YAGO'!S9:S300)</f>
        <v/>
      </c>
      <c r="E83" s="32" t="n">
        <v>358.9</v>
      </c>
      <c r="F83" s="32">
        <f>IF(D83="","",ROUND(C83-D83,2))</f>
        <v/>
      </c>
      <c r="G83" s="32">
        <f>IF(D83="",ROUND(C83-E83,2),ROUND(D83-E83,2))</f>
        <v/>
      </c>
      <c r="H83" s="33">
        <f>IF(AND(ABS(N(F83))&lt;=0.05,ABS(G83)&lt;=0.05),"OK","REVISAR")</f>
        <v/>
      </c>
      <c r="I83" s="25" t="n"/>
    </row>
    <row r="84" ht="15" customHeight="1">
      <c r="A84" s="25" t="inlineStr">
        <is>
          <t>PATATAS YAGO</t>
        </is>
      </c>
      <c r="B84" s="31" t="inlineStr">
        <is>
          <t>SEPTIEMBRE</t>
        </is>
      </c>
      <c r="C84" s="32">
        <f>SUM('_____PATATAS YAGO'!Z6:Z300)</f>
        <v/>
      </c>
      <c r="D84" s="32">
        <f>SUM('_____PATATAS YAGO'!AC9:AC300)</f>
        <v/>
      </c>
      <c r="E84" s="32">
        <f>SUMIF('TOTAL SEPTIEMBRE'!$B$4:$B$2000,"PATATAS YAGO",'TOTAL SEPTIEMBRE'!$D$4:$D$2000)</f>
        <v/>
      </c>
      <c r="F84" s="32">
        <f>IF(D84="","",ROUND(C84-D84,2))</f>
        <v/>
      </c>
      <c r="G84" s="32">
        <f>IF(D84="",ROUND(C84-E84,2),ROUND(D84-E84,2))</f>
        <v/>
      </c>
      <c r="H84" s="33">
        <f>IF(AND(ABS(N(F84))&lt;=0.05,ABS(G84)&lt;=0.05),"OK","REVISAR")</f>
        <v/>
      </c>
      <c r="I84" s="25" t="n"/>
    </row>
    <row r="85" ht="15" customHeight="1">
      <c r="A85" s="25" t="inlineStr">
        <is>
          <t>PESCADERIA PALACIO</t>
        </is>
      </c>
      <c r="B85" s="34" t="inlineStr">
        <is>
          <t>JULIO</t>
        </is>
      </c>
      <c r="C85" s="32">
        <f>SUM('_____PESCADERIA PALACIO'!F6:F300)</f>
        <v/>
      </c>
      <c r="D85" s="32">
        <f>SUM('_____PESCADERIA PALACIO'!I9:I300)</f>
        <v/>
      </c>
      <c r="E85" s="32" t="n">
        <v>1400.16</v>
      </c>
      <c r="F85" s="32">
        <f>IF(D85="","",ROUND(C85-D85,2))</f>
        <v/>
      </c>
      <c r="G85" s="32">
        <f>IF(D85="",ROUND(C85-E85,2),ROUND(D85-E85,2))</f>
        <v/>
      </c>
      <c r="H85" s="33">
        <f>IF(AND(ABS(N(F85))&lt;=0.05,ABS(G85)&lt;=0.05),"OK","REVISAR")</f>
        <v/>
      </c>
      <c r="I85" s="25" t="n"/>
    </row>
    <row r="86" ht="15" customHeight="1">
      <c r="A86" s="25" t="inlineStr">
        <is>
          <t>PESCADERIA PALACIO</t>
        </is>
      </c>
      <c r="B86" s="35" t="inlineStr">
        <is>
          <t>AGOSTO</t>
        </is>
      </c>
      <c r="C86" s="32">
        <f>SUM('_____PESCADERIA PALACIO'!P6:P300)</f>
        <v/>
      </c>
      <c r="D86" s="32">
        <f>SUM('_____PESCADERIA PALACIO'!S9:S300)</f>
        <v/>
      </c>
      <c r="E86" s="32" t="n">
        <v>369.6</v>
      </c>
      <c r="F86" s="32">
        <f>IF(D86="","",ROUND(C86-D86,2))</f>
        <v/>
      </c>
      <c r="G86" s="32">
        <f>IF(D86="",ROUND(C86-E86,2),ROUND(D86-E86,2))</f>
        <v/>
      </c>
      <c r="H86" s="33">
        <f>IF(AND(ABS(N(F86))&lt;=0.05,ABS(G86)&lt;=0.05),"OK","REVISAR")</f>
        <v/>
      </c>
      <c r="I86" s="25" t="n"/>
    </row>
    <row r="87" ht="15" customHeight="1">
      <c r="A87" s="25" t="inlineStr">
        <is>
          <t>PESCADERIA PALACIO</t>
        </is>
      </c>
      <c r="B87" s="31" t="inlineStr">
        <is>
          <t>SEPTIEMBRE</t>
        </is>
      </c>
      <c r="C87" s="32">
        <f>SUM('_____PESCADERIA PALACIO'!Z6:Z300)</f>
        <v/>
      </c>
      <c r="D87" s="32">
        <f>SUM('_____PESCADERIA PALACIO'!AC9:AC300)</f>
        <v/>
      </c>
      <c r="E87" s="32">
        <f>SUMIF('TOTAL SEPTIEMBRE'!$B$4:$B$2000,"PESCADERIA PALACIO",'TOTAL SEPTIEMBRE'!$D$4:$D$2000)</f>
        <v/>
      </c>
      <c r="F87" s="32">
        <f>IF(D87="","",ROUND(C87-D87,2))</f>
        <v/>
      </c>
      <c r="G87" s="32">
        <f>IF(D87="",ROUND(C87-E87,2),ROUND(D87-E87,2))</f>
        <v/>
      </c>
      <c r="H87" s="33">
        <f>IF(AND(ABS(N(F87))&lt;=0.05,ABS(G87)&lt;=0.05),"OK","REVISAR")</f>
        <v/>
      </c>
      <c r="I87" s="25" t="n"/>
    </row>
    <row r="88" ht="15" customHeight="1">
      <c r="A88" s="25" t="inlineStr">
        <is>
          <t>PESCARUM</t>
        </is>
      </c>
      <c r="B88" s="34" t="inlineStr">
        <is>
          <t>JULIO</t>
        </is>
      </c>
      <c r="C88" s="32">
        <f>SUM(_____PESCARUM!F6:F300)</f>
        <v/>
      </c>
      <c r="D88" s="32">
        <f>SUM(_____PESCARUM!I9:I300)</f>
        <v/>
      </c>
      <c r="E88" s="32" t="n">
        <v>10740.83</v>
      </c>
      <c r="F88" s="32">
        <f>IF(D88="","",ROUND(C88-D88,2))</f>
        <v/>
      </c>
      <c r="G88" s="32">
        <f>IF(D88="",ROUND(C88-E88,2),ROUND(D88-E88,2))</f>
        <v/>
      </c>
      <c r="H88" s="33">
        <f>IF(AND(ABS(N(F88))&lt;=0.05,ABS(G88)&lt;=0.05),"OK","REVISAR")</f>
        <v/>
      </c>
      <c r="I88" s="25" t="n"/>
    </row>
    <row r="89" ht="15" customHeight="1">
      <c r="A89" s="25" t="inlineStr">
        <is>
          <t>PESCARUM</t>
        </is>
      </c>
      <c r="B89" s="35" t="inlineStr">
        <is>
          <t>AGOSTO</t>
        </is>
      </c>
      <c r="C89" s="32">
        <f>SUM(_____PESCARUM!P6:P300)</f>
        <v/>
      </c>
      <c r="D89" s="32">
        <f>SUM(_____PESCARUM!S9:S300)</f>
        <v/>
      </c>
      <c r="E89" s="32" t="n">
        <v>5112.89</v>
      </c>
      <c r="F89" s="32">
        <f>IF(D89="","",ROUND(C89-D89,2))</f>
        <v/>
      </c>
      <c r="G89" s="32">
        <f>IF(D89="",ROUND(C89-E89,2),ROUND(D89-E89,2))</f>
        <v/>
      </c>
      <c r="H89" s="33">
        <f>IF(AND(ABS(N(F89))&lt;=0.05,ABS(G89)&lt;=0.05),"OK","REVISAR")</f>
        <v/>
      </c>
      <c r="I89" s="25" t="inlineStr">
        <is>
          <t>Albarán 04/08: las líneas suman 992,87 € y el albarán dice 922,87 € (70 € de diferencia, ver incidencias).</t>
        </is>
      </c>
    </row>
    <row r="90" ht="15" customHeight="1">
      <c r="A90" s="25" t="inlineStr">
        <is>
          <t>PESCARUM</t>
        </is>
      </c>
      <c r="B90" s="31" t="inlineStr">
        <is>
          <t>SEPTIEMBRE</t>
        </is>
      </c>
      <c r="C90" s="32">
        <f>SUM(_____PESCARUM!Z6:Z300)</f>
        <v/>
      </c>
      <c r="D90" s="32">
        <f>SUM(_____PESCARUM!AC9:AC300)</f>
        <v/>
      </c>
      <c r="E90" s="32">
        <f>SUMIF('TOTAL SEPTIEMBRE'!$B$4:$B$2000,"PESCARUM",'TOTAL SEPTIEMBRE'!$D$4:$D$2000)</f>
        <v/>
      </c>
      <c r="F90" s="32">
        <f>IF(D90="","",ROUND(C90-D90,2))</f>
        <v/>
      </c>
      <c r="G90" s="32">
        <f>IF(D90="",ROUND(C90-E90,2),ROUND(D90-E90,2))</f>
        <v/>
      </c>
      <c r="H90" s="33">
        <f>IF(AND(ABS(N(F90))&lt;=0.05,ABS(G90)&lt;=0.05),"OK","REVISAR")</f>
        <v/>
      </c>
      <c r="I90" s="25" t="n"/>
    </row>
    <row r="91" ht="15" customHeight="1">
      <c r="A91" s="25" t="inlineStr">
        <is>
          <t>PEÑALASTALLAS</t>
        </is>
      </c>
      <c r="B91" s="34" t="inlineStr">
        <is>
          <t>JULIO</t>
        </is>
      </c>
      <c r="C91" s="32">
        <f>SUM(_____PEÑALASTALLAS!F6:F300)</f>
        <v/>
      </c>
      <c r="D91" s="32">
        <f>SUM(_____PEÑALASTALLAS!I9:I300)</f>
        <v/>
      </c>
      <c r="E91" s="32" t="n">
        <v>1568.32</v>
      </c>
      <c r="F91" s="32">
        <f>IF(D91="","",ROUND(C91-D91,2))</f>
        <v/>
      </c>
      <c r="G91" s="32">
        <f>IF(D91="",ROUND(C91-E91,2),ROUND(D91-E91,2))</f>
        <v/>
      </c>
      <c r="H91" s="33">
        <f>IF(AND(ABS(N(F91))&lt;=0.05,ABS(G91)&lt;=0.05),"OK","REVISAR")</f>
        <v/>
      </c>
      <c r="I91" s="25" t="inlineStr">
        <is>
          <t>Importe suelto de 67,29 € en la hoja sin nº de albarán ni reflejo en TOTAL JULIO (ver incidencias).</t>
        </is>
      </c>
    </row>
    <row r="92" ht="15" customHeight="1">
      <c r="A92" s="25" t="inlineStr">
        <is>
          <t>PEÑALASTALLAS</t>
        </is>
      </c>
      <c r="B92" s="35" t="inlineStr">
        <is>
          <t>AGOSTO</t>
        </is>
      </c>
      <c r="C92" s="32">
        <f>SUM(_____PEÑALASTALLAS!P6:P300)</f>
        <v/>
      </c>
      <c r="D92" s="32">
        <f>SUM(_____PEÑALASTALLAS!S9:S300)</f>
        <v/>
      </c>
      <c r="E92" s="32" t="n">
        <v>519.6900000000001</v>
      </c>
      <c r="F92" s="32">
        <f>IF(D92="","",ROUND(C92-D92,2))</f>
        <v/>
      </c>
      <c r="G92" s="32">
        <f>IF(D92="",ROUND(C92-E92,2),ROUND(D92-E92,2))</f>
        <v/>
      </c>
      <c r="H92" s="33">
        <f>IF(AND(ABS(N(F92))&lt;=0.05,ABS(G92)&lt;=0.05),"OK","REVISAR")</f>
        <v/>
      </c>
      <c r="I92" s="25" t="n"/>
    </row>
    <row r="93" ht="15" customHeight="1">
      <c r="A93" s="25" t="inlineStr">
        <is>
          <t>PEÑALASTALLAS</t>
        </is>
      </c>
      <c r="B93" s="31" t="inlineStr">
        <is>
          <t>SEPTIEMBRE</t>
        </is>
      </c>
      <c r="C93" s="32">
        <f>SUM(_____PEÑALASTALLAS!Z6:Z300)</f>
        <v/>
      </c>
      <c r="D93" s="32">
        <f>SUM(_____PEÑALASTALLAS!AC9:AC300)</f>
        <v/>
      </c>
      <c r="E93" s="32">
        <f>SUMIF('TOTAL SEPTIEMBRE'!$B$4:$B$2000,"PEÑALASTALLAS",'TOTAL SEPTIEMBRE'!$D$4:$D$2000)</f>
        <v/>
      </c>
      <c r="F93" s="32">
        <f>IF(D93="","",ROUND(C93-D93,2))</f>
        <v/>
      </c>
      <c r="G93" s="32">
        <f>IF(D93="",ROUND(C93-E93,2),ROUND(D93-E93,2))</f>
        <v/>
      </c>
      <c r="H93" s="33">
        <f>IF(AND(ABS(N(F93))&lt;=0.05,ABS(G93)&lt;=0.05),"OK","REVISAR")</f>
        <v/>
      </c>
      <c r="I93" s="25" t="n"/>
    </row>
    <row r="94" ht="15" customHeight="1">
      <c r="A94" s="25" t="inlineStr">
        <is>
          <t>REGERE AOVE</t>
        </is>
      </c>
      <c r="B94" s="31" t="inlineStr">
        <is>
          <t>SEPTIEMBRE</t>
        </is>
      </c>
      <c r="C94" s="32">
        <f>SUM('_____REGERE AOVE'!F6:F300)</f>
        <v/>
      </c>
      <c r="D94" s="32">
        <f>SUM('_____REGERE AOVE'!I9:I300)</f>
        <v/>
      </c>
      <c r="E94" s="32">
        <f>SUMIF('TOTAL SEPTIEMBRE'!$B$4:$B$2000,"REGERE AOVE",'TOTAL SEPTIEMBRE'!$D$4:$D$2000)</f>
        <v/>
      </c>
      <c r="F94" s="32">
        <f>IF(D94="","",ROUND(C94-D94,2))</f>
        <v/>
      </c>
      <c r="G94" s="32">
        <f>IF(D94="",ROUND(C94-E94,2),ROUND(D94-E94,2))</f>
        <v/>
      </c>
      <c r="H94" s="33">
        <f>IF(AND(ABS(N(F94))&lt;=0.05,ABS(G94)&lt;=0.05),"OK","REVISAR")</f>
        <v/>
      </c>
      <c r="I94" s="25" t="n"/>
    </row>
    <row r="95" ht="15" customHeight="1">
      <c r="A95" s="25" t="inlineStr">
        <is>
          <t>ROMERO ALVAREZ</t>
        </is>
      </c>
      <c r="B95" s="34" t="inlineStr">
        <is>
          <t>JULIO</t>
        </is>
      </c>
      <c r="C95" s="32">
        <f>SUM('_____ROMERO ALVAREZ'!F6:F300)</f>
        <v/>
      </c>
      <c r="D95" s="32">
        <f>SUM('_____ROMERO ALVAREZ'!I9:I300)</f>
        <v/>
      </c>
      <c r="E95" s="32" t="n">
        <v>533.74</v>
      </c>
      <c r="F95" s="32">
        <f>IF(D95="","",ROUND(C95-D95,2))</f>
        <v/>
      </c>
      <c r="G95" s="32">
        <f>IF(D95="",ROUND(C95-E95,2),ROUND(D95-E95,2))</f>
        <v/>
      </c>
      <c r="H95" s="33">
        <f>IF(AND(ABS(N(F95))&lt;=0.05,ABS(G95)&lt;=0.05),"OK","REVISAR")</f>
        <v/>
      </c>
      <c r="I95" s="25" t="n"/>
    </row>
    <row r="96" ht="15" customHeight="1">
      <c r="A96" s="25" t="inlineStr">
        <is>
          <t>ROMERO ALVAREZ</t>
        </is>
      </c>
      <c r="B96" s="35" t="inlineStr">
        <is>
          <t>AGOSTO</t>
        </is>
      </c>
      <c r="C96" s="32">
        <f>SUM('_____ROMERO ALVAREZ'!P6:P300)</f>
        <v/>
      </c>
      <c r="D96" s="32">
        <f>SUM('_____ROMERO ALVAREZ'!S9:S300)</f>
        <v/>
      </c>
      <c r="E96" s="32" t="n">
        <v>654.1900000000001</v>
      </c>
      <c r="F96" s="32">
        <f>IF(D96="","",ROUND(C96-D96,2))</f>
        <v/>
      </c>
      <c r="G96" s="32">
        <f>IF(D96="",ROUND(C96-E96,2),ROUND(D96-E96,2))</f>
        <v/>
      </c>
      <c r="H96" s="33">
        <f>IF(AND(ABS(N(F96))&lt;=0.05,ABS(G96)&lt;=0.05),"OK","REVISAR")</f>
        <v/>
      </c>
      <c r="I96" s="25" t="n"/>
    </row>
    <row r="97" ht="15" customHeight="1">
      <c r="A97" s="25" t="inlineStr">
        <is>
          <t>ROMERO ALVAREZ</t>
        </is>
      </c>
      <c r="B97" s="31" t="inlineStr">
        <is>
          <t>SEPTIEMBRE</t>
        </is>
      </c>
      <c r="C97" s="32">
        <f>SUM('_____ROMERO ALVAREZ'!Z6:Z300)</f>
        <v/>
      </c>
      <c r="D97" s="32">
        <f>SUM('_____ROMERO ALVAREZ'!AC9:AC300)</f>
        <v/>
      </c>
      <c r="E97" s="32">
        <f>SUMIF('TOTAL SEPTIEMBRE'!$B$4:$B$2000,"ROMERO ALVAREZ",'TOTAL SEPTIEMBRE'!$D$4:$D$2000)</f>
        <v/>
      </c>
      <c r="F97" s="32">
        <f>IF(D97="","",ROUND(C97-D97,2))</f>
        <v/>
      </c>
      <c r="G97" s="32">
        <f>IF(D97="",ROUND(C97-E97,2),ROUND(D97-E97,2))</f>
        <v/>
      </c>
      <c r="H97" s="33">
        <f>IF(AND(ABS(N(F97))&lt;=0.05,ABS(G97)&lt;=0.05),"OK","REVISAR")</f>
        <v/>
      </c>
      <c r="I97" s="25" t="n"/>
    </row>
    <row r="98" ht="15" customHeight="1">
      <c r="A98" s="25" t="inlineStr">
        <is>
          <t>SENSORVISION</t>
        </is>
      </c>
      <c r="B98" s="31" t="inlineStr">
        <is>
          <t>SEPTIEMBRE</t>
        </is>
      </c>
      <c r="C98" s="32">
        <f>SUM(_____SENSORVISION!F6:F300)</f>
        <v/>
      </c>
      <c r="D98" s="32">
        <f>SUM(_____SENSORVISION!I9:I300)</f>
        <v/>
      </c>
      <c r="E98" s="32">
        <f>SUMIF('TOTAL SEPTIEMBRE'!$B$4:$B$2000,"SENSORVISION",'TOTAL SEPTIEMBRE'!$D$4:$D$2000)</f>
        <v/>
      </c>
      <c r="F98" s="32">
        <f>IF(D98="","",ROUND(C98-D98,2))</f>
        <v/>
      </c>
      <c r="G98" s="32">
        <f>IF(D98="",ROUND(C98-E98,2),ROUND(D98-E98,2))</f>
        <v/>
      </c>
      <c r="H98" s="33">
        <f>IF(AND(ABS(N(F98))&lt;=0.05,ABS(G98)&lt;=0.05),"OK","REVISAR")</f>
        <v/>
      </c>
      <c r="I98" s="25" t="n"/>
    </row>
    <row r="99" ht="15" customHeight="1">
      <c r="A99" s="25" t="inlineStr">
        <is>
          <t>SUBMARINER</t>
        </is>
      </c>
      <c r="B99" s="34" t="inlineStr">
        <is>
          <t>JULIO</t>
        </is>
      </c>
      <c r="C99" s="32">
        <f>SUM(_____SUBMARINER!F6:F300)</f>
        <v/>
      </c>
      <c r="D99" s="32">
        <f>SUM(_____SUBMARINER!I9:I300)</f>
        <v/>
      </c>
      <c r="E99" s="32" t="n">
        <v>3291.32</v>
      </c>
      <c r="F99" s="32">
        <f>IF(D99="","",ROUND(C99-D99,2))</f>
        <v/>
      </c>
      <c r="G99" s="32">
        <f>IF(D99="",ROUND(C99-E99,2),ROUND(D99-E99,2))</f>
        <v/>
      </c>
      <c r="H99" s="33">
        <f>IF(AND(ABS(N(F99))&lt;=0.05,ABS(G99)&lt;=0.05),"OK","REVISAR")</f>
        <v/>
      </c>
      <c r="I99" s="25" t="n"/>
    </row>
    <row r="100" ht="15" customHeight="1">
      <c r="A100" s="25" t="inlineStr">
        <is>
          <t>SUBMARINER</t>
        </is>
      </c>
      <c r="B100" s="35" t="inlineStr">
        <is>
          <t>AGOSTO</t>
        </is>
      </c>
      <c r="C100" s="32">
        <f>SUM(_____SUBMARINER!P6:P300)</f>
        <v/>
      </c>
      <c r="D100" s="32">
        <f>SUM(_____SUBMARINER!S9:S300)</f>
        <v/>
      </c>
      <c r="E100" s="32" t="n">
        <v>712.9400000000001</v>
      </c>
      <c r="F100" s="32">
        <f>IF(D100="","",ROUND(C100-D100,2))</f>
        <v/>
      </c>
      <c r="G100" s="32">
        <f>IF(D100="",ROUND(C100-E100,2),ROUND(D100-E100,2))</f>
        <v/>
      </c>
      <c r="H100" s="33">
        <f>IF(AND(ABS(N(F100))&lt;=0.05,ABS(G100)&lt;=0.05),"OK","REVISAR")</f>
        <v/>
      </c>
      <c r="I100" s="25" t="n"/>
    </row>
    <row r="101" ht="15" customHeight="1">
      <c r="A101" s="25" t="inlineStr">
        <is>
          <t>SUBMARINER</t>
        </is>
      </c>
      <c r="B101" s="31" t="inlineStr">
        <is>
          <t>SEPTIEMBRE</t>
        </is>
      </c>
      <c r="C101" s="32">
        <f>SUM(_____SUBMARINER!Z6:Z300)</f>
        <v/>
      </c>
      <c r="D101" s="32">
        <f>SUM(_____SUBMARINER!AC9:AC300)</f>
        <v/>
      </c>
      <c r="E101" s="32">
        <f>SUMIF('TOTAL SEPTIEMBRE'!$B$4:$B$2000,"SUBMARINER",'TOTAL SEPTIEMBRE'!$D$4:$D$2000)</f>
        <v/>
      </c>
      <c r="F101" s="32">
        <f>IF(D101="","",ROUND(C101-D101,2))</f>
        <v/>
      </c>
      <c r="G101" s="32">
        <f>IF(D101="",ROUND(C101-E101,2),ROUND(D101-E101,2))</f>
        <v/>
      </c>
      <c r="H101" s="33">
        <f>IF(AND(ABS(N(F101))&lt;=0.05,ABS(G101)&lt;=0.05),"OK","REVISAR")</f>
        <v/>
      </c>
      <c r="I101" s="25" t="n"/>
    </row>
    <row r="102" ht="15" customHeight="1">
      <c r="A102" s="25" t="inlineStr">
        <is>
          <t>TOMATERIA DE CEA</t>
        </is>
      </c>
      <c r="B102" s="34" t="inlineStr">
        <is>
          <t>JULIO</t>
        </is>
      </c>
      <c r="C102" s="32">
        <f>SUM('_____TOMATERIA CEA'!F6:F300)</f>
        <v/>
      </c>
      <c r="D102" s="32">
        <f>SUM('_____TOMATERIA CEA'!I9:I300)</f>
        <v/>
      </c>
      <c r="E102" s="32" t="n">
        <v>584.97</v>
      </c>
      <c r="F102" s="32">
        <f>IF(D102="","",ROUND(C102-D102,2))</f>
        <v/>
      </c>
      <c r="G102" s="32">
        <f>IF(D102="",ROUND(C102-E102,2),ROUND(D102-E102,2))</f>
        <v/>
      </c>
      <c r="H102" s="33">
        <f>IF(AND(ABS(N(F102))&lt;=0.05,ABS(G102)&lt;=0.05),"OK","REVISAR")</f>
        <v/>
      </c>
      <c r="I102" s="25" t="n"/>
    </row>
    <row r="103" ht="15" customHeight="1">
      <c r="A103" s="25" t="inlineStr">
        <is>
          <t>TOMATERIA DE CEA</t>
        </is>
      </c>
      <c r="B103" s="35" t="inlineStr">
        <is>
          <t>AGOSTO</t>
        </is>
      </c>
      <c r="C103" s="32">
        <f>SUM('_____TOMATERIA CEA'!P6:P300)</f>
        <v/>
      </c>
      <c r="D103" s="32">
        <f>SUM('_____TOMATERIA CEA'!S9:S300)</f>
        <v/>
      </c>
      <c r="E103" s="32" t="n">
        <v>320</v>
      </c>
      <c r="F103" s="32">
        <f>IF(D103="","",ROUND(C103-D103,2))</f>
        <v/>
      </c>
      <c r="G103" s="32">
        <f>IF(D103="",ROUND(C103-E103,2),ROUND(D103-E103,2))</f>
        <v/>
      </c>
      <c r="H103" s="33">
        <f>IF(AND(ABS(N(F103))&lt;=0.05,ABS(G103)&lt;=0.05),"OK","REVISAR")</f>
        <v/>
      </c>
      <c r="I103" s="25" t="n"/>
    </row>
    <row r="104" ht="15" customHeight="1">
      <c r="A104" s="25" t="inlineStr">
        <is>
          <t>TOMATERIA DE CEA</t>
        </is>
      </c>
      <c r="B104" s="31" t="inlineStr">
        <is>
          <t>SEPTIEMBRE</t>
        </is>
      </c>
      <c r="C104" s="32">
        <f>SUM('_____TOMATERIA CEA'!Z6:Z300)</f>
        <v/>
      </c>
      <c r="D104" s="32">
        <f>SUM('_____TOMATERIA CEA'!AC9:AC300)</f>
        <v/>
      </c>
      <c r="E104" s="32">
        <f>SUMIF('TOTAL SEPTIEMBRE'!$B$4:$B$2000,"TOMATERIA DE CEA",'TOTAL SEPTIEMBRE'!$D$4:$D$2000)</f>
        <v/>
      </c>
      <c r="F104" s="32">
        <f>IF(D104="","",ROUND(C104-D104,2))</f>
        <v/>
      </c>
      <c r="G104" s="32">
        <f>IF(D104="",ROUND(C104-E104,2),ROUND(D104-E104,2))</f>
        <v/>
      </c>
      <c r="H104" s="33">
        <f>IF(AND(ABS(N(F104))&lt;=0.05,ABS(G104)&lt;=0.05),"OK","REVISAR")</f>
        <v/>
      </c>
      <c r="I104" s="25" t="n"/>
    </row>
    <row r="105" ht="15" customHeight="1">
      <c r="A105" s="25" t="inlineStr">
        <is>
          <t>VENERO CLARO</t>
        </is>
      </c>
      <c r="B105" s="34" t="inlineStr">
        <is>
          <t>JULIO</t>
        </is>
      </c>
      <c r="C105" s="32">
        <f>SUM('_____VENERO CLARO'!F6:F300)</f>
        <v/>
      </c>
      <c r="D105" s="32">
        <f>SUM('_____VENERO CLARO'!I9:I300)</f>
        <v/>
      </c>
      <c r="E105" s="32" t="n">
        <v>270.4</v>
      </c>
      <c r="F105" s="32">
        <f>IF(D105="","",ROUND(C105-D105,2))</f>
        <v/>
      </c>
      <c r="G105" s="32">
        <f>IF(D105="",ROUND(C105-E105,2),ROUND(D105-E105,2))</f>
        <v/>
      </c>
      <c r="H105" s="33">
        <f>IF(AND(ABS(N(F105))&lt;=0.05,ABS(G105)&lt;=0.05),"OK","REVISAR")</f>
        <v/>
      </c>
      <c r="I105" s="25" t="n"/>
    </row>
    <row r="106" ht="15" customHeight="1">
      <c r="A106" s="25" t="inlineStr">
        <is>
          <t>VENERO CLARO</t>
        </is>
      </c>
      <c r="B106" s="35" t="inlineStr">
        <is>
          <t>AGOSTO</t>
        </is>
      </c>
      <c r="C106" s="32">
        <f>SUM('_____VENERO CLARO'!P6:P300)</f>
        <v/>
      </c>
      <c r="D106" s="32">
        <f>SUM('_____VENERO CLARO'!S9:S300)</f>
        <v/>
      </c>
      <c r="E106" s="32" t="n">
        <v>271.18</v>
      </c>
      <c r="F106" s="32">
        <f>IF(D106="","",ROUND(C106-D106,2))</f>
        <v/>
      </c>
      <c r="G106" s="32">
        <f>IF(D106="",ROUND(C106-E106,2),ROUND(D106-E106,2))</f>
        <v/>
      </c>
      <c r="H106" s="33">
        <f>IF(AND(ABS(N(F106))&lt;=0.05,ABS(G106)&lt;=0.05),"OK","REVISAR")</f>
        <v/>
      </c>
      <c r="I106" s="25" t="n"/>
    </row>
    <row r="107" ht="15" customHeight="1">
      <c r="A107" s="25" t="inlineStr">
        <is>
          <t>VENERO CLARO</t>
        </is>
      </c>
      <c r="B107" s="31" t="inlineStr">
        <is>
          <t>SEPTIEMBRE</t>
        </is>
      </c>
      <c r="C107" s="32">
        <f>SUM('_____VENERO CLARO'!Z6:Z300)</f>
        <v/>
      </c>
      <c r="D107" s="32">
        <f>SUM('_____VENERO CLARO'!AC9:AC300)</f>
        <v/>
      </c>
      <c r="E107" s="32">
        <f>SUMIF('TOTAL SEPTIEMBRE'!$B$4:$B$2000,"VENERO CLARO",'TOTAL SEPTIEMBRE'!$D$4:$D$2000)</f>
        <v/>
      </c>
      <c r="F107" s="32">
        <f>IF(D107="","",ROUND(C107-D107,2))</f>
        <v/>
      </c>
      <c r="G107" s="32">
        <f>IF(D107="",ROUND(C107-E107,2),ROUND(D107-E107,2))</f>
        <v/>
      </c>
      <c r="H107" s="33">
        <f>IF(AND(ABS(N(F107))&lt;=0.05,ABS(G107)&lt;=0.05),"OK","REVISAR")</f>
        <v/>
      </c>
      <c r="I107" s="25" t="n"/>
    </row>
    <row r="108" ht="15" customHeight="1">
      <c r="A108" s="25" t="inlineStr">
        <is>
          <t>VINS DES DIEUX</t>
        </is>
      </c>
      <c r="B108" s="34" t="inlineStr">
        <is>
          <t>JULIO</t>
        </is>
      </c>
      <c r="C108" s="32">
        <f>SUM('_____VINS DES DIEUX'!F6:F300)</f>
        <v/>
      </c>
      <c r="D108" s="32">
        <f>SUM('_____VINS DES DIEUX'!I9:I300)</f>
        <v/>
      </c>
      <c r="E108" s="32" t="n">
        <v>202.8</v>
      </c>
      <c r="F108" s="32">
        <f>IF(D108="","",ROUND(C108-D108,2))</f>
        <v/>
      </c>
      <c r="G108" s="32">
        <f>IF(D108="",ROUND(C108-E108,2),ROUND(D108-E108,2))</f>
        <v/>
      </c>
      <c r="H108" s="33">
        <f>IF(AND(ABS(N(F108))&lt;=0.05,ABS(G108)&lt;=0.05),"OK","REVISAR")</f>
        <v/>
      </c>
      <c r="I108" s="25" t="n"/>
    </row>
    <row r="109" ht="15" customHeight="1">
      <c r="A109" s="25" t="inlineStr">
        <is>
          <t>VINS DES DIEUX</t>
        </is>
      </c>
      <c r="B109" s="31" t="inlineStr">
        <is>
          <t>SEPTIEMBRE</t>
        </is>
      </c>
      <c r="C109" s="32">
        <f>SUM('_____VINS DES DIEUX'!P6:P300)</f>
        <v/>
      </c>
      <c r="D109" s="32">
        <f>SUM('_____VINS DES DIEUX'!S9:S300)</f>
        <v/>
      </c>
      <c r="E109" s="32">
        <f>SUMIF('TOTAL SEPTIEMBRE'!$B$4:$B$2000,"VINS DES DIEUX",'TOTAL SEPTIEMBRE'!$D$4:$D$2000)</f>
        <v/>
      </c>
      <c r="F109" s="32">
        <f>IF(D109="","",ROUND(C109-D109,2))</f>
        <v/>
      </c>
      <c r="G109" s="32">
        <f>IF(D109="",ROUND(C109-E109,2),ROUND(D109-E109,2))</f>
        <v/>
      </c>
      <c r="H109" s="33">
        <f>IF(AND(ABS(N(F109))&lt;=0.05,ABS(G109)&lt;=0.05),"OK","REVISAR")</f>
        <v/>
      </c>
      <c r="I109" s="25" t="n"/>
    </row>
    <row r="110" ht="15" customHeight="1">
      <c r="A110" s="25" t="inlineStr">
        <is>
          <t>VOLDIS</t>
        </is>
      </c>
      <c r="B110" s="34" t="inlineStr">
        <is>
          <t>JULIO</t>
        </is>
      </c>
      <c r="C110" s="32">
        <f>SUM(_____VOLDIS!F6:F300)</f>
        <v/>
      </c>
      <c r="D110" s="32">
        <f>SUM(_____VOLDIS!I9:I300)</f>
        <v/>
      </c>
      <c r="E110" s="32" t="n">
        <v>6546.46</v>
      </c>
      <c r="F110" s="32">
        <f>IF(D110="","",ROUND(C110-D110,2))</f>
        <v/>
      </c>
      <c r="G110" s="32">
        <f>IF(D110="",ROUND(C110-E110,2),ROUND(D110-E110,2))</f>
        <v/>
      </c>
      <c r="H110" s="33">
        <f>IF(AND(ABS(N(F110))&lt;=0.05,ABS(G110)&lt;=0.05),"OK","REVISAR")</f>
        <v/>
      </c>
      <c r="I110" s="25" t="n"/>
    </row>
    <row r="111" ht="15" customHeight="1">
      <c r="A111" s="25" t="inlineStr">
        <is>
          <t>VOLDIS</t>
        </is>
      </c>
      <c r="B111" s="35" t="inlineStr">
        <is>
          <t>AGOSTO</t>
        </is>
      </c>
      <c r="C111" s="32">
        <f>SUM(_____VOLDIS!P6:P300)</f>
        <v/>
      </c>
      <c r="D111" s="32">
        <f>SUM(_____VOLDIS!S9:S300)</f>
        <v/>
      </c>
      <c r="E111" s="32" t="n">
        <v>780.87</v>
      </c>
      <c r="F111" s="32">
        <f>IF(D111="","",ROUND(C111-D111,2))</f>
        <v/>
      </c>
      <c r="G111" s="32">
        <f>IF(D111="",ROUND(C111-E111,2),ROUND(D111-E111,2))</f>
        <v/>
      </c>
      <c r="H111" s="33">
        <f>IF(AND(ABS(N(F111))&lt;=0.05,ABS(G111)&lt;=0.05),"OK","REVISAR")</f>
        <v/>
      </c>
      <c r="I111" s="25" t="n"/>
    </row>
    <row r="112" ht="15" customHeight="1">
      <c r="A112" s="25" t="inlineStr">
        <is>
          <t>VOLDIS</t>
        </is>
      </c>
      <c r="B112" s="31" t="inlineStr">
        <is>
          <t>SEPTIEMBRE</t>
        </is>
      </c>
      <c r="C112" s="32">
        <f>SUM(_____VOLDIS!Z6:Z300)</f>
        <v/>
      </c>
      <c r="D112" s="32">
        <f>SUM(_____VOLDIS!AC9:AC300)</f>
        <v/>
      </c>
      <c r="E112" s="32">
        <f>SUMIF('TOTAL SEPTIEMBRE'!$B$4:$B$2000,"VOLDIS",'TOTAL SEPTIEMBRE'!$D$4:$D$2000)</f>
        <v/>
      </c>
      <c r="F112" s="32">
        <f>IF(D112="","",ROUND(C112-D112,2))</f>
        <v/>
      </c>
      <c r="G112" s="32">
        <f>IF(D112="",ROUND(C112-E112,2),ROUND(D112-E112,2))</f>
        <v/>
      </c>
      <c r="H112" s="33">
        <f>IF(AND(ABS(N(F112))&lt;=0.05,ABS(G112)&lt;=0.05),"OK","REVISAR")</f>
        <v/>
      </c>
      <c r="I112" s="25" t="n"/>
    </row>
  </sheetData>
  <mergeCells count="2">
    <mergeCell ref="A3:I3"/>
    <mergeCell ref="A2:I2"/>
  </mergeCells>
  <conditionalFormatting sqref="A6:I112">
    <cfRule type="expression" priority="1" dxfId="3">
      <formula>$A6&lt;&gt;$A5</formula>
    </cfRule>
  </conditionalFormatting>
  <conditionalFormatting sqref="H6:H112">
    <cfRule type="cellIs" priority="2" operator="equal" dxfId="4">
      <formula>"REVISAR"</formula>
    </cfRule>
    <cfRule type="cellIs" priority="3" operator="equal" dxfId="5">
      <formula>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6A6A6"/>
    <outlinePr summaryBelow="1" summaryRight="1"/>
    <pageSetUpPr/>
  </sheetPr>
  <dimension ref="B2:J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36" t="n">
        <v>46266</v>
      </c>
      <c r="C2" s="5" t="n"/>
      <c r="D2" s="5" t="n"/>
      <c r="E2" s="5" t="n"/>
      <c r="F2" s="5" t="n"/>
    </row>
    <row r="3" ht="15" customHeight="1">
      <c r="B3" s="5" t="n"/>
      <c r="C3" s="5" t="n"/>
      <c r="D3" s="5" t="n"/>
      <c r="E3" s="5" t="n"/>
      <c r="F3" s="5" t="n"/>
    </row>
    <row r="4" ht="15" customHeight="1">
      <c r="H4" s="37" t="inlineStr">
        <is>
          <t>TOTAL</t>
        </is>
      </c>
      <c r="I4" s="38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37" t="inlineStr">
        <is>
          <t>ALBARANES</t>
        </is>
      </c>
      <c r="I5" s="38">
        <f>SUM(I9:I300)</f>
        <v/>
      </c>
    </row>
    <row r="6" ht="15" customHeight="1">
      <c r="B6" s="39" t="inlineStr">
        <is>
          <t>PATATAS SAL CARTUCHO (2bx500g)</t>
        </is>
      </c>
      <c r="C6" s="40">
        <f>25+20+15+10+10+15+25+10</f>
        <v/>
      </c>
      <c r="D6" s="41" t="n">
        <v>4.5</v>
      </c>
      <c r="E6" s="42" t="n">
        <v>0.02</v>
      </c>
      <c r="F6" s="43">
        <f>(C6*D6)-((C6*D6)*E6)</f>
        <v/>
      </c>
      <c r="H6" s="37" t="inlineStr">
        <is>
          <t>DIFERENCIA</t>
        </is>
      </c>
      <c r="I6" s="38">
        <f>I5-I4</f>
        <v/>
      </c>
    </row>
    <row r="7" ht="15" customHeight="1">
      <c r="B7" s="25" t="inlineStr">
        <is>
          <t>BANDERILLAS DULCES cortada (1cux1,7kg)</t>
        </is>
      </c>
      <c r="C7" s="44">
        <f>6+3+9+10+10+8+1+14+6</f>
        <v/>
      </c>
      <c r="D7" s="19" t="n">
        <v>9.84</v>
      </c>
      <c r="E7" s="45" t="n">
        <v>0.02</v>
      </c>
      <c r="F7" s="17">
        <f>(C7*D7)-((C7*D7)*E7)</f>
        <v/>
      </c>
    </row>
    <row r="8" ht="15" customHeight="1">
      <c r="B8" s="39" t="inlineStr">
        <is>
          <t>MINI MIX PICA (1bx1kg)</t>
        </is>
      </c>
      <c r="C8" s="40">
        <f>7+7+6+5+6</f>
        <v/>
      </c>
      <c r="D8" s="41" t="n">
        <v>5.25</v>
      </c>
      <c r="E8" s="42" t="n">
        <v>0.02</v>
      </c>
      <c r="F8" s="43">
        <f>(C8*D8)-((C8*D8)*E8)</f>
        <v/>
      </c>
      <c r="H8" s="4" t="inlineStr">
        <is>
          <t>Nº ALBARÁN</t>
        </is>
      </c>
      <c r="I8" s="4" t="inlineStr">
        <is>
          <t>BASE</t>
        </is>
      </c>
      <c r="J8" s="4" t="inlineStr">
        <is>
          <t>% IVA</t>
        </is>
      </c>
    </row>
    <row r="9" ht="15" customHeight="1">
      <c r="B9" s="25" t="inlineStr">
        <is>
          <t>ACEITUNA MANZANILLA (200) (1cux4,3kg)</t>
        </is>
      </c>
      <c r="C9" s="44">
        <f>1+1+1+1+1+1</f>
        <v/>
      </c>
      <c r="D9" s="19" t="n">
        <v>17.1</v>
      </c>
      <c r="E9" s="45" t="n">
        <v>0.02</v>
      </c>
      <c r="F9" s="17">
        <f>(C9*D9)-((C9*D9)*E9)</f>
        <v/>
      </c>
      <c r="H9" s="26" t="inlineStr">
        <is>
          <t>26003920</t>
        </is>
      </c>
      <c r="I9" s="17" t="n">
        <v>220.88</v>
      </c>
      <c r="J9" s="27" t="n">
        <v>0.1</v>
      </c>
    </row>
    <row r="10" ht="15" customHeight="1">
      <c r="B10" s="39" t="inlineStr">
        <is>
          <t>MEJILLON MEDIA CONCHA (1cux1,5kg)</t>
        </is>
      </c>
      <c r="C10" s="40">
        <f>4+2+4+2+4+4</f>
        <v/>
      </c>
      <c r="D10" s="41" t="n">
        <v>21.5</v>
      </c>
      <c r="E10" s="42" t="n">
        <v>0.02</v>
      </c>
      <c r="F10" s="43">
        <f>(C10*D10)-((C10*D10)*E10)</f>
        <v/>
      </c>
      <c r="H10" s="26" t="inlineStr">
        <is>
          <t>26003939</t>
        </is>
      </c>
      <c r="I10" s="17" t="n">
        <v>113.21</v>
      </c>
      <c r="J10" s="27" t="n">
        <v>0.1</v>
      </c>
    </row>
    <row r="11" ht="15" customHeight="1">
      <c r="B11" s="25" t="inlineStr">
        <is>
          <t>ALMENDRA COMUNA REP. FRITA (1bx1kg)</t>
        </is>
      </c>
      <c r="C11" s="44">
        <f>1+1</f>
        <v/>
      </c>
      <c r="D11" s="19" t="n">
        <v>12.7</v>
      </c>
      <c r="E11" s="45" t="n">
        <v>0.02</v>
      </c>
      <c r="F11" s="17">
        <f>(C11*D11)-((C11*D11)*E11)</f>
        <v/>
      </c>
      <c r="H11" s="26" t="inlineStr">
        <is>
          <t>26003992</t>
        </is>
      </c>
      <c r="I11" s="17" t="n">
        <v>309.15</v>
      </c>
      <c r="J11" s="27" t="n">
        <v>0.1</v>
      </c>
    </row>
    <row r="12">
      <c r="B12" s="39" t="inlineStr">
        <is>
          <t>ACEITUNA RELL. ANCHOA 160/180 (1botex2k)</t>
        </is>
      </c>
      <c r="C12" s="40">
        <f>2+2+2+1+3+3</f>
        <v/>
      </c>
      <c r="D12" s="41" t="n">
        <v>15.7</v>
      </c>
      <c r="E12" s="42" t="n">
        <v>0.02</v>
      </c>
      <c r="F12" s="43">
        <f>(C12*D12)-((C12*D12)*E12)</f>
        <v/>
      </c>
      <c r="H12" s="26" t="inlineStr">
        <is>
          <t>26004025</t>
        </is>
      </c>
      <c r="I12" s="17" t="n">
        <v>330.41</v>
      </c>
      <c r="J12" s="27" t="n">
        <v>0.1</v>
      </c>
    </row>
    <row r="13">
      <c r="B13" s="25" t="inlineStr">
        <is>
          <t>PIPARRA VASCA (tarro 1800g)</t>
        </is>
      </c>
      <c r="C13" s="44">
        <f>3+4+3+3+3</f>
        <v/>
      </c>
      <c r="D13" s="19" t="n">
        <v>10.9</v>
      </c>
      <c r="E13" s="45" t="n">
        <v>0.02</v>
      </c>
      <c r="F13" s="17">
        <f>(C13*D13)-((C13*D13)*E13)</f>
        <v/>
      </c>
      <c r="H13" s="26" t="inlineStr">
        <is>
          <t>26004078</t>
        </is>
      </c>
      <c r="I13" s="17" t="n">
        <v>180.49</v>
      </c>
      <c r="J13" s="27" t="n">
        <v>0.1</v>
      </c>
    </row>
    <row r="14">
      <c r="B14" s="39" t="inlineStr">
        <is>
          <t>MEZCLA DE FRUTOS SECOS N01 (1bx2kg)</t>
        </is>
      </c>
      <c r="C14" s="40" t="n">
        <v>2</v>
      </c>
      <c r="D14" s="41" t="n">
        <v>10.585</v>
      </c>
      <c r="E14" s="42" t="n">
        <v>0.02</v>
      </c>
      <c r="F14" s="43">
        <f>(C14*D14)-((C14*D14)*E14)</f>
        <v/>
      </c>
      <c r="H14" s="26" t="inlineStr">
        <is>
          <t>26004093</t>
        </is>
      </c>
      <c r="I14" s="17" t="n">
        <v>284.89</v>
      </c>
      <c r="J14" s="27" t="n">
        <v>0.1</v>
      </c>
    </row>
    <row r="15">
      <c r="B15" s="25" t="inlineStr">
        <is>
          <t>MEZCLA DE FRUTOS SECOS N01 (1bx2kg)</t>
        </is>
      </c>
      <c r="C15" s="44">
        <f>1+3</f>
        <v/>
      </c>
      <c r="D15" s="19" t="n">
        <v>10.5825</v>
      </c>
      <c r="E15" s="45" t="n">
        <v>0.02</v>
      </c>
      <c r="F15" s="17">
        <f>(C15*D15)-((C15*D15)*E15)</f>
        <v/>
      </c>
      <c r="H15" s="26" t="inlineStr">
        <is>
          <t>26004113</t>
        </is>
      </c>
      <c r="I15" s="17" t="n">
        <v>201.1</v>
      </c>
      <c r="J15" s="27" t="n">
        <v>0.1</v>
      </c>
    </row>
    <row r="16">
      <c r="H16" s="26" t="inlineStr">
        <is>
          <t>26000075</t>
        </is>
      </c>
      <c r="I16" s="17" t="n">
        <v>9.640000000000001</v>
      </c>
      <c r="J16" s="27" t="n">
        <v>0.1</v>
      </c>
    </row>
    <row r="17">
      <c r="H17" s="26" t="inlineStr">
        <is>
          <t>26004189</t>
        </is>
      </c>
      <c r="I17" s="17" t="n">
        <v>450.21</v>
      </c>
      <c r="J17" s="27" t="n">
        <v>0.1</v>
      </c>
    </row>
    <row r="18">
      <c r="H18" s="26" t="inlineStr">
        <is>
          <t>26004218</t>
        </is>
      </c>
      <c r="I18" s="17" t="n">
        <v>258.91</v>
      </c>
      <c r="J18" s="27" t="n">
        <v>0.1</v>
      </c>
    </row>
  </sheetData>
  <mergeCells count="1">
    <mergeCell ref="B2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6A6A6"/>
    <outlinePr summaryBelow="1" summaryRight="1"/>
    <pageSetUpPr/>
  </sheetPr>
  <dimension ref="B2:AD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LOMO NEGRO SIN COLA LIMPIO</t>
        </is>
      </c>
      <c r="C6" s="40">
        <f>4.9+5+5.2</f>
        <v/>
      </c>
      <c r="D6" s="41" t="n">
        <v>39.05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LOMO NEGRO SIN COLA LIMPIO</t>
        </is>
      </c>
      <c r="M6" s="40">
        <f>4.9+5.05+4.75</f>
        <v/>
      </c>
      <c r="N6" s="41" t="n">
        <v>39.05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GAMBA ROJA ALISTADA 15-20P</t>
        </is>
      </c>
      <c r="W6" s="40">
        <f>1.2+1.3+1.3+1</f>
        <v/>
      </c>
      <c r="X6" s="41" t="n">
        <v>89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GAMBA ROJA ALISTADA 15-20P</t>
        </is>
      </c>
      <c r="C7" s="44">
        <f>1.3+1.2</f>
        <v/>
      </c>
      <c r="D7" s="19" t="n">
        <v>79</v>
      </c>
      <c r="E7" s="45" t="n">
        <v>0</v>
      </c>
      <c r="F7" s="17">
        <f>(C7*D7)-((C7*D7)*E7)</f>
        <v/>
      </c>
      <c r="L7" s="25" t="inlineStr">
        <is>
          <t>GAMBA ROJA ALISTADA 15-20P</t>
        </is>
      </c>
      <c r="M7" s="44">
        <f>1.3+1+1.2</f>
        <v/>
      </c>
      <c r="N7" s="19" t="n">
        <v>84</v>
      </c>
      <c r="O7" s="45" t="n">
        <v>0</v>
      </c>
      <c r="P7" s="17">
        <f>(M7*N7)-((M7*N7)*O7)</f>
        <v/>
      </c>
      <c r="V7" s="25" t="inlineStr">
        <is>
          <t>BOQUERON GORDO</t>
        </is>
      </c>
      <c r="W7" s="44">
        <f>3+3</f>
        <v/>
      </c>
      <c r="X7" s="19" t="n">
        <v>7.3</v>
      </c>
      <c r="Y7" s="45" t="n">
        <v>0</v>
      </c>
      <c r="Z7" s="17">
        <f>(W7*X7)-((W7*X7)*Y7)</f>
        <v/>
      </c>
    </row>
    <row r="8" ht="15" customHeight="1">
      <c r="B8" s="39" t="inlineStr">
        <is>
          <t>BOQUERON GORDO</t>
        </is>
      </c>
      <c r="C8" s="40">
        <f>3.5</f>
        <v/>
      </c>
      <c r="D8" s="41" t="n">
        <v>11.95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BOQUERON GORDO</t>
        </is>
      </c>
      <c r="M8" s="40" t="n">
        <v>3</v>
      </c>
      <c r="N8" s="41" t="n">
        <v>11.95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LOMO NEGRO SIN COLA LIMPIO</t>
        </is>
      </c>
      <c r="W8" s="40">
        <f>5.26+4.45+4.8+5.36+5.26</f>
        <v/>
      </c>
      <c r="X8" s="41" t="n">
        <v>39.05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GAMBA ROJA ALISTADA 15-20P</t>
        </is>
      </c>
      <c r="C9" s="44">
        <f>1.5+1+1</f>
        <v/>
      </c>
      <c r="D9" s="19" t="n">
        <v>84</v>
      </c>
      <c r="E9" s="45" t="n">
        <v>0</v>
      </c>
      <c r="F9" s="17">
        <f>(C9*D9)-((C9*D9)*E9)</f>
        <v/>
      </c>
      <c r="H9" s="26" t="inlineStr">
        <is>
          <t>26 6093</t>
        </is>
      </c>
      <c r="I9" s="17" t="n">
        <v>191.35</v>
      </c>
      <c r="J9" s="27" t="n">
        <v>0.1</v>
      </c>
      <c r="L9" s="25" t="inlineStr">
        <is>
          <t>BOQUERON GORDO</t>
        </is>
      </c>
      <c r="M9" s="44">
        <f>3+3.5+3+4</f>
        <v/>
      </c>
      <c r="N9" s="19" t="n">
        <v>9.800000000000001</v>
      </c>
      <c r="O9" s="45" t="n">
        <v>0</v>
      </c>
      <c r="P9" s="17">
        <f>(M9*N9)-((M9*N9)*O9)</f>
        <v/>
      </c>
      <c r="R9" s="26" t="inlineStr">
        <is>
          <t>26 6717</t>
        </is>
      </c>
      <c r="S9" s="17" t="n">
        <v>300.55</v>
      </c>
      <c r="T9" s="27" t="n">
        <v>0.1</v>
      </c>
      <c r="V9" s="25" t="inlineStr">
        <is>
          <t>GAMBA ROJA ALISTADA 15-20P</t>
        </is>
      </c>
      <c r="W9" s="44">
        <f>1+1+1.3</f>
        <v/>
      </c>
      <c r="X9" s="19" t="n">
        <v>95</v>
      </c>
      <c r="Y9" s="45" t="n">
        <v>0</v>
      </c>
      <c r="Z9" s="17">
        <f>(W9*X9)-((W9*X9)*Y9)</f>
        <v/>
      </c>
      <c r="AB9" s="26" t="inlineStr">
        <is>
          <t>26 7364</t>
        </is>
      </c>
      <c r="AC9" s="17" t="n">
        <v>128.7</v>
      </c>
      <c r="AD9" s="27" t="n">
        <v>0.1</v>
      </c>
    </row>
    <row r="10" ht="15" customHeight="1">
      <c r="H10" s="26" t="inlineStr">
        <is>
          <t>26 6075</t>
        </is>
      </c>
      <c r="I10" s="17" t="n">
        <v>102.7</v>
      </c>
      <c r="J10" s="27" t="n">
        <v>0.1</v>
      </c>
      <c r="L10" s="39" t="inlineStr">
        <is>
          <t>GAMBA ROJA ALISTADA 15-20P</t>
        </is>
      </c>
      <c r="M10" s="40" t="n">
        <v>1</v>
      </c>
      <c r="N10" s="41" t="n">
        <v>89</v>
      </c>
      <c r="O10" s="42" t="n">
        <v>0</v>
      </c>
      <c r="P10" s="43">
        <f>(M10*N10)-((M10*N10)*O10)</f>
        <v/>
      </c>
      <c r="R10" s="26" t="inlineStr">
        <is>
          <t>26 6980</t>
        </is>
      </c>
      <c r="S10" s="17" t="n">
        <v>35.85</v>
      </c>
      <c r="T10" s="27" t="n">
        <v>0.1</v>
      </c>
      <c r="AB10" s="26" t="inlineStr">
        <is>
          <t>26 7432</t>
        </is>
      </c>
      <c r="AC10" s="17" t="n">
        <v>343</v>
      </c>
      <c r="AD10" s="27" t="n">
        <v>0.1</v>
      </c>
    </row>
    <row r="11" ht="15" customHeight="1">
      <c r="H11" s="26" t="inlineStr">
        <is>
          <t>26 6029</t>
        </is>
      </c>
      <c r="I11" s="17" t="n">
        <v>41.83</v>
      </c>
      <c r="J11" s="27" t="n">
        <v>0.1</v>
      </c>
      <c r="R11" s="26" t="inlineStr">
        <is>
          <t>26 7006</t>
        </is>
      </c>
      <c r="S11" s="17" t="n">
        <v>84</v>
      </c>
      <c r="T11" s="27" t="n">
        <v>0.1</v>
      </c>
      <c r="AB11" s="26" t="inlineStr">
        <is>
          <t>26 7607</t>
        </is>
      </c>
      <c r="AC11" s="17" t="n">
        <v>289.47</v>
      </c>
      <c r="AD11" s="27" t="n">
        <v>0.1</v>
      </c>
    </row>
    <row r="12">
      <c r="H12" s="26" t="inlineStr">
        <is>
          <t>26 5876</t>
        </is>
      </c>
      <c r="I12" s="17" t="n">
        <v>195.25</v>
      </c>
      <c r="J12" s="27" t="n">
        <v>0.1</v>
      </c>
      <c r="R12" s="26" t="inlineStr">
        <is>
          <t>26 7016</t>
        </is>
      </c>
      <c r="S12" s="17" t="n">
        <v>226.6</v>
      </c>
      <c r="T12" s="27" t="n">
        <v>0.1</v>
      </c>
      <c r="AB12" s="26" t="inlineStr">
        <is>
          <t>26 7678</t>
        </is>
      </c>
      <c r="AC12" s="17" t="n">
        <v>276.44</v>
      </c>
      <c r="AD12" s="27" t="n">
        <v>0.1</v>
      </c>
    </row>
    <row r="13">
      <c r="H13" s="26" t="inlineStr">
        <is>
          <t>26 5951</t>
        </is>
      </c>
      <c r="I13" s="17" t="n">
        <v>94.8</v>
      </c>
      <c r="J13" s="27" t="n">
        <v>0.1</v>
      </c>
      <c r="R13" s="26" t="inlineStr">
        <is>
          <t>26 7048</t>
        </is>
      </c>
      <c r="S13" s="17" t="n">
        <v>100.8</v>
      </c>
      <c r="T13" s="27" t="n">
        <v>0.1</v>
      </c>
      <c r="AB13" s="26" t="inlineStr">
        <is>
          <t>26 7923</t>
        </is>
      </c>
      <c r="AC13" s="17" t="n">
        <v>304.31</v>
      </c>
      <c r="AD13" s="27" t="n">
        <v>0.1</v>
      </c>
    </row>
    <row r="14">
      <c r="H14" s="26" t="inlineStr">
        <is>
          <t>26 6564</t>
        </is>
      </c>
      <c r="I14" s="17" t="n">
        <v>203.06</v>
      </c>
      <c r="J14" s="27" t="n">
        <v>0.1</v>
      </c>
      <c r="R14" s="26" t="inlineStr">
        <is>
          <t>26 7103</t>
        </is>
      </c>
      <c r="S14" s="17" t="n">
        <v>34.3</v>
      </c>
      <c r="T14" s="27" t="n">
        <v>0.1</v>
      </c>
      <c r="AB14" s="26" t="inlineStr">
        <is>
          <t>26 8103</t>
        </is>
      </c>
      <c r="AC14" s="17" t="n">
        <v>95</v>
      </c>
      <c r="AD14" s="27" t="n">
        <v>0.1</v>
      </c>
    </row>
    <row r="15">
      <c r="H15" s="26" t="inlineStr">
        <is>
          <t>26 6530</t>
        </is>
      </c>
      <c r="I15" s="17" t="n">
        <v>126</v>
      </c>
      <c r="J15" s="27" t="n">
        <v>0.1</v>
      </c>
      <c r="R15" s="26" t="inlineStr">
        <is>
          <t>26 7151</t>
        </is>
      </c>
      <c r="S15" s="17" t="n">
        <v>0</v>
      </c>
      <c r="T15" s="27" t="n">
        <v>0.1</v>
      </c>
      <c r="AB15" s="26" t="inlineStr">
        <is>
          <t>26 8111</t>
        </is>
      </c>
      <c r="AC15" s="17" t="n">
        <v>328.9</v>
      </c>
      <c r="AD15" s="27" t="n">
        <v>0.1</v>
      </c>
    </row>
    <row r="16">
      <c r="H16" s="26" t="inlineStr">
        <is>
          <t>26 6503</t>
        </is>
      </c>
      <c r="I16" s="17" t="n">
        <v>84</v>
      </c>
      <c r="J16" s="27" t="n">
        <v>0.1</v>
      </c>
      <c r="R16" s="26" t="inlineStr">
        <is>
          <t>26 7202</t>
        </is>
      </c>
      <c r="S16" s="17" t="n">
        <v>29.4</v>
      </c>
      <c r="T16" s="27" t="n">
        <v>0.1</v>
      </c>
    </row>
    <row r="17">
      <c r="H17" s="26" t="inlineStr">
        <is>
          <t>26 6629</t>
        </is>
      </c>
      <c r="I17" s="17" t="n">
        <v>84</v>
      </c>
      <c r="J17" s="27" t="n">
        <v>0.1</v>
      </c>
      <c r="R17" s="26" t="inlineStr">
        <is>
          <t>26 7226</t>
        </is>
      </c>
      <c r="S17" s="17" t="n">
        <v>185.49</v>
      </c>
      <c r="T17" s="27" t="n">
        <v>0.1</v>
      </c>
    </row>
    <row r="18">
      <c r="R18" s="26" t="inlineStr">
        <is>
          <t>26 7264</t>
        </is>
      </c>
      <c r="S18" s="17" t="n">
        <v>128.2</v>
      </c>
      <c r="T18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6A6A6"/>
    <outlinePr summaryBelow="1" summaryRight="1"/>
    <pageSetUpPr/>
  </sheetPr>
  <dimension ref="B2:AD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ENTRECOT T. MORUCHA</t>
        </is>
      </c>
      <c r="C6" s="40">
        <f>6.95+3.4+7.12+3.42+15.16+10.41+3.21+8.21+13.51+3.29+7.16+3.57+13.04+10.45</f>
        <v/>
      </c>
      <c r="D6" s="41" t="n">
        <v>27.5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MEDALLON P. SOLOMILLO VACUNO (precio+MER 0,07)</t>
        </is>
      </c>
      <c r="M6" s="40">
        <f>6.17+4.19+4</f>
        <v/>
      </c>
      <c r="N6" s="41" t="n">
        <v>36.97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ENTRECOT T. MORUCHA (precio+MER 0,07)</t>
        </is>
      </c>
      <c r="W6" s="40">
        <f>6.48+6.83+13.87+17.78+13.13+3.54+7.21+6.73+13.63+3.45+13.26+13.82</f>
        <v/>
      </c>
      <c r="X6" s="41" t="n">
        <v>27.57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MEDALLON P. SOLOMILLO VACUNO</t>
        </is>
      </c>
      <c r="C7" s="44">
        <f>2.09+2.12+2.08+2+2.05+2.04+4.19+2.03+2.01+1.94+3.95+2.1</f>
        <v/>
      </c>
      <c r="D7" s="19" t="n">
        <v>36.9</v>
      </c>
      <c r="E7" s="45" t="n">
        <v>0</v>
      </c>
      <c r="F7" s="17">
        <f>(C7*D7)-((C7*D7)*E7)</f>
        <v/>
      </c>
      <c r="L7" s="25" t="inlineStr">
        <is>
          <t>ENTRECOT T. MORUCHA (precio+MER 0,07)</t>
        </is>
      </c>
      <c r="M7" s="44">
        <f>13.34+10.91</f>
        <v/>
      </c>
      <c r="N7" s="19" t="n">
        <v>27.57</v>
      </c>
      <c r="O7" s="45" t="n">
        <v>0</v>
      </c>
      <c r="P7" s="17">
        <f>(M7*N7)-((M7*N7)*O7)</f>
        <v/>
      </c>
      <c r="V7" s="25" t="inlineStr">
        <is>
          <t>MEDALLON P. SOLOMILLO VACUNO (precio+MER 0,07)</t>
        </is>
      </c>
      <c r="W7" s="44">
        <f>2.09+4.09+4.03+4.04+4.25+4.25+4.16+2.06+2.01+5.97+2.21</f>
        <v/>
      </c>
      <c r="X7" s="19" t="n">
        <v>36.97</v>
      </c>
      <c r="Y7" s="45" t="n">
        <v>0</v>
      </c>
      <c r="Z7" s="17">
        <f>(W7*X7)-((W7*X7)*Y7)</f>
        <v/>
      </c>
    </row>
    <row r="8" ht="15" customHeight="1">
      <c r="B8" s="39" t="inlineStr">
        <is>
          <t>TASA DE ELIMINACION DE RESIDUOS</t>
        </is>
      </c>
      <c r="C8" s="40" t="n">
        <v>1</v>
      </c>
      <c r="D8" s="41" t="n">
        <v>1.02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TASA DE ELIMINACION DE RESIDUOS</t>
        </is>
      </c>
      <c r="C9" s="44" t="n">
        <v>1</v>
      </c>
      <c r="D9" s="19" t="n">
        <v>0.74</v>
      </c>
      <c r="E9" s="45" t="n">
        <v>0</v>
      </c>
      <c r="F9" s="17">
        <f>(C9*D9)-((C9*D9)*E9)</f>
        <v/>
      </c>
      <c r="H9" s="26" t="inlineStr">
        <is>
          <t>M26/810</t>
        </is>
      </c>
      <c r="I9" s="17" t="n">
        <v>441</v>
      </c>
      <c r="J9" s="27" t="n">
        <v>0.1</v>
      </c>
      <c r="R9" s="26" t="inlineStr">
        <is>
          <t>M26/935</t>
        </is>
      </c>
      <c r="S9" s="17" t="n">
        <v>228.11</v>
      </c>
      <c r="T9" s="27" t="n">
        <v>0.1</v>
      </c>
      <c r="AB9" s="26" t="inlineStr">
        <is>
          <t>M26/963</t>
        </is>
      </c>
      <c r="AC9" s="17" t="n">
        <v>178.65</v>
      </c>
      <c r="AD9" s="27" t="n">
        <v>0.1</v>
      </c>
    </row>
    <row r="10" ht="15" customHeight="1">
      <c r="B10" s="39" t="inlineStr">
        <is>
          <t>TASA DE ELIMINACION DE RESIDUOS</t>
        </is>
      </c>
      <c r="C10" s="40" t="n">
        <v>1</v>
      </c>
      <c r="D10" s="41" t="n">
        <v>1.21</v>
      </c>
      <c r="E10" s="42" t="n">
        <v>0</v>
      </c>
      <c r="F10" s="43">
        <f>(C10*D10)-((C10*D10)*E10)</f>
        <v/>
      </c>
      <c r="H10" s="26" t="inlineStr">
        <is>
          <t>M26/787</t>
        </is>
      </c>
      <c r="I10" s="17" t="n">
        <v>290.59</v>
      </c>
      <c r="J10" s="27" t="n">
        <v>0.1</v>
      </c>
      <c r="R10" s="26" t="inlineStr">
        <is>
          <t>M26/952</t>
        </is>
      </c>
      <c r="S10" s="17" t="n">
        <v>522.6799999999999</v>
      </c>
      <c r="T10" s="27" t="n">
        <v>0.1</v>
      </c>
      <c r="AB10" s="26" t="inlineStr">
        <is>
          <t>M26/967</t>
        </is>
      </c>
      <c r="AC10" s="17" t="n">
        <v>188.3</v>
      </c>
      <c r="AD10" s="27" t="n">
        <v>0.1</v>
      </c>
    </row>
    <row r="11" ht="15" customHeight="1">
      <c r="B11" s="25" t="inlineStr">
        <is>
          <t>TASA DE ELIMINACION DE RESIDUOS</t>
        </is>
      </c>
      <c r="C11" s="44" t="n">
        <v>1</v>
      </c>
      <c r="D11" s="19" t="n">
        <v>1.15</v>
      </c>
      <c r="E11" s="45" t="n">
        <v>0</v>
      </c>
      <c r="F11" s="17">
        <f>(C11*D11)-((C11*D11)*E11)</f>
        <v/>
      </c>
      <c r="H11" s="26" t="inlineStr">
        <is>
          <t>M26/776</t>
        </is>
      </c>
      <c r="I11" s="17" t="n">
        <v>494.86</v>
      </c>
      <c r="J11" s="27" t="n">
        <v>0.1</v>
      </c>
      <c r="R11" s="26" t="inlineStr">
        <is>
          <t>M26/928</t>
        </is>
      </c>
      <c r="S11" s="17" t="n">
        <v>448.67</v>
      </c>
      <c r="T11" s="27" t="n">
        <v>0.1</v>
      </c>
      <c r="AB11" s="26" t="inlineStr">
        <is>
          <t>M26/985</t>
        </is>
      </c>
      <c r="AC11" s="17" t="n">
        <v>610.88</v>
      </c>
      <c r="AD11" s="27" t="n">
        <v>0.1</v>
      </c>
    </row>
    <row r="12">
      <c r="B12" s="39" t="inlineStr">
        <is>
          <t>TASA DE ELIMINACION DE RESIDUOS</t>
        </is>
      </c>
      <c r="C12" s="40" t="n">
        <v>1</v>
      </c>
      <c r="D12" s="41" t="n">
        <v>0.22</v>
      </c>
      <c r="E12" s="42" t="n">
        <v>0</v>
      </c>
      <c r="F12" s="43">
        <f>(C12*D12)-((C12*D12)*E12)</f>
        <v/>
      </c>
      <c r="H12" s="26" t="inlineStr">
        <is>
          <t>M26/865</t>
        </is>
      </c>
      <c r="I12" s="17" t="n">
        <v>512.15</v>
      </c>
      <c r="J12" s="27" t="n">
        <v>0.1</v>
      </c>
      <c r="AB12" s="26" t="inlineStr">
        <is>
          <t>M26/999</t>
        </is>
      </c>
      <c r="AC12" s="17" t="n">
        <v>788.54</v>
      </c>
      <c r="AD12" s="27" t="n">
        <v>0.1</v>
      </c>
    </row>
    <row r="13">
      <c r="B13" s="25" t="inlineStr">
        <is>
          <t>TASA DE ELIMINACION DE RESIDUOS</t>
        </is>
      </c>
      <c r="C13" s="44" t="n">
        <v>1</v>
      </c>
      <c r="D13" s="19" t="n">
        <v>0.57</v>
      </c>
      <c r="E13" s="45" t="n">
        <v>0</v>
      </c>
      <c r="F13" s="17">
        <f>(C13*D13)-((C13*D13)*E13)</f>
        <v/>
      </c>
      <c r="H13" s="26" t="inlineStr">
        <is>
          <t>M26/849</t>
        </is>
      </c>
      <c r="I13" s="17" t="n">
        <v>88.5</v>
      </c>
      <c r="J13" s="27" t="n">
        <v>0.1</v>
      </c>
      <c r="AB13" s="26" t="inlineStr">
        <is>
          <t>M26/1032</t>
        </is>
      </c>
      <c r="AC13" s="17" t="n">
        <v>361.99</v>
      </c>
      <c r="AD13" s="27" t="n">
        <v>0.1</v>
      </c>
    </row>
    <row r="14">
      <c r="B14" s="39" t="inlineStr">
        <is>
          <t>TASA DE ELIMINACION DE RESIDUOS</t>
        </is>
      </c>
      <c r="C14" s="40" t="n">
        <v>1</v>
      </c>
      <c r="D14" s="41" t="n">
        <v>1.47</v>
      </c>
      <c r="E14" s="42" t="n">
        <v>0</v>
      </c>
      <c r="F14" s="43">
        <f>(C14*D14)-((C14*D14)*E14)</f>
        <v/>
      </c>
      <c r="H14" s="26" t="inlineStr">
        <is>
          <t>M26/844</t>
        </is>
      </c>
      <c r="I14" s="17" t="n">
        <v>226.35</v>
      </c>
      <c r="J14" s="27" t="n">
        <v>0.1</v>
      </c>
      <c r="AB14" s="26" t="inlineStr">
        <is>
          <t>M26/1036</t>
        </is>
      </c>
      <c r="AC14" s="17" t="n">
        <v>157.12</v>
      </c>
      <c r="AD14" s="27" t="n">
        <v>0.1</v>
      </c>
    </row>
    <row r="15">
      <c r="B15" s="25" t="inlineStr">
        <is>
          <t>TASA DE ELIMINACION DE RESIDUOS</t>
        </is>
      </c>
      <c r="C15" s="44" t="n">
        <v>1</v>
      </c>
      <c r="D15" s="19" t="n">
        <v>1.03</v>
      </c>
      <c r="E15" s="45" t="n">
        <v>0</v>
      </c>
      <c r="F15" s="17">
        <f>(C15*D15)-((C15*D15)*E15)</f>
        <v/>
      </c>
      <c r="H15" s="26" t="inlineStr">
        <is>
          <t>M26/839</t>
        </is>
      </c>
      <c r="I15" s="17" t="n">
        <v>618.08</v>
      </c>
      <c r="J15" s="27" t="n">
        <v>0.1</v>
      </c>
      <c r="AB15" s="26" t="inlineStr">
        <is>
          <t>M26/1043</t>
        </is>
      </c>
      <c r="AC15" s="17" t="n">
        <v>408.52</v>
      </c>
      <c r="AD15" s="27" t="n">
        <v>0.1</v>
      </c>
    </row>
    <row r="16">
      <c r="B16" s="39" t="inlineStr">
        <is>
          <t>TASA DE ELIMINACION DE RESIDUOS</t>
        </is>
      </c>
      <c r="C16" s="40" t="n">
        <v>1</v>
      </c>
      <c r="D16" s="41" t="n">
        <v>1.33</v>
      </c>
      <c r="E16" s="42" t="n">
        <v>0</v>
      </c>
      <c r="F16" s="43">
        <f>(C16*D16)-((C16*D16)*E16)</f>
        <v/>
      </c>
      <c r="H16" s="26" t="inlineStr">
        <is>
          <t>M26/817</t>
        </is>
      </c>
      <c r="I16" s="17" t="n">
        <v>445.18</v>
      </c>
      <c r="J16" s="27" t="n">
        <v>0.1</v>
      </c>
      <c r="AB16" s="26" t="inlineStr">
        <is>
          <t>M26/1067</t>
        </is>
      </c>
      <c r="AC16" s="17" t="n">
        <v>349.25</v>
      </c>
      <c r="AD16" s="27" t="n">
        <v>0.1</v>
      </c>
    </row>
    <row r="17">
      <c r="B17" s="25" t="inlineStr">
        <is>
          <t>TASA DE ELIMINACION DE RESIDUOS</t>
        </is>
      </c>
      <c r="C17" s="44" t="n">
        <v>1</v>
      </c>
      <c r="D17" s="19" t="n">
        <v>0.88</v>
      </c>
      <c r="E17" s="45" t="n">
        <v>0</v>
      </c>
      <c r="F17" s="17">
        <f>(C17*D17)-((C17*D17)*E17)</f>
        <v/>
      </c>
      <c r="H17" s="26" t="inlineStr">
        <is>
          <t>M26/890</t>
        </is>
      </c>
      <c r="I17" s="17" t="n">
        <v>577.26</v>
      </c>
      <c r="J17" s="27" t="n">
        <v>0.1</v>
      </c>
      <c r="AB17" s="26" t="inlineStr">
        <is>
          <t>M26/1075</t>
        </is>
      </c>
      <c r="AC17" s="17" t="n">
        <v>185.55</v>
      </c>
      <c r="AD17" s="27" t="n">
        <v>0.1</v>
      </c>
    </row>
    <row r="18">
      <c r="H18" s="26" t="inlineStr">
        <is>
          <t>M26/872</t>
        </is>
      </c>
      <c r="I18" s="17" t="n">
        <v>365.75</v>
      </c>
      <c r="J18" s="27" t="n">
        <v>0.1</v>
      </c>
      <c r="AB18" s="26" t="inlineStr">
        <is>
          <t>M26/1081</t>
        </is>
      </c>
      <c r="AC18" s="17" t="n">
        <v>375.78</v>
      </c>
      <c r="AD18" s="27" t="n">
        <v>0.1</v>
      </c>
    </row>
    <row r="19">
      <c r="AB19" s="26" t="inlineStr">
        <is>
          <t>M26/1102</t>
        </is>
      </c>
      <c r="AC19" s="17" t="n">
        <v>681.41</v>
      </c>
      <c r="AD19" s="27" t="n">
        <v>0.1</v>
      </c>
    </row>
    <row r="20">
      <c r="AB20" s="26" t="inlineStr">
        <is>
          <t>M26/1117</t>
        </is>
      </c>
      <c r="AC20" s="17" t="n">
        <v>462.72</v>
      </c>
      <c r="AD20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6A6A6"/>
    <outlinePr summaryBelow="1" summaryRight="1"/>
    <pageSetUpPr/>
  </sheetPr>
  <dimension ref="B2:J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46" t="n">
        <v>46204</v>
      </c>
      <c r="C2" s="47" t="n"/>
      <c r="D2" s="47" t="n"/>
      <c r="E2" s="47" t="n"/>
      <c r="F2" s="47" t="n"/>
    </row>
    <row r="3" ht="15" customHeight="1">
      <c r="B3" s="47" t="n"/>
      <c r="C3" s="47" t="n"/>
      <c r="D3" s="47" t="n"/>
      <c r="E3" s="47" t="n"/>
      <c r="F3" s="47" t="n"/>
    </row>
    <row r="4" ht="15" customHeight="1">
      <c r="H4" s="50" t="inlineStr">
        <is>
          <t>TOTAL</t>
        </is>
      </c>
      <c r="I4" s="51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</row>
    <row r="6" ht="15" customHeight="1">
      <c r="B6" s="39" t="inlineStr">
        <is>
          <t>PATO CEBADO-FOIE RESTAURACION (400-900)</t>
        </is>
      </c>
      <c r="C6" s="40" t="n">
        <v>10</v>
      </c>
      <c r="D6" s="41" t="n">
        <v>28.03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</row>
    <row r="7" ht="15" customHeight="1"/>
    <row r="8" ht="15" customHeight="1"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</row>
    <row r="9" ht="15" customHeight="1">
      <c r="H9" s="26" t="inlineStr">
        <is>
          <t>A/2066113</t>
        </is>
      </c>
      <c r="I9" s="17" t="n">
        <v>280.3</v>
      </c>
      <c r="J9" s="27" t="n">
        <v>0.1</v>
      </c>
    </row>
    <row r="10" ht="15" customHeight="1"/>
    <row r="11" ht="15" customHeight="1"/>
  </sheetData>
  <mergeCells count="1">
    <mergeCell ref="B2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6A6A6"/>
    <outlinePr summaryBelow="1" summaryRight="1"/>
    <pageSetUpPr/>
  </sheetPr>
  <dimension ref="B2:J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46" t="n">
        <v>46204</v>
      </c>
      <c r="C2" s="47" t="n"/>
      <c r="D2" s="47" t="n"/>
      <c r="E2" s="47" t="n"/>
      <c r="F2" s="47" t="n"/>
    </row>
    <row r="3" ht="15" customHeight="1">
      <c r="B3" s="47" t="n"/>
      <c r="C3" s="47" t="n"/>
      <c r="D3" s="47" t="n"/>
      <c r="E3" s="47" t="n"/>
      <c r="F3" s="47" t="n"/>
    </row>
    <row r="4" ht="15" customHeight="1">
      <c r="H4" s="50" t="inlineStr">
        <is>
          <t>TOTAL</t>
        </is>
      </c>
      <c r="I4" s="51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</row>
    <row r="6" ht="15" customHeight="1">
      <c r="B6" s="39" t="inlineStr">
        <is>
          <t>PAGO DE CARRAOVEJAS 2023</t>
        </is>
      </c>
      <c r="C6" s="40" t="n">
        <v>12</v>
      </c>
      <c r="D6" s="41" t="n">
        <v>28.25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</row>
    <row r="7" ht="15" customHeight="1"/>
    <row r="8" ht="15" customHeight="1"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</row>
    <row r="9" ht="15" customHeight="1">
      <c r="H9" s="26" t="inlineStr">
        <is>
          <t>AV-CV26-004508</t>
        </is>
      </c>
      <c r="I9" s="17" t="n">
        <v>339</v>
      </c>
      <c r="J9" s="27" t="n">
        <v>0.21</v>
      </c>
    </row>
    <row r="10" ht="15" customHeight="1"/>
    <row r="11" ht="15" customHeight="1"/>
  </sheetData>
  <mergeCells count="1">
    <mergeCell ref="B2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6A6A6"/>
    <outlinePr summaryBelow="1" summaryRight="1"/>
    <pageSetUpPr/>
  </sheetPr>
  <dimension ref="B2:AD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CHULETA CORDERO LECHAL</t>
        </is>
      </c>
      <c r="C6" s="40">
        <f>8.86+6.715+4.685</f>
        <v/>
      </c>
      <c r="D6" s="41" t="n">
        <v>25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SOLOMILLO VACA</t>
        </is>
      </c>
      <c r="M6" s="40">
        <f>6.65+4.375</f>
        <v/>
      </c>
      <c r="N6" s="41" t="n">
        <v>35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SOLOMILLO VACA</t>
        </is>
      </c>
      <c r="W6" s="40">
        <f>5.32+7.1+3.785</f>
        <v/>
      </c>
      <c r="X6" s="41" t="n">
        <v>35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TERNERA MIXTA</t>
        </is>
      </c>
      <c r="C7" s="44">
        <f>5.11</f>
        <v/>
      </c>
      <c r="D7" s="19" t="n">
        <v>10.9</v>
      </c>
      <c r="E7" s="45" t="n">
        <v>0</v>
      </c>
      <c r="F7" s="17">
        <f>(C7*D7)-((C7*D7)*E7)</f>
        <v/>
      </c>
      <c r="L7" s="25" t="inlineStr">
        <is>
          <t>CHULETA CORDERO LECHAL</t>
        </is>
      </c>
      <c r="M7" s="44">
        <f>5.925+4.25</f>
        <v/>
      </c>
      <c r="N7" s="19" t="n">
        <v>25</v>
      </c>
      <c r="O7" s="45" t="n">
        <v>0</v>
      </c>
      <c r="P7" s="17">
        <f>(M7*N7)-((M7*N7)*O7)</f>
        <v/>
      </c>
      <c r="V7" s="25" t="inlineStr">
        <is>
          <t>CHULETA CORDERO LECHAL</t>
        </is>
      </c>
      <c r="W7" s="44">
        <f>2.85+7.65+9.2+8.6</f>
        <v/>
      </c>
      <c r="X7" s="19" t="n">
        <v>25</v>
      </c>
      <c r="Y7" s="45" t="n">
        <v>0</v>
      </c>
      <c r="Z7" s="17">
        <f>(W7*X7)-((W7*X7)*Y7)</f>
        <v/>
      </c>
    </row>
    <row r="8" ht="15" customHeight="1">
      <c r="B8" s="39" t="inlineStr">
        <is>
          <t>SOLOMILLO VACA</t>
        </is>
      </c>
      <c r="C8" s="40">
        <f>5.445+6.48</f>
        <v/>
      </c>
      <c r="D8" s="41" t="n">
        <v>34.55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SOLOMILLO VACA</t>
        </is>
      </c>
      <c r="W8" s="40" t="n">
        <v>5.095</v>
      </c>
      <c r="X8" s="41" t="n">
        <v>34.5456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SOLOMILLO VACA</t>
        </is>
      </c>
      <c r="C9" s="44">
        <f>5.795+6.725</f>
        <v/>
      </c>
      <c r="D9" s="19" t="n">
        <v>35</v>
      </c>
      <c r="E9" s="45" t="n">
        <v>0</v>
      </c>
      <c r="F9" s="17">
        <f>(C9*D9)-((C9*D9)*E9)</f>
        <v/>
      </c>
      <c r="H9" s="26" t="inlineStr">
        <is>
          <t>A1/195</t>
        </is>
      </c>
      <c r="I9" s="17" t="n">
        <v>221.5</v>
      </c>
      <c r="J9" s="27" t="n">
        <v>0.1</v>
      </c>
      <c r="R9" s="26" t="inlineStr">
        <is>
          <t>A1/221</t>
        </is>
      </c>
      <c r="S9" s="17" t="n">
        <v>380.88</v>
      </c>
      <c r="T9" s="27" t="n">
        <v>0.1</v>
      </c>
      <c r="AB9" s="26" t="inlineStr">
        <is>
          <t>A1/234</t>
        </is>
      </c>
      <c r="AC9" s="17" t="n">
        <v>186.2</v>
      </c>
      <c r="AD9" s="27" t="n">
        <v>0.1</v>
      </c>
    </row>
    <row r="10" ht="15" customHeight="1">
      <c r="H10" s="26" t="inlineStr">
        <is>
          <t>A1/191</t>
        </is>
      </c>
      <c r="I10" s="17" t="n">
        <v>243.8</v>
      </c>
      <c r="J10" s="27" t="n">
        <v>0.1</v>
      </c>
      <c r="R10" s="26" t="inlineStr">
        <is>
          <t>A1/227</t>
        </is>
      </c>
      <c r="S10" s="17" t="n">
        <v>259.38</v>
      </c>
      <c r="T10" s="27" t="n">
        <v>0.1</v>
      </c>
      <c r="AB10" s="26" t="inlineStr">
        <is>
          <t>A1/247</t>
        </is>
      </c>
      <c r="AC10" s="17" t="n">
        <v>452.23</v>
      </c>
      <c r="AD10" s="27" t="n">
        <v>0.1</v>
      </c>
    </row>
    <row r="11" ht="15" customHeight="1">
      <c r="H11" s="26" t="inlineStr">
        <is>
          <t>A1/188</t>
        </is>
      </c>
      <c r="I11" s="17" t="n">
        <v>370.7</v>
      </c>
      <c r="J11" s="27" t="n">
        <v>0.1</v>
      </c>
      <c r="AB11" s="26" t="inlineStr">
        <is>
          <t>A1/250</t>
        </is>
      </c>
      <c r="AC11" s="17" t="n">
        <v>191.25</v>
      </c>
      <c r="AD11" s="27" t="n">
        <v>0.1</v>
      </c>
    </row>
    <row r="12">
      <c r="H12" s="26" t="inlineStr">
        <is>
          <t>A1/209</t>
        </is>
      </c>
      <c r="I12" s="17" t="n">
        <v>340.98</v>
      </c>
      <c r="J12" s="27" t="n">
        <v>0.1</v>
      </c>
      <c r="AB12" s="26" t="inlineStr">
        <is>
          <t>A1/258</t>
        </is>
      </c>
      <c r="AC12" s="17" t="n">
        <v>230</v>
      </c>
      <c r="AD12" s="27" t="n">
        <v>0.1</v>
      </c>
    </row>
    <row r="13">
      <c r="H13" s="26" t="inlineStr">
        <is>
          <t>A1/202</t>
        </is>
      </c>
      <c r="I13" s="17" t="n">
        <v>235.37</v>
      </c>
      <c r="J13" s="27" t="n">
        <v>0.1</v>
      </c>
      <c r="AB13" s="26" t="inlineStr">
        <is>
          <t>A1/261</t>
        </is>
      </c>
      <c r="AC13" s="17" t="n">
        <v>391.01</v>
      </c>
      <c r="AD13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6A6A6"/>
    <outlinePr summaryBelow="1" summaryRight="1"/>
    <pageSetUpPr/>
  </sheetPr>
  <dimension ref="B2:J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46" t="n">
        <v>46204</v>
      </c>
      <c r="C2" s="47" t="n"/>
      <c r="D2" s="47" t="n"/>
      <c r="E2" s="47" t="n"/>
      <c r="F2" s="47" t="n"/>
    </row>
    <row r="3" ht="15" customHeight="1">
      <c r="B3" s="47" t="n"/>
      <c r="C3" s="47" t="n"/>
      <c r="D3" s="47" t="n"/>
      <c r="E3" s="47" t="n"/>
      <c r="F3" s="47" t="n"/>
    </row>
    <row r="4" ht="15" customHeight="1">
      <c r="H4" s="50" t="inlineStr">
        <is>
          <t>TOTAL</t>
        </is>
      </c>
      <c r="I4" s="51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</row>
    <row r="6" ht="15" customHeight="1">
      <c r="B6" s="39" t="inlineStr">
        <is>
          <t>MEDIA CAJA HUEVO</t>
        </is>
      </c>
      <c r="C6" s="40" t="n">
        <v>1</v>
      </c>
      <c r="D6" s="41" t="n">
        <v>45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</row>
    <row r="7" ht="15" customHeight="1">
      <c r="B7" s="25" t="inlineStr">
        <is>
          <t>PANCETA ADOBADA</t>
        </is>
      </c>
      <c r="C7" s="44">
        <f>4.2+4+3</f>
        <v/>
      </c>
      <c r="D7" s="19" t="n">
        <v>8.800000000000001</v>
      </c>
      <c r="E7" s="45" t="n">
        <v>0</v>
      </c>
      <c r="F7" s="17">
        <f>(C7*D7)-((C7*D7)*E7)</f>
        <v/>
      </c>
    </row>
    <row r="8" ht="15" customHeight="1">
      <c r="B8" s="39" t="inlineStr">
        <is>
          <t>CAJA HUEVOS CORRAL</t>
        </is>
      </c>
      <c r="C8" s="40" t="n">
        <v>1</v>
      </c>
      <c r="D8" s="41" t="n">
        <v>52.5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</row>
    <row r="9" ht="15" customHeight="1">
      <c r="B9" s="25" t="inlineStr">
        <is>
          <t>POLLO TROCEADO</t>
        </is>
      </c>
      <c r="C9" s="44">
        <f>5.2</f>
        <v/>
      </c>
      <c r="D9" s="19" t="n">
        <v>3.5</v>
      </c>
      <c r="E9" s="45" t="n">
        <v>0</v>
      </c>
      <c r="F9" s="17">
        <f>(C9*D9)-((C9*D9)*E9)</f>
        <v/>
      </c>
      <c r="H9" s="26" t="inlineStr">
        <is>
          <t>A2607-0221</t>
        </is>
      </c>
      <c r="I9" s="17" t="n">
        <v>81.95999999999999</v>
      </c>
      <c r="J9" s="27" t="n">
        <v>0.1</v>
      </c>
    </row>
    <row r="10" ht="15" customHeight="1">
      <c r="B10" s="39" t="inlineStr">
        <is>
          <t>OREJA DE CERDO</t>
        </is>
      </c>
      <c r="C10" s="40">
        <f>4.4</f>
        <v/>
      </c>
      <c r="D10" s="41" t="n">
        <v>6</v>
      </c>
      <c r="E10" s="42" t="n">
        <v>0</v>
      </c>
      <c r="F10" s="43">
        <f>(C10*D10)-((C10*D10)*E10)</f>
        <v/>
      </c>
      <c r="H10" s="26" t="inlineStr">
        <is>
          <t>A2607-0169</t>
        </is>
      </c>
      <c r="I10" s="17" t="n">
        <v>105.9</v>
      </c>
      <c r="J10" s="27" t="n">
        <v>0.21</v>
      </c>
    </row>
    <row r="11" ht="15" customHeight="1">
      <c r="H11" s="26" t="inlineStr">
        <is>
          <t>A2607-0092</t>
        </is>
      </c>
      <c r="I11" s="17" t="n">
        <v>52.8</v>
      </c>
      <c r="J11" s="27" t="n">
        <v>0.1</v>
      </c>
    </row>
  </sheetData>
  <mergeCells count="1">
    <mergeCell ref="B2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A6A6A6"/>
    <outlinePr summaryBelow="1" summaryRight="1"/>
    <pageSetUpPr/>
  </sheetPr>
  <dimension ref="B2:J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36" t="n">
        <v>46266</v>
      </c>
      <c r="C2" s="5" t="n"/>
      <c r="D2" s="5" t="n"/>
      <c r="E2" s="5" t="n"/>
      <c r="F2" s="5" t="n"/>
    </row>
    <row r="3" ht="15" customHeight="1">
      <c r="B3" s="5" t="n"/>
      <c r="C3" s="5" t="n"/>
      <c r="D3" s="5" t="n"/>
      <c r="E3" s="5" t="n"/>
      <c r="F3" s="5" t="n"/>
    </row>
    <row r="4" ht="15" customHeight="1">
      <c r="H4" s="37" t="inlineStr">
        <is>
          <t>TOTAL</t>
        </is>
      </c>
      <c r="I4" s="38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37" t="inlineStr">
        <is>
          <t>ALBARANES</t>
        </is>
      </c>
      <c r="I5" s="38">
        <f>SUM(I9:I300)</f>
        <v/>
      </c>
    </row>
    <row r="6" ht="15" customHeight="1">
      <c r="B6" s="39" t="inlineStr">
        <is>
          <t>BANDEJA TIRAMISU PISTACCHIO</t>
        </is>
      </c>
      <c r="C6" s="40">
        <f>1+1+1+1+1+1</f>
        <v/>
      </c>
      <c r="D6" s="41" t="n">
        <v>70</v>
      </c>
      <c r="E6" s="42" t="n">
        <v>0</v>
      </c>
      <c r="F6" s="43">
        <f>(C6*D6)-((C6*D6)*E6)</f>
        <v/>
      </c>
      <c r="H6" s="37" t="inlineStr">
        <is>
          <t>DIFERENCIA</t>
        </is>
      </c>
      <c r="I6" s="38">
        <f>I5-I4</f>
        <v/>
      </c>
    </row>
    <row r="7" ht="15" customHeight="1"/>
    <row r="8" ht="15" customHeight="1">
      <c r="H8" s="4" t="inlineStr">
        <is>
          <t>Nº ALBARÁN</t>
        </is>
      </c>
      <c r="I8" s="4" t="inlineStr">
        <is>
          <t>BASE</t>
        </is>
      </c>
      <c r="J8" s="4" t="inlineStr">
        <is>
          <t>% IVA</t>
        </is>
      </c>
    </row>
    <row r="9" ht="15" customHeight="1">
      <c r="H9" s="26" t="inlineStr">
        <is>
          <t>FRA 2026-118</t>
        </is>
      </c>
      <c r="I9" s="17" t="n">
        <v>70</v>
      </c>
      <c r="J9" s="27" t="n">
        <v>0.1</v>
      </c>
    </row>
    <row r="10" ht="15" customHeight="1">
      <c r="H10" s="26" t="inlineStr">
        <is>
          <t>FRA 2026-122</t>
        </is>
      </c>
      <c r="I10" s="17" t="n">
        <v>70</v>
      </c>
      <c r="J10" s="27" t="n">
        <v>0.1</v>
      </c>
    </row>
    <row r="11" ht="15" customHeight="1">
      <c r="H11" s="26" t="inlineStr">
        <is>
          <t>FRA 2026-126</t>
        </is>
      </c>
      <c r="I11" s="17" t="n">
        <v>70</v>
      </c>
      <c r="J11" s="27" t="n">
        <v>0.1</v>
      </c>
    </row>
    <row r="12">
      <c r="H12" s="26" t="inlineStr">
        <is>
          <t>FRA 2026-127</t>
        </is>
      </c>
      <c r="I12" s="17" t="n">
        <v>70</v>
      </c>
      <c r="J12" s="27" t="n">
        <v>0.1</v>
      </c>
    </row>
    <row r="13">
      <c r="H13" s="26" t="inlineStr">
        <is>
          <t>FRA 2026-132</t>
        </is>
      </c>
      <c r="I13" s="17" t="n">
        <v>70</v>
      </c>
      <c r="J13" s="27" t="n">
        <v>0.1</v>
      </c>
    </row>
    <row r="14">
      <c r="H14" s="26" t="inlineStr">
        <is>
          <t>FRA 2026-134</t>
        </is>
      </c>
      <c r="I14" s="17" t="n">
        <v>70</v>
      </c>
      <c r="J14" s="27" t="n">
        <v>0.1</v>
      </c>
    </row>
  </sheetData>
  <mergeCells count="1">
    <mergeCell ref="B2:F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6A6A6"/>
    <outlinePr summaryBelow="1" summaryRight="1"/>
    <pageSetUpPr/>
  </sheetPr>
  <dimension ref="B2:AD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CAJA+BOTELLAS VR237</t>
        </is>
      </c>
      <c r="C6" s="40" t="n">
        <v>20</v>
      </c>
      <c r="D6" s="41" t="n">
        <v>4.8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COCACOLA VR237 C24 (neto caja)</t>
        </is>
      </c>
      <c r="M6" s="40" t="n">
        <v>3</v>
      </c>
      <c r="N6" s="41" t="n">
        <v>20.28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COCACOLA VR237 C24 (neto caja)</t>
        </is>
      </c>
      <c r="W6" s="40">
        <f>5+6+3</f>
        <v/>
      </c>
      <c r="X6" s="41" t="n">
        <v>20.2793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COCACOLA PET2L C6</t>
        </is>
      </c>
      <c r="C7" s="44" t="n">
        <v>36</v>
      </c>
      <c r="D7" s="19" t="n">
        <v>2.504</v>
      </c>
      <c r="E7" s="45" t="n">
        <v>0</v>
      </c>
      <c r="F7" s="17">
        <f>(C7*D7)-((C7*D7)*E7)</f>
        <v/>
      </c>
      <c r="L7" s="25" t="inlineStr">
        <is>
          <t>COCACOLA ZERO VR237 C24 (neto caja)</t>
        </is>
      </c>
      <c r="M7" s="44" t="n">
        <v>6</v>
      </c>
      <c r="N7" s="19" t="n">
        <v>20.2783</v>
      </c>
      <c r="O7" s="45" t="n">
        <v>0</v>
      </c>
      <c r="P7" s="17">
        <f>(M7*N7)-((M7*N7)*O7)</f>
        <v/>
      </c>
      <c r="V7" s="25" t="inlineStr">
        <is>
          <t>COCACOLA ZERO VR237 C24 (neto caja)</t>
        </is>
      </c>
      <c r="W7" s="44">
        <f>14+12</f>
        <v/>
      </c>
      <c r="X7" s="19" t="n">
        <v>20.2792</v>
      </c>
      <c r="Y7" s="45" t="n">
        <v>0</v>
      </c>
      <c r="Z7" s="17">
        <f>(W7*X7)-((W7*X7)*Y7)</f>
        <v/>
      </c>
    </row>
    <row r="8" ht="15" customHeight="1">
      <c r="B8" s="39" t="inlineStr">
        <is>
          <t>COCACOLA VR237 C24</t>
        </is>
      </c>
      <c r="C8" s="40">
        <f>48+48+96+96+96+144</f>
        <v/>
      </c>
      <c r="D8" s="41" t="n">
        <v>0.845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COCACOLA ZERO ZERO VR237 C24 (neto caja)</t>
        </is>
      </c>
      <c r="M8" s="40">
        <f>2+1</f>
        <v/>
      </c>
      <c r="N8" s="41" t="n">
        <v>20.28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COCACOLA ZERO ZERO VR237 C24 (neto caja)</t>
        </is>
      </c>
      <c r="W8" s="40">
        <f>1+2</f>
        <v/>
      </c>
      <c r="X8" s="41" t="n">
        <v>20.28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COCACOLA VR237 C24</t>
        </is>
      </c>
      <c r="C9" s="44" t="n">
        <v>21</v>
      </c>
      <c r="D9" s="19" t="n">
        <v>4.8</v>
      </c>
      <c r="E9" s="45" t="n">
        <v>0</v>
      </c>
      <c r="F9" s="17">
        <f>(C9*D9)-((C9*D9)*E9)</f>
        <v/>
      </c>
      <c r="H9" s="26" t="inlineStr">
        <is>
          <t>521604</t>
        </is>
      </c>
      <c r="I9" s="17" t="n">
        <v>200.66</v>
      </c>
      <c r="J9" s="27" t="n">
        <v>0.21</v>
      </c>
      <c r="L9" s="25" t="inlineStr">
        <is>
          <t>COCACOLA PET 2L C6 (neto caja)</t>
        </is>
      </c>
      <c r="M9" s="44" t="n">
        <v>1</v>
      </c>
      <c r="N9" s="19" t="n">
        <v>15.02</v>
      </c>
      <c r="O9" s="45" t="n">
        <v>0</v>
      </c>
      <c r="P9" s="17">
        <f>(M9*N9)-((M9*N9)*O9)</f>
        <v/>
      </c>
      <c r="R9" s="26" t="inlineStr">
        <is>
          <t>4536210096</t>
        </is>
      </c>
      <c r="S9" s="17" t="n">
        <v>238.09</v>
      </c>
      <c r="T9" s="27" t="n">
        <v>0.21</v>
      </c>
      <c r="V9" s="25" t="inlineStr">
        <is>
          <t>COCACOLA PET 2L C6 (neto caja)</t>
        </is>
      </c>
      <c r="W9" s="44" t="n">
        <v>2</v>
      </c>
      <c r="X9" s="19" t="n">
        <v>15.025</v>
      </c>
      <c r="Y9" s="45" t="n">
        <v>0</v>
      </c>
      <c r="Z9" s="17">
        <f>(W9*X9)-((W9*X9)*Y9)</f>
        <v/>
      </c>
      <c r="AB9" s="26" t="inlineStr">
        <is>
          <t>4536891120</t>
        </is>
      </c>
      <c r="AC9" s="17" t="n">
        <v>435.64</v>
      </c>
      <c r="AD9" s="27" t="n">
        <v>0.21</v>
      </c>
    </row>
    <row r="10" ht="15" customHeight="1">
      <c r="B10" s="39" t="inlineStr">
        <is>
          <t>COCACOLA ZER VR237 C24</t>
        </is>
      </c>
      <c r="C10" s="40">
        <f>144+120+168+216+144+360+288</f>
        <v/>
      </c>
      <c r="D10" s="41" t="n">
        <v>0.845</v>
      </c>
      <c r="E10" s="42" t="n">
        <v>0</v>
      </c>
      <c r="F10" s="43">
        <f>(C10*D10)-((C10*D10)*E10)</f>
        <v/>
      </c>
      <c r="H10" s="26" t="inlineStr">
        <is>
          <t>629349</t>
        </is>
      </c>
      <c r="I10" s="17" t="n">
        <v>141.96</v>
      </c>
      <c r="J10" s="27" t="n">
        <v>0.21</v>
      </c>
      <c r="L10" s="39" t="inlineStr">
        <is>
          <t>COCACOLA VR237 C24 (neto caja)</t>
        </is>
      </c>
      <c r="M10" s="40" t="n">
        <v>6</v>
      </c>
      <c r="N10" s="41" t="n">
        <v>20.2783</v>
      </c>
      <c r="O10" s="42" t="n">
        <v>0</v>
      </c>
      <c r="P10" s="43">
        <f>(M10*N10)-((M10*N10)*O10)</f>
        <v/>
      </c>
      <c r="R10" s="26" t="inlineStr">
        <is>
          <t>4536386996</t>
        </is>
      </c>
      <c r="S10" s="17" t="n">
        <v>223.07</v>
      </c>
      <c r="T10" s="27" t="n">
        <v>0.21</v>
      </c>
      <c r="V10" s="39" t="inlineStr">
        <is>
          <t>COCACOLA VNR20 P4 C6 (neto caja)</t>
        </is>
      </c>
      <c r="W10" s="40" t="n">
        <v>1</v>
      </c>
      <c r="X10" s="41" t="n">
        <v>27.03</v>
      </c>
      <c r="Y10" s="42" t="n">
        <v>0</v>
      </c>
      <c r="Z10" s="43">
        <f>(W10*X10)-((W10*X10)*Y10)</f>
        <v/>
      </c>
      <c r="AB10" s="26" t="inlineStr">
        <is>
          <t>4537342018</t>
        </is>
      </c>
      <c r="AC10" s="17" t="n">
        <v>189.26</v>
      </c>
      <c r="AD10" s="27" t="n">
        <v>0.21</v>
      </c>
    </row>
    <row r="11" ht="15" customHeight="1">
      <c r="B11" s="25" t="inlineStr">
        <is>
          <t>COCACOLA ZER ZER VR237 C24</t>
        </is>
      </c>
      <c r="C11" s="44">
        <f>48+24+72</f>
        <v/>
      </c>
      <c r="D11" s="19" t="n">
        <v>0.845</v>
      </c>
      <c r="E11" s="45" t="n">
        <v>0</v>
      </c>
      <c r="F11" s="17">
        <f>(C11*D11)-((C11*D11)*E11)</f>
        <v/>
      </c>
      <c r="H11" s="26" t="inlineStr">
        <is>
          <t>658014</t>
        </is>
      </c>
      <c r="I11" s="17" t="n">
        <v>34.96</v>
      </c>
      <c r="J11" s="27" t="n">
        <v>0.1</v>
      </c>
      <c r="L11" s="25" t="inlineStr">
        <is>
          <t>COCACOLA ZERO VR237 C24 (neto caja)</t>
        </is>
      </c>
      <c r="M11" s="44" t="n">
        <v>4</v>
      </c>
      <c r="N11" s="19" t="n">
        <v>20.28</v>
      </c>
      <c r="O11" s="45" t="n">
        <v>0</v>
      </c>
      <c r="P11" s="17">
        <f>(M11*N11)-((M11*N11)*O11)</f>
        <v/>
      </c>
      <c r="R11" s="26" t="inlineStr">
        <is>
          <t>4536386996</t>
        </is>
      </c>
      <c r="S11" s="17" t="n">
        <v>34.96</v>
      </c>
      <c r="T11" s="27" t="n">
        <v>0.1</v>
      </c>
      <c r="AB11" s="26" t="inlineStr">
        <is>
          <t>4537429705</t>
        </is>
      </c>
      <c r="AC11" s="17" t="n">
        <v>304.19</v>
      </c>
      <c r="AD11" s="27" t="n">
        <v>0.21</v>
      </c>
    </row>
    <row r="12">
      <c r="B12" s="39" t="inlineStr">
        <is>
          <t>MINUTE MAID TOM VNR20 C24</t>
        </is>
      </c>
      <c r="C12" s="40">
        <f>48+24</f>
        <v/>
      </c>
      <c r="D12" s="41" t="n">
        <v>0.728</v>
      </c>
      <c r="E12" s="42" t="n">
        <v>0</v>
      </c>
      <c r="F12" s="43">
        <f>(C12*D12)-((C12*D12)*E12)</f>
        <v/>
      </c>
      <c r="H12" s="26" t="inlineStr">
        <is>
          <t>658014</t>
        </is>
      </c>
      <c r="I12" s="17" t="n">
        <v>293.69</v>
      </c>
      <c r="J12" s="27" t="n">
        <v>0.21</v>
      </c>
      <c r="L12" s="39" t="inlineStr">
        <is>
          <t>MINUTE MAID TOMATE VNR20 C24 (neto caja)</t>
        </is>
      </c>
      <c r="M12" s="40" t="n">
        <v>2</v>
      </c>
      <c r="N12" s="41" t="n">
        <v>17.48</v>
      </c>
      <c r="O12" s="42" t="n">
        <v>0</v>
      </c>
      <c r="P12" s="43">
        <f>(M12*N12)-((M12*N12)*O12)</f>
        <v/>
      </c>
      <c r="R12" s="26" t="inlineStr">
        <is>
          <t>4536386995</t>
        </is>
      </c>
      <c r="S12" s="17" t="n">
        <v>-38.4</v>
      </c>
      <c r="T12" s="27" t="n">
        <v>0.21</v>
      </c>
    </row>
    <row r="13">
      <c r="H13" s="26" t="inlineStr">
        <is>
          <t>657975</t>
        </is>
      </c>
      <c r="I13" s="17" t="n">
        <v>48</v>
      </c>
      <c r="J13" s="27" t="n">
        <v>0.21</v>
      </c>
      <c r="L13" s="25" t="inlineStr">
        <is>
          <t>DEVOLUCION CAJA+BOTELLAS VR237</t>
        </is>
      </c>
      <c r="M13" s="44" t="n">
        <v>-8</v>
      </c>
      <c r="N13" s="19" t="n">
        <v>4.8</v>
      </c>
      <c r="O13" s="45" t="n">
        <v>0</v>
      </c>
      <c r="P13" s="17">
        <f>(M13*N13)-((M13*N13)*O13)</f>
        <v/>
      </c>
    </row>
    <row r="14">
      <c r="H14" s="26" t="inlineStr">
        <is>
          <t>874907</t>
        </is>
      </c>
      <c r="I14" s="17" t="n">
        <v>17.48</v>
      </c>
      <c r="J14" s="27" t="n">
        <v>0.1</v>
      </c>
    </row>
    <row r="15">
      <c r="H15" s="26" t="inlineStr">
        <is>
          <t>874907</t>
        </is>
      </c>
      <c r="I15" s="17" t="n">
        <v>287.64</v>
      </c>
      <c r="J15" s="27" t="n">
        <v>0.21</v>
      </c>
    </row>
    <row r="16">
      <c r="H16" s="26" t="inlineStr">
        <is>
          <t>970813</t>
        </is>
      </c>
      <c r="I16" s="17" t="n">
        <v>232.84</v>
      </c>
      <c r="J16" s="27" t="n">
        <v>0.21</v>
      </c>
    </row>
    <row r="17">
      <c r="H17" s="26" t="inlineStr">
        <is>
          <t>122492</t>
        </is>
      </c>
      <c r="I17" s="17" t="n">
        <v>484.55</v>
      </c>
      <c r="J17" s="27" t="n">
        <v>0.21</v>
      </c>
    </row>
    <row r="18">
      <c r="H18" s="26" t="inlineStr">
        <is>
          <t>366393</t>
        </is>
      </c>
      <c r="I18" s="17" t="n">
        <v>334.24</v>
      </c>
      <c r="J18" s="27" t="n">
        <v>0.1</v>
      </c>
    </row>
    <row r="19">
      <c r="H19" s="26" t="inlineStr">
        <is>
          <t>366398</t>
        </is>
      </c>
      <c r="I19" s="17" t="n">
        <v>48</v>
      </c>
      <c r="J19" s="27" t="n">
        <v>0.21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A6A6A6"/>
    <outlinePr summaryBelow="1" summaryRight="1"/>
    <pageSetUpPr/>
  </sheetPr>
  <dimension ref="B2:AD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DON BOCARTE MEDIO PULPO 360-400 gr</t>
        </is>
      </c>
      <c r="C6" s="40">
        <f>12.88+13.24</f>
        <v/>
      </c>
      <c r="D6" s="41" t="n">
        <v>27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DON BOCARTE MEDIO PULPO 360-400 gr</t>
        </is>
      </c>
      <c r="M6" s="40" t="n">
        <v>14.17</v>
      </c>
      <c r="N6" s="41" t="n">
        <v>27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DON BOCARTE MEDIO PULPO 360-400 gr</t>
        </is>
      </c>
      <c r="W6" s="40">
        <f>14.28+13.63+6.69+6.86+6.87</f>
        <v/>
      </c>
      <c r="X6" s="41" t="n">
        <v>27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/>
    <row r="8" ht="15" customHeight="1"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H9" s="26" t="inlineStr">
        <is>
          <t>4604</t>
        </is>
      </c>
      <c r="I9" s="17" t="n">
        <v>347.76</v>
      </c>
      <c r="J9" s="27" t="n">
        <v>0.1</v>
      </c>
      <c r="R9" s="26" t="inlineStr">
        <is>
          <t>5653</t>
        </is>
      </c>
      <c r="S9" s="17" t="n">
        <v>382.59</v>
      </c>
      <c r="T9" s="27" t="n">
        <v>0.1</v>
      </c>
      <c r="AB9" s="26" t="inlineStr">
        <is>
          <t>5869</t>
        </is>
      </c>
      <c r="AC9" s="17" t="n">
        <v>385.56</v>
      </c>
      <c r="AD9" s="27" t="n">
        <v>0.1</v>
      </c>
    </row>
    <row r="10" ht="15" customHeight="1">
      <c r="H10" s="26" t="inlineStr">
        <is>
          <t>5016</t>
        </is>
      </c>
      <c r="I10" s="17" t="n">
        <v>357.48</v>
      </c>
      <c r="J10" s="27" t="n">
        <v>0.1</v>
      </c>
      <c r="AB10" s="26" t="inlineStr">
        <is>
          <t>6193</t>
        </is>
      </c>
      <c r="AC10" s="17" t="n">
        <v>368.01</v>
      </c>
      <c r="AD10" s="27" t="n">
        <v>0.1</v>
      </c>
    </row>
    <row r="11" ht="15" customHeight="1">
      <c r="AB11" s="26" t="inlineStr">
        <is>
          <t>6369</t>
        </is>
      </c>
      <c r="AC11" s="17" t="n">
        <v>365.85</v>
      </c>
      <c r="AD11" s="27" t="n">
        <v>0.1</v>
      </c>
    </row>
    <row r="12">
      <c r="AB12" s="26" t="inlineStr">
        <is>
          <t>6562</t>
        </is>
      </c>
      <c r="AC12" s="17" t="n">
        <v>185.49</v>
      </c>
      <c r="AD12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A6A6A6"/>
    <outlinePr summaryBelow="1" summaryRight="1"/>
    <pageSetUpPr/>
  </sheetPr>
  <dimension ref="B2:AD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ANCHOAS CANTABRICO COSTERA</t>
        </is>
      </c>
      <c r="C6" s="40">
        <f>8+8+8+8+8+8</f>
        <v/>
      </c>
      <c r="D6" s="41" t="n">
        <v>16.9</v>
      </c>
      <c r="E6" s="42" t="n">
        <v>0.02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ANCHOAS CANTABRICO COSTERA</t>
        </is>
      </c>
      <c r="M6" s="40">
        <f>8+8</f>
        <v/>
      </c>
      <c r="N6" s="41" t="n">
        <v>16.9</v>
      </c>
      <c r="O6" s="42" t="n">
        <v>0.02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VENTRESCA DE BONITO EXTRA</t>
        </is>
      </c>
      <c r="W6" s="40">
        <f>24+24</f>
        <v/>
      </c>
      <c r="X6" s="41" t="n">
        <v>5.86</v>
      </c>
      <c r="Y6" s="42" t="n">
        <v>0.02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ANCHOAS DEL CANTABRICO GRAN RESERVA</t>
        </is>
      </c>
      <c r="C7" s="44">
        <f>16+16+16+16</f>
        <v/>
      </c>
      <c r="D7" s="19" t="n">
        <v>28.66</v>
      </c>
      <c r="E7" s="45" t="n">
        <v>0.02</v>
      </c>
      <c r="F7" s="17">
        <f>(C7*D7)-((C7*D7)*E7)</f>
        <v/>
      </c>
      <c r="L7" s="25" t="inlineStr">
        <is>
          <t>VENTRESCA DE BONITO EXTRA</t>
        </is>
      </c>
      <c r="M7" s="44" t="n">
        <v>24</v>
      </c>
      <c r="N7" s="19" t="n">
        <v>5.86</v>
      </c>
      <c r="O7" s="45" t="n">
        <v>0.02</v>
      </c>
      <c r="P7" s="17">
        <f>(M7*N7)-((M7*N7)*O7)</f>
        <v/>
      </c>
      <c r="V7" s="25" t="inlineStr">
        <is>
          <t>ANCHOAS DEL CANTABRICO GRAN RESERVA</t>
        </is>
      </c>
      <c r="W7" s="44">
        <f>16+8+8+6</f>
        <v/>
      </c>
      <c r="X7" s="19" t="n">
        <v>28.66</v>
      </c>
      <c r="Y7" s="45" t="n">
        <v>0.02</v>
      </c>
      <c r="Z7" s="17">
        <f>(W7*X7)-((W7*X7)*Y7)</f>
        <v/>
      </c>
    </row>
    <row r="8" ht="15" customHeight="1">
      <c r="B8" s="39" t="inlineStr">
        <is>
          <t>VENTRESCA DE BONITO EXTRA</t>
        </is>
      </c>
      <c r="C8" s="40">
        <f>24+24</f>
        <v/>
      </c>
      <c r="D8" s="41" t="n">
        <v>5.86</v>
      </c>
      <c r="E8" s="42" t="n">
        <v>0.02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ANCHOAS DEL CANTABRICO GRAN RESERVA</t>
        </is>
      </c>
      <c r="M8" s="40" t="n">
        <v>16</v>
      </c>
      <c r="N8" s="41" t="n">
        <v>28.66</v>
      </c>
      <c r="O8" s="42" t="n">
        <v>0.02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ANCHOAS CANTABRICO COSTERA</t>
        </is>
      </c>
      <c r="W8" s="40">
        <f>16+8+8</f>
        <v/>
      </c>
      <c r="X8" s="41" t="n">
        <v>16.9</v>
      </c>
      <c r="Y8" s="42" t="n">
        <v>0.02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MEJILLONES ESCABECHE RIAS GALLEGAS RR-125</t>
        </is>
      </c>
      <c r="C9" s="44" t="n">
        <v>25</v>
      </c>
      <c r="D9" s="19" t="n">
        <v>5.86</v>
      </c>
      <c r="E9" s="45" t="n">
        <v>0.02</v>
      </c>
      <c r="F9" s="17">
        <f>(C9*D9)-((C9*D9)*E9)</f>
        <v/>
      </c>
      <c r="H9" s="26" t="inlineStr">
        <is>
          <t>26A00878</t>
        </is>
      </c>
      <c r="I9" s="17" t="n">
        <v>719.71</v>
      </c>
      <c r="J9" s="27" t="n">
        <v>0.1</v>
      </c>
      <c r="L9" s="25" t="inlineStr">
        <is>
          <t>MEJILLONES ESCABECHE RIAS GALLEGAS OL-120 6/8</t>
        </is>
      </c>
      <c r="M9" s="44" t="n">
        <v>24</v>
      </c>
      <c r="N9" s="19" t="n">
        <v>5.96</v>
      </c>
      <c r="O9" s="45" t="n">
        <v>0.02</v>
      </c>
      <c r="P9" s="17">
        <f>(M9*N9)-((M9*N9)*O9)</f>
        <v/>
      </c>
      <c r="R9" s="26" t="inlineStr">
        <is>
          <t>26A01042</t>
        </is>
      </c>
      <c r="S9" s="17" t="n">
        <v>859.89</v>
      </c>
      <c r="T9" s="27" t="n">
        <v>0.1</v>
      </c>
      <c r="V9" s="25" t="inlineStr">
        <is>
          <t>MEJILLONES ESCABECHE RIAS GALLEGAS RR-125</t>
        </is>
      </c>
      <c r="W9" s="44" t="n">
        <v>25</v>
      </c>
      <c r="X9" s="19" t="n">
        <v>6.1</v>
      </c>
      <c r="Y9" s="45" t="n">
        <v>0.02</v>
      </c>
      <c r="Z9" s="17">
        <f>(W9*X9)-((W9*X9)*Y9)</f>
        <v/>
      </c>
      <c r="AB9" s="26" t="inlineStr">
        <is>
          <t>26A01087</t>
        </is>
      </c>
      <c r="AC9" s="17" t="n">
        <v>587.22</v>
      </c>
      <c r="AD9" s="27" t="n">
        <v>0.1</v>
      </c>
    </row>
    <row r="10" ht="15" customHeight="1">
      <c r="B10" s="39" t="inlineStr">
        <is>
          <t>BERBERECHOS RIAS GALLEGAS RO-120 30/40</t>
        </is>
      </c>
      <c r="C10" s="40" t="n">
        <v>24</v>
      </c>
      <c r="D10" s="41" t="n">
        <v>11.4</v>
      </c>
      <c r="E10" s="42" t="n">
        <v>0.02</v>
      </c>
      <c r="F10" s="43">
        <f>(C10*D10)-((C10*D10)*E10)</f>
        <v/>
      </c>
      <c r="H10" s="26" t="inlineStr">
        <is>
          <t>26A00831</t>
        </is>
      </c>
      <c r="I10" s="17" t="n">
        <v>993.58</v>
      </c>
      <c r="J10" s="27" t="n">
        <v>0.1</v>
      </c>
      <c r="L10" s="39" t="inlineStr">
        <is>
          <t>MOJAMA EXTRA SUPERIOR LA CHANCA</t>
        </is>
      </c>
      <c r="M10" s="40" t="n">
        <v>1.94</v>
      </c>
      <c r="N10" s="41" t="n">
        <v>36.4</v>
      </c>
      <c r="O10" s="42" t="n">
        <v>0.02</v>
      </c>
      <c r="P10" s="43">
        <f>(M10*N10)-((M10*N10)*O10)</f>
        <v/>
      </c>
      <c r="R10" s="26" t="inlineStr">
        <is>
          <t>26A01059</t>
        </is>
      </c>
      <c r="S10" s="17" t="n">
        <v>201.7</v>
      </c>
      <c r="T10" s="27" t="n">
        <v>0.1</v>
      </c>
      <c r="V10" s="39" t="inlineStr">
        <is>
          <t>MUESTRA: MEJILLONES ESCABECHE PICANTES RIAS GALLEGAS RO-120 8/12 MARISCADORA SELECTA</t>
        </is>
      </c>
      <c r="W10" s="40" t="n">
        <v>1</v>
      </c>
      <c r="X10" s="41" t="n">
        <v>4.4</v>
      </c>
      <c r="Y10" s="42" t="n">
        <v>1</v>
      </c>
      <c r="Z10" s="43">
        <f>(W10*X10)-((W10*X10)*Y10)</f>
        <v/>
      </c>
      <c r="AB10" s="26" t="inlineStr">
        <is>
          <t>26A01109</t>
        </is>
      </c>
      <c r="AC10" s="17" t="n">
        <v>264.99</v>
      </c>
      <c r="AD10" s="27" t="n">
        <v>0.1</v>
      </c>
    </row>
    <row r="11" ht="15" customHeight="1">
      <c r="B11" s="25" t="inlineStr">
        <is>
          <t>ANCHOAS CANTABRICO RO-550 ETIQUETA ROJA</t>
        </is>
      </c>
      <c r="C11" s="44" t="n">
        <v>18</v>
      </c>
      <c r="D11" s="19" t="n">
        <v>20.6</v>
      </c>
      <c r="E11" s="45" t="n">
        <v>0.02</v>
      </c>
      <c r="F11" s="17">
        <f>(C11*D11)-((C11*D11)*E11)</f>
        <v/>
      </c>
      <c r="H11" s="26" t="inlineStr">
        <is>
          <t>26A00946</t>
        </is>
      </c>
      <c r="I11" s="17" t="n">
        <v>270.32</v>
      </c>
      <c r="J11" s="27" t="n">
        <v>0.1</v>
      </c>
      <c r="V11" s="25" t="inlineStr">
        <is>
          <t>MEJILLONES EN ESCABECHE PICANTES OL-120 20/25 RAMON FRANCO</t>
        </is>
      </c>
      <c r="W11" s="44" t="n">
        <v>50</v>
      </c>
      <c r="X11" s="19" t="n">
        <v>2.16</v>
      </c>
      <c r="Y11" s="45" t="n">
        <v>0.02</v>
      </c>
      <c r="Z11" s="17">
        <f>(W11*X11)-((W11*X11)*Y11)</f>
        <v/>
      </c>
      <c r="AB11" s="26" t="inlineStr">
        <is>
          <t>26A01144</t>
        </is>
      </c>
      <c r="AC11" s="17" t="n">
        <v>374.14</v>
      </c>
      <c r="AD11" s="27" t="n">
        <v>0.1</v>
      </c>
    </row>
    <row r="12">
      <c r="B12" s="39" t="inlineStr">
        <is>
          <t>MOJAMA EXTRA SUPERIOR LA CHANCA</t>
        </is>
      </c>
      <c r="C12" s="40" t="n">
        <v>2.71</v>
      </c>
      <c r="D12" s="41" t="n">
        <v>36.4</v>
      </c>
      <c r="E12" s="42" t="n">
        <v>0.02</v>
      </c>
      <c r="F12" s="43">
        <f>(C12*D12)-((C12*D12)*E12)</f>
        <v/>
      </c>
      <c r="H12" s="26" t="inlineStr">
        <is>
          <t>26A00922</t>
        </is>
      </c>
      <c r="I12" s="17" t="n">
        <v>132.5</v>
      </c>
      <c r="J12" s="27" t="n">
        <v>0.1</v>
      </c>
      <c r="V12" s="39" t="inlineStr">
        <is>
          <t>MEJILLONES ESCABECHE RIAS GALLEGAS OL-120 6/8</t>
        </is>
      </c>
      <c r="W12" s="40" t="n">
        <v>12</v>
      </c>
      <c r="X12" s="41" t="n">
        <v>5.96</v>
      </c>
      <c r="Y12" s="42" t="n">
        <v>0.02</v>
      </c>
      <c r="Z12" s="43">
        <f>(W12*X12)-((W12*X12)*Y12)</f>
        <v/>
      </c>
      <c r="AB12" s="26" t="inlineStr">
        <is>
          <t>26A01162</t>
        </is>
      </c>
      <c r="AC12" s="17" t="n">
        <v>670.95</v>
      </c>
      <c r="AD12" s="27" t="n">
        <v>0.1</v>
      </c>
    </row>
    <row r="13">
      <c r="H13" s="26" t="inlineStr">
        <is>
          <t>26A00916</t>
        </is>
      </c>
      <c r="I13" s="17" t="n">
        <v>812.77</v>
      </c>
      <c r="J13" s="27" t="n">
        <v>0.1</v>
      </c>
      <c r="AB13" s="26" t="inlineStr">
        <is>
          <t>26A01199</t>
        </is>
      </c>
      <c r="AC13" s="17" t="n">
        <v>301.02</v>
      </c>
      <c r="AD13" s="27" t="n">
        <v>0.1</v>
      </c>
    </row>
    <row r="14">
      <c r="H14" s="26" t="inlineStr">
        <is>
          <t>26A00903</t>
        </is>
      </c>
      <c r="I14" s="17" t="n">
        <v>229.16</v>
      </c>
      <c r="J14" s="27" t="n">
        <v>0.1</v>
      </c>
    </row>
    <row r="15">
      <c r="H15" s="26" t="inlineStr">
        <is>
          <t>26A00978</t>
        </is>
      </c>
      <c r="I15" s="17" t="n">
        <v>581.88</v>
      </c>
      <c r="J15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A6A6A6"/>
    <outlinePr summaryBelow="1" summaryRight="1"/>
    <pageSetUpPr/>
  </sheetPr>
  <dimension ref="B2:AD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MEDIA CAJA DE HUERVO</t>
        </is>
      </c>
      <c r="C6" s="40">
        <f>2+1</f>
        <v/>
      </c>
      <c r="D6" s="41" t="n">
        <v>45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MEDIA CAJA DE HUERVO</t>
        </is>
      </c>
      <c r="M6" s="40">
        <f>1+1+1+1</f>
        <v/>
      </c>
      <c r="N6" s="41" t="n">
        <v>45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PANCETA ADOBADA</t>
        </is>
      </c>
      <c r="W6" s="40">
        <f>3.9+6.9+9.3+8+7.3+8+3.5+3.9+5.8+7.2+7.3</f>
        <v/>
      </c>
      <c r="X6" s="41" t="n">
        <v>8.800000000000001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PANCETA ADOBADA</t>
        </is>
      </c>
      <c r="C7" s="44">
        <f>4.5+8.5+4.3+8.8+3.8+9.8+7.8</f>
        <v/>
      </c>
      <c r="D7" s="19" t="n">
        <v>8.800000000000001</v>
      </c>
      <c r="E7" s="45" t="n">
        <v>0</v>
      </c>
      <c r="F7" s="17">
        <f>(C7*D7)-((C7*D7)*E7)</f>
        <v/>
      </c>
      <c r="L7" s="25" t="inlineStr">
        <is>
          <t>PANCETA ADOBADA</t>
        </is>
      </c>
      <c r="M7" s="44">
        <f>3.9+4.1+3.1+3.9+6.8+6.9+7.4</f>
        <v/>
      </c>
      <c r="N7" s="19" t="n">
        <v>8.800000000000001</v>
      </c>
      <c r="O7" s="45" t="n">
        <v>0</v>
      </c>
      <c r="P7" s="17">
        <f>(M7*N7)-((M7*N7)*O7)</f>
        <v/>
      </c>
      <c r="V7" s="25" t="inlineStr">
        <is>
          <t>PICADA MIXTA</t>
        </is>
      </c>
      <c r="W7" s="44" t="n">
        <v>5</v>
      </c>
      <c r="X7" s="19" t="n">
        <v>7.5</v>
      </c>
      <c r="Y7" s="45" t="n">
        <v>0</v>
      </c>
      <c r="Z7" s="17">
        <f>(W7*X7)-((W7*X7)*Y7)</f>
        <v/>
      </c>
    </row>
    <row r="8" ht="15" customHeight="1">
      <c r="B8" s="39" t="inlineStr">
        <is>
          <t>CAJA HUEVOS DE CORRAL</t>
        </is>
      </c>
      <c r="C8" s="40">
        <f>1+1+1</f>
        <v/>
      </c>
      <c r="D8" s="41" t="n">
        <v>52.5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HUESO FRESCO</t>
        </is>
      </c>
      <c r="M8" s="40" t="n">
        <v>6</v>
      </c>
      <c r="N8" s="41" t="n">
        <v>2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CAJA HUEVOS DE CORRAL</t>
        </is>
      </c>
      <c r="W8" s="40">
        <f>1+1+1+1</f>
        <v/>
      </c>
      <c r="X8" s="41" t="n">
        <v>52.5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POLLO TROCEADO</t>
        </is>
      </c>
      <c r="C9" s="44">
        <f>5.5+5.5+6.5</f>
        <v/>
      </c>
      <c r="D9" s="19" t="n">
        <v>3.5</v>
      </c>
      <c r="E9" s="45" t="n">
        <v>0</v>
      </c>
      <c r="F9" s="17">
        <f>(C9*D9)-((C9*D9)*E9)</f>
        <v/>
      </c>
      <c r="H9" s="26" t="inlineStr">
        <is>
          <t>A2607-0444</t>
        </is>
      </c>
      <c r="I9" s="17" t="n">
        <v>84.59999999999999</v>
      </c>
      <c r="J9" s="27" t="n">
        <v>0.1</v>
      </c>
      <c r="L9" s="25" t="inlineStr">
        <is>
          <t>HUESO DE TUETANO</t>
        </is>
      </c>
      <c r="M9" s="44" t="n">
        <v>6</v>
      </c>
      <c r="N9" s="19" t="n">
        <v>3</v>
      </c>
      <c r="O9" s="45" t="n">
        <v>0</v>
      </c>
      <c r="P9" s="17">
        <f>(M9*N9)-((M9*N9)*O9)</f>
        <v/>
      </c>
      <c r="R9" s="26" t="inlineStr">
        <is>
          <t>A2608-0010</t>
        </is>
      </c>
      <c r="S9" s="17" t="n">
        <v>45</v>
      </c>
      <c r="T9" s="27" t="n">
        <v>0.1</v>
      </c>
      <c r="V9" s="25" t="inlineStr">
        <is>
          <t>OREJA DE CERDO</t>
        </is>
      </c>
      <c r="W9" s="44" t="n">
        <v>5.1</v>
      </c>
      <c r="X9" s="19" t="n">
        <v>6</v>
      </c>
      <c r="Y9" s="45" t="n">
        <v>0</v>
      </c>
      <c r="Z9" s="17">
        <f>(W9*X9)-((W9*X9)*Y9)</f>
        <v/>
      </c>
      <c r="AB9" s="26" t="inlineStr">
        <is>
          <t>A2609-0052</t>
        </is>
      </c>
      <c r="AC9" s="17" t="n">
        <v>71.81999999999999</v>
      </c>
      <c r="AD9" s="27" t="n">
        <v>0.1</v>
      </c>
    </row>
    <row r="10" ht="15" customHeight="1">
      <c r="B10" s="39" t="inlineStr">
        <is>
          <t>PALETILLA IBERICA</t>
        </is>
      </c>
      <c r="C10" s="40" t="n">
        <v>3.8</v>
      </c>
      <c r="D10" s="41" t="n">
        <v>36</v>
      </c>
      <c r="E10" s="42" t="n">
        <v>0</v>
      </c>
      <c r="F10" s="43">
        <f>(C10*D10)-((C10*D10)*E10)</f>
        <v/>
      </c>
      <c r="H10" s="26" t="inlineStr">
        <is>
          <t>A2607-0048</t>
        </is>
      </c>
      <c r="I10" s="17" t="n">
        <v>172.3</v>
      </c>
      <c r="J10" s="27" t="n">
        <v>0.1</v>
      </c>
      <c r="L10" s="39" t="inlineStr">
        <is>
          <t>MORCILLA ASTURIANA</t>
        </is>
      </c>
      <c r="M10" s="40" t="n">
        <v>8.6</v>
      </c>
      <c r="N10" s="41" t="n">
        <v>9</v>
      </c>
      <c r="O10" s="42" t="n">
        <v>0</v>
      </c>
      <c r="P10" s="43">
        <f>(M10*N10)-((M10*N10)*O10)</f>
        <v/>
      </c>
      <c r="R10" s="26" t="inlineStr">
        <is>
          <t>A2608-0213</t>
        </is>
      </c>
      <c r="S10" s="17" t="n">
        <v>285.02</v>
      </c>
      <c r="T10" s="27" t="n">
        <v>0.1</v>
      </c>
      <c r="V10" s="39" t="inlineStr">
        <is>
          <t>MEDIA CAJA DE HUEVO</t>
        </is>
      </c>
      <c r="W10" s="40">
        <f>1+1</f>
        <v/>
      </c>
      <c r="X10" s="41" t="n">
        <v>45</v>
      </c>
      <c r="Y10" s="42" t="n">
        <v>0</v>
      </c>
      <c r="Z10" s="43">
        <f>(W10*X10)-((W10*X10)*Y10)</f>
        <v/>
      </c>
      <c r="AB10" s="26" t="inlineStr">
        <is>
          <t>A2609-0097</t>
        </is>
      </c>
      <c r="AC10" s="17" t="n">
        <v>113.22</v>
      </c>
      <c r="AD10" s="27" t="n">
        <v>0.1</v>
      </c>
    </row>
    <row r="11" ht="15" customHeight="1">
      <c r="B11" s="25" t="inlineStr">
        <is>
          <t>OREJA DE CERDO</t>
        </is>
      </c>
      <c r="C11" s="44">
        <f>4.4+5.1</f>
        <v/>
      </c>
      <c r="D11" s="19" t="n">
        <v>6</v>
      </c>
      <c r="E11" s="45" t="n">
        <v>0</v>
      </c>
      <c r="F11" s="17">
        <f>(C11*D11)-((C11*D11)*E11)</f>
        <v/>
      </c>
      <c r="H11" s="26" t="inlineStr">
        <is>
          <t>A2607-0010</t>
        </is>
      </c>
      <c r="I11" s="17" t="n">
        <v>57.09</v>
      </c>
      <c r="J11" s="27" t="n">
        <v>0.1</v>
      </c>
      <c r="L11" s="25" t="inlineStr">
        <is>
          <t>MORRO DE TERNERA</t>
        </is>
      </c>
      <c r="M11" s="44" t="n">
        <v>4</v>
      </c>
      <c r="N11" s="19" t="n">
        <v>8.5</v>
      </c>
      <c r="O11" s="45" t="n">
        <v>0</v>
      </c>
      <c r="P11" s="17">
        <f>(M11*N11)-((M11*N11)*O11)</f>
        <v/>
      </c>
      <c r="R11" s="26" t="inlineStr">
        <is>
          <t>A2608-0233</t>
        </is>
      </c>
      <c r="S11" s="17" t="n">
        <v>111.68</v>
      </c>
      <c r="T11" s="27" t="n">
        <v>0.1</v>
      </c>
      <c r="AB11" s="26" t="inlineStr">
        <is>
          <t>A2609-0112</t>
        </is>
      </c>
      <c r="AC11" s="17" t="n">
        <v>30.6</v>
      </c>
      <c r="AD11" s="27" t="n">
        <v>0.1</v>
      </c>
    </row>
    <row r="12">
      <c r="B12" s="39" t="inlineStr">
        <is>
          <t>POLLO ENTERO</t>
        </is>
      </c>
      <c r="C12" s="40" t="n">
        <v>5.9</v>
      </c>
      <c r="D12" s="41" t="n">
        <v>3.5</v>
      </c>
      <c r="E12" s="42" t="n">
        <v>0</v>
      </c>
      <c r="F12" s="43">
        <f>(C12*D12)-((C12*D12)*E12)</f>
        <v/>
      </c>
      <c r="H12" s="26" t="inlineStr">
        <is>
          <t>A2607-0507</t>
        </is>
      </c>
      <c r="I12" s="17" t="n">
        <v>208.55</v>
      </c>
      <c r="J12" s="27" t="n">
        <v>0.1</v>
      </c>
      <c r="L12" s="39" t="inlineStr">
        <is>
          <t>FALDA DE TERNERA</t>
        </is>
      </c>
      <c r="M12" s="40" t="n">
        <v>6.4</v>
      </c>
      <c r="N12" s="41" t="n">
        <v>11.5</v>
      </c>
      <c r="O12" s="42" t="n">
        <v>0</v>
      </c>
      <c r="P12" s="43">
        <f>(M12*N12)-((M12*N12)*O12)</f>
        <v/>
      </c>
      <c r="R12" s="26" t="inlineStr">
        <is>
          <t>A2608-0257</t>
        </is>
      </c>
      <c r="S12" s="17" t="n">
        <v>27.28</v>
      </c>
      <c r="T12" s="27" t="n">
        <v>0.1</v>
      </c>
      <c r="AB12" s="26" t="inlineStr">
        <is>
          <t>A2609-0146</t>
        </is>
      </c>
      <c r="AC12" s="17" t="n">
        <v>81.84</v>
      </c>
      <c r="AD12" s="27" t="n">
        <v>0.1</v>
      </c>
    </row>
    <row r="13">
      <c r="B13" s="25" t="inlineStr">
        <is>
          <t>GALLINAS</t>
        </is>
      </c>
      <c r="C13" s="44" t="n">
        <v>4.9</v>
      </c>
      <c r="D13" s="19" t="n">
        <v>3.75</v>
      </c>
      <c r="E13" s="45" t="n">
        <v>0</v>
      </c>
      <c r="F13" s="17">
        <f>(C13*D13)-((C13*D13)*E13)</f>
        <v/>
      </c>
      <c r="H13" s="26" t="inlineStr">
        <is>
          <t>A2607-0519</t>
        </is>
      </c>
      <c r="I13" s="17" t="n">
        <v>77.44</v>
      </c>
      <c r="J13" s="27" t="n">
        <v>0.1</v>
      </c>
      <c r="L13" s="25" t="inlineStr">
        <is>
          <t>PATAS DE TERNERA</t>
        </is>
      </c>
      <c r="M13" s="44" t="n">
        <v>4.2</v>
      </c>
      <c r="N13" s="19" t="n">
        <v>8.5</v>
      </c>
      <c r="O13" s="45" t="n">
        <v>0</v>
      </c>
      <c r="P13" s="17">
        <f>(M13*N13)-((M13*N13)*O13)</f>
        <v/>
      </c>
      <c r="R13" s="26" t="inlineStr">
        <is>
          <t>A2608-0274</t>
        </is>
      </c>
      <c r="S13" s="17" t="n">
        <v>67.31999999999999</v>
      </c>
      <c r="T13" s="27" t="n">
        <v>0.1</v>
      </c>
      <c r="AB13" s="26" t="inlineStr">
        <is>
          <t>A2609-0177</t>
        </is>
      </c>
      <c r="AC13" s="17" t="n">
        <v>115.4</v>
      </c>
      <c r="AD13" s="27" t="n">
        <v>0.1</v>
      </c>
    </row>
    <row r="14">
      <c r="B14" s="39" t="inlineStr">
        <is>
          <t>MORCILLO DE TERNERA</t>
        </is>
      </c>
      <c r="C14" s="40" t="n">
        <v>3</v>
      </c>
      <c r="D14" s="41" t="n">
        <v>12.5</v>
      </c>
      <c r="E14" s="42" t="n">
        <v>0</v>
      </c>
      <c r="F14" s="43">
        <f>(C14*D14)-((C14*D14)*E14)</f>
        <v/>
      </c>
      <c r="H14" s="26" t="inlineStr">
        <is>
          <t>A2607-0476</t>
        </is>
      </c>
      <c r="I14" s="17" t="n">
        <v>71.40000000000001</v>
      </c>
      <c r="J14" s="27" t="n">
        <v>0.1</v>
      </c>
      <c r="L14" s="39" t="inlineStr">
        <is>
          <t>OREJA DE CERDO</t>
        </is>
      </c>
      <c r="M14" s="40">
        <f>5.1+5.5+4.3</f>
        <v/>
      </c>
      <c r="N14" s="41" t="n">
        <v>6</v>
      </c>
      <c r="O14" s="42" t="n">
        <v>0</v>
      </c>
      <c r="P14" s="43">
        <f>(M14*N14)-((M14*N14)*O14)</f>
        <v/>
      </c>
      <c r="R14" s="26" t="inlineStr">
        <is>
          <t>A2608-0327</t>
        </is>
      </c>
      <c r="S14" s="17" t="n">
        <v>45</v>
      </c>
      <c r="T14" s="27" t="n">
        <v>0.1</v>
      </c>
      <c r="AB14" s="26" t="inlineStr">
        <is>
          <t>A2609-0245</t>
        </is>
      </c>
      <c r="AC14" s="17" t="n">
        <v>52.5</v>
      </c>
      <c r="AD14" s="27" t="n">
        <v>0.1</v>
      </c>
    </row>
    <row r="15">
      <c r="B15" s="25" t="inlineStr">
        <is>
          <t>PATAS DE TERNERA</t>
        </is>
      </c>
      <c r="C15" s="44" t="n">
        <v>2</v>
      </c>
      <c r="D15" s="19" t="n">
        <v>8.5</v>
      </c>
      <c r="E15" s="45" t="n">
        <v>0</v>
      </c>
      <c r="F15" s="17">
        <f>(C15*D15)-((C15*D15)*E15)</f>
        <v/>
      </c>
      <c r="H15" s="26" t="inlineStr">
        <is>
          <t>A2607-0335</t>
        </is>
      </c>
      <c r="I15" s="17" t="n">
        <v>64.04000000000001</v>
      </c>
      <c r="J15" s="27" t="n">
        <v>0.1</v>
      </c>
      <c r="L15" s="25" t="inlineStr">
        <is>
          <t>CAJA HUEVOS DE CORRAL</t>
        </is>
      </c>
      <c r="M15" s="44" t="n">
        <v>1</v>
      </c>
      <c r="N15" s="19" t="n">
        <v>52.5</v>
      </c>
      <c r="O15" s="45" t="n">
        <v>0</v>
      </c>
      <c r="P15" s="17">
        <f>(M15*N15)-((M15*N15)*O15)</f>
        <v/>
      </c>
      <c r="R15" s="26" t="inlineStr">
        <is>
          <t>A2608-0351</t>
        </is>
      </c>
      <c r="S15" s="17" t="n">
        <v>104.84</v>
      </c>
      <c r="T15" s="27" t="n">
        <v>0.1</v>
      </c>
      <c r="AB15" s="26" t="inlineStr">
        <is>
          <t>A2609-0271</t>
        </is>
      </c>
      <c r="AC15" s="17" t="n">
        <v>64.23999999999999</v>
      </c>
      <c r="AD15" s="27" t="n">
        <v>0.1</v>
      </c>
    </row>
    <row r="16">
      <c r="B16" s="39" t="inlineStr">
        <is>
          <t>MANOS DE CERDO</t>
        </is>
      </c>
      <c r="C16" s="40" t="n">
        <v>2.1</v>
      </c>
      <c r="D16" s="41" t="n">
        <v>4.5</v>
      </c>
      <c r="E16" s="42" t="n">
        <v>0</v>
      </c>
      <c r="F16" s="43">
        <f>(C16*D16)-((C16*D16)*E16)</f>
        <v/>
      </c>
      <c r="H16" s="26" t="inlineStr">
        <is>
          <t>A2607-0309</t>
        </is>
      </c>
      <c r="I16" s="17" t="n">
        <v>161.49</v>
      </c>
      <c r="J16" s="27" t="n">
        <v>0.1</v>
      </c>
      <c r="R16" s="26" t="inlineStr">
        <is>
          <t>A2608-0356</t>
        </is>
      </c>
      <c r="S16" s="17" t="n">
        <v>60.72</v>
      </c>
      <c r="T16" s="27" t="n">
        <v>0.1</v>
      </c>
      <c r="AB16" s="26" t="inlineStr">
        <is>
          <t>A2609-0298</t>
        </is>
      </c>
      <c r="AC16" s="17" t="n">
        <v>70.40000000000001</v>
      </c>
      <c r="AD16" s="27" t="n">
        <v>0.1</v>
      </c>
    </row>
    <row r="17">
      <c r="B17" s="25" t="inlineStr">
        <is>
          <t>MORRO DE TERNERA</t>
        </is>
      </c>
      <c r="C17" s="44" t="n">
        <v>1</v>
      </c>
      <c r="D17" s="19" t="n">
        <v>8.5</v>
      </c>
      <c r="E17" s="45" t="n">
        <v>0</v>
      </c>
      <c r="F17" s="17">
        <f>(C17*D17)-((C17*D17)*E17)</f>
        <v/>
      </c>
      <c r="H17" s="26" t="inlineStr">
        <is>
          <t>A2607-0239</t>
        </is>
      </c>
      <c r="I17" s="17" t="n">
        <v>189.12</v>
      </c>
      <c r="J17" s="27" t="n">
        <v>0.1</v>
      </c>
      <c r="R17" s="26" t="inlineStr">
        <is>
          <t>A2608-0379</t>
        </is>
      </c>
      <c r="S17" s="17" t="n">
        <v>143.42</v>
      </c>
      <c r="T17" s="27" t="n">
        <v>0.1</v>
      </c>
      <c r="AB17" s="26" t="inlineStr">
        <is>
          <t>A2609-0338</t>
        </is>
      </c>
      <c r="AC17" s="17" t="n">
        <v>83.3</v>
      </c>
      <c r="AD17" s="27" t="n">
        <v>0.1</v>
      </c>
    </row>
    <row r="18">
      <c r="B18" s="39" t="inlineStr">
        <is>
          <t>CHORIZO ASTURIANO</t>
        </is>
      </c>
      <c r="C18" s="40" t="n">
        <v>1</v>
      </c>
      <c r="D18" s="41" t="n">
        <v>9</v>
      </c>
      <c r="E18" s="42" t="n">
        <v>0</v>
      </c>
      <c r="F18" s="43">
        <f>(C18*D18)-((C18*D18)*E18)</f>
        <v/>
      </c>
      <c r="AB18" s="26" t="inlineStr">
        <is>
          <t>A2609-0384</t>
        </is>
      </c>
      <c r="AC18" s="17" t="n">
        <v>79.31999999999999</v>
      </c>
      <c r="AD18" s="27" t="n">
        <v>0.1</v>
      </c>
    </row>
    <row r="19">
      <c r="AB19" s="26" t="inlineStr">
        <is>
          <t>A2609-0440</t>
        </is>
      </c>
      <c r="AC19" s="17" t="n">
        <v>103.54</v>
      </c>
      <c r="AD19" s="27" t="n">
        <v>0.1</v>
      </c>
    </row>
    <row r="20">
      <c r="AB20" s="26" t="inlineStr">
        <is>
          <t>A2609-0484</t>
        </is>
      </c>
      <c r="AC20" s="17" t="n">
        <v>63.36</v>
      </c>
      <c r="AD20" s="27" t="n">
        <v>0.1</v>
      </c>
    </row>
    <row r="21">
      <c r="AB21" s="26" t="inlineStr">
        <is>
          <t>A2609-0505</t>
        </is>
      </c>
      <c r="AC21" s="17" t="n">
        <v>64.23999999999999</v>
      </c>
      <c r="AD21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A6A6A6"/>
    <outlinePr summaryBelow="1" summaryRight="1"/>
    <pageSetUpPr/>
  </sheetPr>
  <dimension ref="B2:AD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GAMBA FR M</t>
        </is>
      </c>
      <c r="C6" s="40">
        <f>18+3+3+3+6+3+6+3+4+3</f>
        <v/>
      </c>
      <c r="D6" s="41" t="n">
        <v>26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COLA GAMBON (abono)</t>
        </is>
      </c>
      <c r="M6" s="40" t="n">
        <v>-5</v>
      </c>
      <c r="N6" s="41" t="n">
        <v>22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GAMBA FR M</t>
        </is>
      </c>
      <c r="W6" s="40">
        <f>3+6+3+3+6+3+3+6+3+3</f>
        <v/>
      </c>
      <c r="X6" s="41" t="n">
        <v>26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VENTRESCA</t>
        </is>
      </c>
      <c r="C7" s="44" t="n">
        <v>4.84</v>
      </c>
      <c r="D7" s="19" t="n">
        <v>59.6</v>
      </c>
      <c r="E7" s="45" t="n">
        <v>0</v>
      </c>
      <c r="F7" s="17">
        <f>(C7*D7)-((C7*D7)*E7)</f>
        <v/>
      </c>
      <c r="L7" s="25" t="inlineStr">
        <is>
          <t>VENTRESCA (abono)</t>
        </is>
      </c>
      <c r="M7" s="44" t="n">
        <v>-2</v>
      </c>
      <c r="N7" s="19" t="n">
        <v>59.8</v>
      </c>
      <c r="O7" s="45" t="n">
        <v>0</v>
      </c>
      <c r="P7" s="17">
        <f>(M7*N7)-((M7*N7)*O7)</f>
        <v/>
      </c>
      <c r="V7" s="25" t="inlineStr">
        <is>
          <t>PRODUCTO NO VISIBLE (alb. 03/09, importe 93,60)</t>
        </is>
      </c>
      <c r="W7" s="44" t="n">
        <v>1</v>
      </c>
      <c r="X7" s="19" t="n">
        <v>93.59999999999999</v>
      </c>
      <c r="Y7" s="45" t="n">
        <v>0</v>
      </c>
      <c r="Z7" s="17">
        <f>(W7*X7)-((W7*X7)*Y7)</f>
        <v/>
      </c>
    </row>
    <row r="8" ht="15" customHeight="1">
      <c r="B8" s="39" t="inlineStr">
        <is>
          <t>COLA G</t>
        </is>
      </c>
      <c r="C8" s="40">
        <f>4.5+6+6</f>
        <v/>
      </c>
      <c r="D8" s="41" t="n">
        <v>20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VENTRESCA</t>
        </is>
      </c>
      <c r="M8" s="40" t="n">
        <v>2</v>
      </c>
      <c r="N8" s="41" t="n">
        <v>59.8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PRODUCTO NO VISIBLE (alb. 03/09, importe 60,00)</t>
        </is>
      </c>
      <c r="W8" s="40" t="n">
        <v>1</v>
      </c>
      <c r="X8" s="41" t="n">
        <v>60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H9" s="26" t="inlineStr">
        <is>
          <t>10073</t>
        </is>
      </c>
      <c r="I9" s="17" t="n">
        <v>78</v>
      </c>
      <c r="J9" s="27" t="n">
        <v>0.1</v>
      </c>
      <c r="L9" s="25" t="inlineStr">
        <is>
          <t>GAMBA FR M</t>
        </is>
      </c>
      <c r="M9" s="44">
        <f>3+3+3+3+3+3+3+6</f>
        <v/>
      </c>
      <c r="N9" s="19" t="n">
        <v>26</v>
      </c>
      <c r="O9" s="45" t="n">
        <v>0</v>
      </c>
      <c r="P9" s="17">
        <f>(M9*N9)-((M9*N9)*O9)</f>
        <v/>
      </c>
      <c r="R9" s="26" t="inlineStr">
        <is>
          <t>20081 (ABONO)</t>
        </is>
      </c>
      <c r="S9" s="17" t="n">
        <v>-229.6</v>
      </c>
      <c r="T9" s="27" t="n">
        <v>0.1</v>
      </c>
      <c r="V9" s="25" t="inlineStr">
        <is>
          <t>GAMBA M</t>
        </is>
      </c>
      <c r="W9" s="44" t="n">
        <v>3</v>
      </c>
      <c r="X9" s="19" t="n">
        <v>26</v>
      </c>
      <c r="Y9" s="45" t="n">
        <v>0</v>
      </c>
      <c r="Z9" s="17">
        <f>(W9*X9)-((W9*X9)*Y9)</f>
        <v/>
      </c>
      <c r="AB9" s="26" t="inlineStr">
        <is>
          <t>1094</t>
        </is>
      </c>
      <c r="AC9" s="17" t="n">
        <v>78</v>
      </c>
      <c r="AD9" s="27" t="n">
        <v>0.1</v>
      </c>
    </row>
    <row r="10" ht="15" customHeight="1">
      <c r="H10" s="26" t="inlineStr">
        <is>
          <t>9071</t>
        </is>
      </c>
      <c r="I10" s="17" t="n">
        <v>156</v>
      </c>
      <c r="J10" s="27" t="n">
        <v>0.1</v>
      </c>
      <c r="L10" s="39" t="inlineStr">
        <is>
          <t>COLA G</t>
        </is>
      </c>
      <c r="M10" s="40">
        <f>4.5+4.5</f>
        <v/>
      </c>
      <c r="N10" s="41" t="n">
        <v>20</v>
      </c>
      <c r="O10" s="42" t="n">
        <v>0</v>
      </c>
      <c r="P10" s="43">
        <f>(M10*N10)-((M10*N10)*O10)</f>
        <v/>
      </c>
      <c r="R10" s="26" t="inlineStr">
        <is>
          <t>25081</t>
        </is>
      </c>
      <c r="S10" s="17" t="n">
        <v>119.6</v>
      </c>
      <c r="T10" s="27" t="n">
        <v>0.1</v>
      </c>
      <c r="V10" s="39" t="inlineStr">
        <is>
          <t>VENTRESCA</t>
        </is>
      </c>
      <c r="W10" s="40">
        <f>2.2+4.3</f>
        <v/>
      </c>
      <c r="X10" s="41" t="n">
        <v>52</v>
      </c>
      <c r="Y10" s="42" t="n">
        <v>0</v>
      </c>
      <c r="Z10" s="43">
        <f>(W10*X10)-((W10*X10)*Y10)</f>
        <v/>
      </c>
      <c r="AB10" s="26" t="inlineStr">
        <is>
          <t>s/n (03/09)</t>
        </is>
      </c>
      <c r="AC10" s="17" t="n">
        <v>153.6</v>
      </c>
      <c r="AD10" s="27" t="n">
        <v>0.1</v>
      </c>
    </row>
    <row r="11" ht="15" customHeight="1">
      <c r="H11" s="26" t="inlineStr">
        <is>
          <t>8074</t>
        </is>
      </c>
      <c r="I11" s="17" t="n">
        <v>288.46</v>
      </c>
      <c r="J11" s="27" t="n">
        <v>0.1</v>
      </c>
      <c r="R11" s="26" t="inlineStr">
        <is>
          <t>27084</t>
        </is>
      </c>
      <c r="S11" s="17" t="n">
        <v>78</v>
      </c>
      <c r="T11" s="27" t="n">
        <v>0.1</v>
      </c>
      <c r="V11" s="25" t="inlineStr">
        <is>
          <t>COLA G</t>
        </is>
      </c>
      <c r="W11" s="44" t="n">
        <v>6</v>
      </c>
      <c r="X11" s="19" t="n">
        <v>20</v>
      </c>
      <c r="Y11" s="45" t="n">
        <v>0</v>
      </c>
      <c r="Z11" s="17">
        <f>(W11*X11)-((W11*X11)*Y11)</f>
        <v/>
      </c>
      <c r="AB11" s="26" t="inlineStr">
        <is>
          <t>3091</t>
        </is>
      </c>
      <c r="AC11" s="17" t="n">
        <v>192.4</v>
      </c>
      <c r="AD11" s="27" t="n">
        <v>0.1</v>
      </c>
    </row>
    <row r="12">
      <c r="H12" s="26" t="inlineStr">
        <is>
          <t>2074</t>
        </is>
      </c>
      <c r="I12" s="17" t="n">
        <v>156</v>
      </c>
      <c r="J12" s="27" t="n">
        <v>0.1</v>
      </c>
      <c r="R12" s="26" t="inlineStr">
        <is>
          <t>5081</t>
        </is>
      </c>
      <c r="S12" s="17" t="n">
        <v>78</v>
      </c>
      <c r="T12" s="27" t="n">
        <v>0.1</v>
      </c>
      <c r="V12" s="39" t="inlineStr">
        <is>
          <t>VENTRESCA</t>
        </is>
      </c>
      <c r="W12" s="40" t="n">
        <v>4.7</v>
      </c>
      <c r="X12" s="41" t="n">
        <v>62</v>
      </c>
      <c r="Y12" s="42" t="n">
        <v>0</v>
      </c>
      <c r="Z12" s="43">
        <f>(W12*X12)-((W12*X12)*Y12)</f>
        <v/>
      </c>
      <c r="AB12" s="26" t="inlineStr">
        <is>
          <t>5091</t>
        </is>
      </c>
      <c r="AC12" s="17" t="n">
        <v>156</v>
      </c>
      <c r="AD12" s="27" t="n">
        <v>0.1</v>
      </c>
    </row>
    <row r="13">
      <c r="H13" s="26" t="inlineStr">
        <is>
          <t>1074</t>
        </is>
      </c>
      <c r="I13" s="17" t="n">
        <v>78</v>
      </c>
      <c r="J13" s="27" t="n">
        <v>0.1</v>
      </c>
      <c r="R13" s="26" t="inlineStr">
        <is>
          <t>6083</t>
        </is>
      </c>
      <c r="S13" s="17" t="n">
        <v>78</v>
      </c>
      <c r="T13" s="27" t="n">
        <v>0.1</v>
      </c>
      <c r="V13" s="25" t="inlineStr">
        <is>
          <t>COLA G</t>
        </is>
      </c>
      <c r="W13" s="44" t="n">
        <v>4.5</v>
      </c>
      <c r="X13" s="19" t="n">
        <v>22</v>
      </c>
      <c r="Y13" s="45" t="n">
        <v>0</v>
      </c>
      <c r="Z13" s="17">
        <f>(W13*X13)-((W13*X13)*Y13)</f>
        <v/>
      </c>
      <c r="AB13" s="26" t="inlineStr">
        <is>
          <t>7069</t>
        </is>
      </c>
      <c r="AC13" s="17" t="n">
        <v>78</v>
      </c>
      <c r="AD13" s="27" t="n">
        <v>0.1</v>
      </c>
    </row>
    <row r="14">
      <c r="H14" s="26" t="inlineStr">
        <is>
          <t>31074</t>
        </is>
      </c>
      <c r="I14" s="17" t="n">
        <v>90</v>
      </c>
      <c r="J14" s="27" t="n">
        <v>0.1</v>
      </c>
      <c r="R14" s="26" t="inlineStr">
        <is>
          <t>18086</t>
        </is>
      </c>
      <c r="S14" s="17" t="n">
        <v>78</v>
      </c>
      <c r="T14" s="27" t="n">
        <v>0.1</v>
      </c>
      <c r="AB14" s="26" t="inlineStr">
        <is>
          <t>110911</t>
        </is>
      </c>
      <c r="AC14" s="17" t="n">
        <v>78</v>
      </c>
      <c r="AD14" s="27" t="n">
        <v>0.1</v>
      </c>
    </row>
    <row r="15">
      <c r="H15" s="26" t="inlineStr">
        <is>
          <t>30076</t>
        </is>
      </c>
      <c r="I15" s="17" t="n">
        <v>78</v>
      </c>
      <c r="J15" s="27" t="n">
        <v>0.1</v>
      </c>
      <c r="R15" s="26" t="inlineStr">
        <is>
          <t>19083</t>
        </is>
      </c>
      <c r="S15" s="17" t="n">
        <v>78</v>
      </c>
      <c r="T15" s="27" t="n">
        <v>0.1</v>
      </c>
      <c r="AB15" s="26" t="inlineStr">
        <is>
          <t>12091</t>
        </is>
      </c>
      <c r="AC15" s="17" t="n">
        <v>156</v>
      </c>
      <c r="AD15" s="27" t="n">
        <v>0.1</v>
      </c>
    </row>
    <row r="16">
      <c r="H16" s="26" t="inlineStr">
        <is>
          <t>29074</t>
        </is>
      </c>
      <c r="I16" s="17" t="n">
        <v>78</v>
      </c>
      <c r="J16" s="27" t="n">
        <v>0.1</v>
      </c>
      <c r="R16" s="26" t="inlineStr">
        <is>
          <t>S/N 22-08</t>
        </is>
      </c>
      <c r="S16" s="17" t="n">
        <v>168</v>
      </c>
      <c r="T16" s="27" t="n">
        <v>0.1</v>
      </c>
      <c r="AB16" s="26" t="inlineStr">
        <is>
          <t>15091</t>
        </is>
      </c>
      <c r="AC16" s="17" t="n">
        <v>301.6</v>
      </c>
      <c r="AD16" s="27" t="n">
        <v>0.1</v>
      </c>
    </row>
    <row r="17">
      <c r="H17" s="26" t="inlineStr">
        <is>
          <t>28071</t>
        </is>
      </c>
      <c r="I17" s="17" t="n">
        <v>198</v>
      </c>
      <c r="J17" s="27" t="n">
        <v>0.1</v>
      </c>
      <c r="R17" s="26" t="inlineStr">
        <is>
          <t>25085</t>
        </is>
      </c>
      <c r="S17" s="17" t="n">
        <v>78</v>
      </c>
      <c r="T17" s="27" t="n">
        <v>0.1</v>
      </c>
      <c r="AB17" s="26" t="inlineStr">
        <is>
          <t>17091</t>
        </is>
      </c>
      <c r="AC17" s="17" t="n">
        <v>198</v>
      </c>
      <c r="AD17" s="27" t="n">
        <v>0.1</v>
      </c>
    </row>
    <row r="18">
      <c r="H18" s="26" t="inlineStr">
        <is>
          <t>18071</t>
        </is>
      </c>
      <c r="I18" s="17" t="n">
        <v>156</v>
      </c>
      <c r="J18" s="27" t="n">
        <v>0.1</v>
      </c>
      <c r="R18" s="26" t="inlineStr">
        <is>
          <t>29082</t>
        </is>
      </c>
      <c r="S18" s="17" t="n">
        <v>246</v>
      </c>
      <c r="T18" s="27" t="n">
        <v>0.1</v>
      </c>
      <c r="AB18" s="26" t="inlineStr">
        <is>
          <t>19091</t>
        </is>
      </c>
      <c r="AC18" s="17" t="n">
        <v>156</v>
      </c>
      <c r="AD18" s="27" t="n">
        <v>0.1</v>
      </c>
    </row>
    <row r="19">
      <c r="H19" s="26" t="inlineStr">
        <is>
          <t>S/N 16-07</t>
        </is>
      </c>
      <c r="I19" s="17" t="n">
        <v>78</v>
      </c>
      <c r="J19" s="27" t="n">
        <v>0.1</v>
      </c>
      <c r="AB19" s="26" t="inlineStr">
        <is>
          <t>24092</t>
        </is>
      </c>
      <c r="AC19" s="17" t="n">
        <v>468.4</v>
      </c>
      <c r="AD19" s="27" t="n">
        <v>0.1</v>
      </c>
    </row>
    <row r="20">
      <c r="H20" s="26" t="inlineStr">
        <is>
          <t>150710</t>
        </is>
      </c>
      <c r="I20" s="17" t="n">
        <v>120</v>
      </c>
      <c r="J20" s="27" t="n">
        <v>0.1</v>
      </c>
      <c r="AB20" s="26" t="inlineStr">
        <is>
          <t>25093</t>
        </is>
      </c>
      <c r="AC20" s="17" t="n">
        <v>78</v>
      </c>
      <c r="AD20" s="27" t="n">
        <v>0.1</v>
      </c>
    </row>
    <row r="21">
      <c r="H21" s="26" t="inlineStr">
        <is>
          <t>14071</t>
        </is>
      </c>
      <c r="I21" s="17" t="n">
        <v>156</v>
      </c>
      <c r="J21" s="27" t="n">
        <v>0.1</v>
      </c>
    </row>
    <row r="22">
      <c r="H22" s="26" t="inlineStr">
        <is>
          <t>23077</t>
        </is>
      </c>
      <c r="I22" s="17" t="n">
        <v>78</v>
      </c>
      <c r="J22" s="27" t="n">
        <v>0.1</v>
      </c>
    </row>
    <row r="23">
      <c r="H23" s="26" t="inlineStr">
        <is>
          <t>S/N 21-07</t>
        </is>
      </c>
      <c r="I23" s="17" t="n">
        <v>104</v>
      </c>
      <c r="J23" s="27" t="n">
        <v>0.1</v>
      </c>
    </row>
    <row r="24">
      <c r="H24" s="26" t="inlineStr">
        <is>
          <t>S/N 24-07</t>
        </is>
      </c>
      <c r="I24" s="17" t="n">
        <v>78</v>
      </c>
      <c r="J24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A6A6A6"/>
    <outlinePr summaryBelow="1" summaryRight="1"/>
    <pageSetUpPr/>
  </sheetPr>
  <dimension ref="B2:AD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DELIPAN</t>
        </is>
      </c>
      <c r="C6" s="40" t="n">
        <v>4</v>
      </c>
      <c r="D6" s="41" t="n">
        <v>17.73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PICOS ARTESANOS 500gr</t>
        </is>
      </c>
      <c r="M6" s="40">
        <f>2+2+3</f>
        <v/>
      </c>
      <c r="N6" s="41" t="n">
        <v>11.48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DELIFLAUTA 17 PERRITO 90  uds</t>
        </is>
      </c>
      <c r="W6" s="40">
        <f>3+4+2+1+1</f>
        <v/>
      </c>
      <c r="X6" s="41" t="n">
        <v>17.73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PICOS ARTESANOS 500gr</t>
        </is>
      </c>
      <c r="C7" s="44">
        <f>5+2+1+2+2+2</f>
        <v/>
      </c>
      <c r="D7" s="19" t="n">
        <v>11.48</v>
      </c>
      <c r="E7" s="45" t="n">
        <v>0</v>
      </c>
      <c r="F7" s="17">
        <f>(C7*D7)-((C7*D7)*E7)</f>
        <v/>
      </c>
      <c r="L7" s="25" t="inlineStr">
        <is>
          <t>DELIFLAUTA 17 PERRITO 90  uds</t>
        </is>
      </c>
      <c r="M7" s="44">
        <f>1+2+3+3+3</f>
        <v/>
      </c>
      <c r="N7" s="19" t="n">
        <v>17.73</v>
      </c>
      <c r="O7" s="45" t="n">
        <v>0</v>
      </c>
      <c r="P7" s="17">
        <f>(M7*N7)-((M7*N7)*O7)</f>
        <v/>
      </c>
      <c r="V7" s="25" t="inlineStr">
        <is>
          <t>PAN MOLDE BRIOCHE (7 ud)</t>
        </is>
      </c>
      <c r="W7" s="44">
        <f>1+1+1+1+1+1</f>
        <v/>
      </c>
      <c r="X7" s="19" t="n">
        <v>88.09</v>
      </c>
      <c r="Y7" s="45" t="n">
        <v>0</v>
      </c>
      <c r="Z7" s="17">
        <f>(W7*X7)-((W7*X7)*Y7)</f>
        <v/>
      </c>
    </row>
    <row r="8" ht="15" customHeight="1">
      <c r="B8" s="39" t="inlineStr">
        <is>
          <t>DELIFLAUTA 17 PERRITO 90  uds</t>
        </is>
      </c>
      <c r="C8" s="40">
        <f>3+4+3+2+4+4+5+4</f>
        <v/>
      </c>
      <c r="D8" s="41" t="n">
        <v>17.73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PAN MOLDE BRIOCHE (7 ud)</t>
        </is>
      </c>
      <c r="M8" s="40" t="n">
        <v>1</v>
      </c>
      <c r="N8" s="41" t="n">
        <v>88.09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PICOS ARTESANOS 500gr</t>
        </is>
      </c>
      <c r="W8" s="40">
        <f>3+3+2+2+4+2+4</f>
        <v/>
      </c>
      <c r="X8" s="41" t="n">
        <v>11.48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PAN MOLDE BRIOCHE (7 ud)</t>
        </is>
      </c>
      <c r="C9" s="44">
        <f>1+1+1</f>
        <v/>
      </c>
      <c r="D9" s="19" t="n">
        <v>88.09</v>
      </c>
      <c r="E9" s="45" t="n">
        <v>0</v>
      </c>
      <c r="F9" s="17">
        <f>(C9*D9)-((C9*D9)*E9)</f>
        <v/>
      </c>
      <c r="H9" s="26" t="inlineStr">
        <is>
          <t>A2/8520</t>
        </is>
      </c>
      <c r="I9" s="17" t="n">
        <v>105.36</v>
      </c>
      <c r="J9" s="27" t="n">
        <v>0.04</v>
      </c>
      <c r="R9" s="26" t="inlineStr">
        <is>
          <t>A2/9526</t>
        </is>
      </c>
      <c r="S9" s="17" t="n">
        <v>88.09</v>
      </c>
      <c r="T9" s="27" t="n">
        <v>0.1</v>
      </c>
      <c r="V9" s="25" t="inlineStr">
        <is>
          <t>PICOS SIN GLUTEN 20gr (25 uds)</t>
        </is>
      </c>
      <c r="W9" s="44">
        <f>2+1</f>
        <v/>
      </c>
      <c r="X9" s="19" t="n">
        <v>11.29</v>
      </c>
      <c r="Y9" s="45" t="n">
        <v>0</v>
      </c>
      <c r="Z9" s="17">
        <f>(W9*X9)-((W9*X9)*Y9)</f>
        <v/>
      </c>
      <c r="AB9" s="26" t="inlineStr">
        <is>
          <t>A2/10.367</t>
        </is>
      </c>
      <c r="AC9" s="17" t="n">
        <v>110.21</v>
      </c>
      <c r="AD9" s="27" t="n">
        <v>0.04</v>
      </c>
    </row>
    <row r="10" ht="15" customHeight="1">
      <c r="B10" s="39" t="inlineStr">
        <is>
          <t>PICOS SIN GLUTEN 20gr (25 uds)</t>
        </is>
      </c>
      <c r="C10" s="40">
        <f>1+1</f>
        <v/>
      </c>
      <c r="D10" s="41" t="n">
        <v>11.29</v>
      </c>
      <c r="E10" s="42" t="n">
        <v>0</v>
      </c>
      <c r="F10" s="43">
        <f>(C10*D10)-((C10*D10)*E10)</f>
        <v/>
      </c>
      <c r="H10" s="26" t="inlineStr">
        <is>
          <t>A2/8358</t>
        </is>
      </c>
      <c r="I10" s="17" t="n">
        <v>88.09</v>
      </c>
      <c r="J10" s="27" t="n">
        <v>0.1</v>
      </c>
      <c r="R10" s="26" t="inlineStr">
        <is>
          <t>A2/9526</t>
        </is>
      </c>
      <c r="S10" s="17" t="n">
        <v>40.69</v>
      </c>
      <c r="T10" s="27" t="n">
        <v>0.04</v>
      </c>
      <c r="AB10" s="26" t="inlineStr">
        <is>
          <t>A2/10.367</t>
        </is>
      </c>
      <c r="AC10" s="17" t="n">
        <v>88.09</v>
      </c>
      <c r="AD10" s="27" t="n">
        <v>0.1</v>
      </c>
    </row>
    <row r="11" ht="15" customHeight="1">
      <c r="H11" s="26" t="inlineStr">
        <is>
          <t>A2/8358</t>
        </is>
      </c>
      <c r="I11" s="17" t="n">
        <v>76.15000000000001</v>
      </c>
      <c r="J11" s="27" t="n">
        <v>0.04</v>
      </c>
      <c r="R11" s="26" t="inlineStr">
        <is>
          <t>A2/9861</t>
        </is>
      </c>
      <c r="S11" s="17" t="n">
        <v>35.46</v>
      </c>
      <c r="T11" s="27" t="n">
        <v>0.04</v>
      </c>
      <c r="AB11" s="26" t="inlineStr">
        <is>
          <t>A2/10.551</t>
        </is>
      </c>
      <c r="AC11" s="17" t="n">
        <v>105.36</v>
      </c>
      <c r="AD11" s="27" t="n">
        <v>0.04</v>
      </c>
    </row>
    <row r="12">
      <c r="H12" s="26" t="inlineStr">
        <is>
          <t>A2/8248</t>
        </is>
      </c>
      <c r="I12" s="17" t="n">
        <v>105.17</v>
      </c>
      <c r="J12" s="27" t="n">
        <v>0.04</v>
      </c>
      <c r="R12" s="26" t="inlineStr">
        <is>
          <t>A2/10002</t>
        </is>
      </c>
      <c r="S12" s="17" t="n">
        <v>76.15000000000001</v>
      </c>
      <c r="T12" s="27" t="n">
        <v>0.04</v>
      </c>
      <c r="AB12" s="26" t="inlineStr">
        <is>
          <t>A2/10.551</t>
        </is>
      </c>
      <c r="AC12" s="17" t="n">
        <v>88.09</v>
      </c>
      <c r="AD12" s="27" t="n">
        <v>0.1</v>
      </c>
    </row>
    <row r="13">
      <c r="H13" s="26" t="inlineStr">
        <is>
          <t>A2/9083</t>
        </is>
      </c>
      <c r="I13" s="17" t="n">
        <v>88.09</v>
      </c>
      <c r="J13" s="27" t="n">
        <v>0.1</v>
      </c>
      <c r="R13" s="26" t="inlineStr">
        <is>
          <t>A2/10106</t>
        </is>
      </c>
      <c r="S13" s="17" t="n">
        <v>53.19</v>
      </c>
      <c r="T13" s="27" t="n">
        <v>0.04</v>
      </c>
      <c r="AB13" s="26" t="inlineStr">
        <is>
          <t>A2/10.679</t>
        </is>
      </c>
      <c r="AC13" s="17" t="n">
        <v>35.46</v>
      </c>
      <c r="AD13" s="27" t="n">
        <v>0.04</v>
      </c>
    </row>
    <row r="14">
      <c r="H14" s="26" t="inlineStr">
        <is>
          <t>A2/9083</t>
        </is>
      </c>
      <c r="I14" s="17" t="n">
        <v>75.95999999999999</v>
      </c>
      <c r="J14" s="27" t="n">
        <v>0.04</v>
      </c>
      <c r="R14" s="26" t="inlineStr">
        <is>
          <t>A2/10260</t>
        </is>
      </c>
      <c r="S14" s="17" t="n">
        <v>87.63</v>
      </c>
      <c r="T14" s="27" t="n">
        <v>0.04</v>
      </c>
      <c r="AB14" s="26" t="inlineStr">
        <is>
          <t>A2/10.679</t>
        </is>
      </c>
      <c r="AC14" s="17" t="n">
        <v>88.09</v>
      </c>
      <c r="AD14" s="27" t="n">
        <v>0.1</v>
      </c>
    </row>
    <row r="15">
      <c r="H15" s="26" t="inlineStr">
        <is>
          <t>A2/8944</t>
        </is>
      </c>
      <c r="I15" s="17" t="n">
        <v>35.46</v>
      </c>
      <c r="J15" s="27" t="n">
        <v>0.04</v>
      </c>
      <c r="AB15" s="26" t="inlineStr">
        <is>
          <t>A2/10.905</t>
        </is>
      </c>
      <c r="AC15" s="17" t="n">
        <v>22.96</v>
      </c>
      <c r="AD15" s="27" t="n">
        <v>0.04</v>
      </c>
    </row>
    <row r="16">
      <c r="H16" s="26" t="inlineStr">
        <is>
          <t>A2/8841</t>
        </is>
      </c>
      <c r="I16" s="17" t="n">
        <v>93.88</v>
      </c>
      <c r="J16" s="27" t="n">
        <v>0.04</v>
      </c>
      <c r="AB16" s="26" t="inlineStr">
        <is>
          <t>A2/10.999</t>
        </is>
      </c>
      <c r="AC16" s="17" t="n">
        <v>40.69</v>
      </c>
      <c r="AD16" s="27" t="n">
        <v>0.04</v>
      </c>
    </row>
    <row r="17">
      <c r="H17" s="26" t="inlineStr">
        <is>
          <t>A2/8675</t>
        </is>
      </c>
      <c r="I17" s="17" t="n">
        <v>88.09</v>
      </c>
      <c r="J17" s="27" t="n">
        <v>0.1</v>
      </c>
      <c r="AB17" s="26" t="inlineStr">
        <is>
          <t>A2/10.999</t>
        </is>
      </c>
      <c r="AC17" s="17" t="n">
        <v>88.09</v>
      </c>
      <c r="AD17" s="27" t="n">
        <v>0.1</v>
      </c>
    </row>
    <row r="18">
      <c r="H18" s="26" t="inlineStr">
        <is>
          <t>A2/8675</t>
        </is>
      </c>
      <c r="I18" s="17" t="n">
        <v>93.88</v>
      </c>
      <c r="J18" s="27" t="n">
        <v>0.04</v>
      </c>
      <c r="AB18" s="26" t="inlineStr">
        <is>
          <t>A2/11.234</t>
        </is>
      </c>
      <c r="AC18" s="17" t="n">
        <v>45.92</v>
      </c>
      <c r="AD18" s="27" t="n">
        <v>0.04</v>
      </c>
    </row>
    <row r="19">
      <c r="H19" s="26" t="inlineStr">
        <is>
          <t>A2/9337</t>
        </is>
      </c>
      <c r="I19" s="17" t="n">
        <v>88.65000000000001</v>
      </c>
      <c r="J19" s="27" t="n">
        <v>0.04</v>
      </c>
      <c r="AB19" s="26" t="inlineStr">
        <is>
          <t>A2/11.370</t>
        </is>
      </c>
      <c r="AC19" s="17" t="n">
        <v>40.69</v>
      </c>
      <c r="AD19" s="27" t="n">
        <v>0.04</v>
      </c>
    </row>
    <row r="20">
      <c r="H20" s="26" t="inlineStr">
        <is>
          <t>A2/9201</t>
        </is>
      </c>
      <c r="I20" s="17" t="n">
        <v>93.88</v>
      </c>
      <c r="J20" s="27" t="n">
        <v>0.04</v>
      </c>
      <c r="AB20" s="26" t="inlineStr">
        <is>
          <t>A2/11.370</t>
        </is>
      </c>
      <c r="AC20" s="17" t="n">
        <v>88.09</v>
      </c>
      <c r="AD20" s="27" t="n">
        <v>0.1</v>
      </c>
    </row>
    <row r="21">
      <c r="AB21" s="26" t="inlineStr">
        <is>
          <t>A2/11.721</t>
        </is>
      </c>
      <c r="AC21" s="17" t="n">
        <v>57.21</v>
      </c>
      <c r="AD21" s="27" t="n">
        <v>0.04</v>
      </c>
    </row>
    <row r="22">
      <c r="AB22" s="26" t="inlineStr">
        <is>
          <t>A2/11.806</t>
        </is>
      </c>
      <c r="AC22" s="17" t="n">
        <v>88.09</v>
      </c>
      <c r="AD22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A6A6A6"/>
    <outlinePr summaryBelow="1" summaryRight="1"/>
    <pageSetUpPr/>
  </sheetPr>
  <dimension ref="B2:AD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BOQUERON EN VINAGRE PANDERETA</t>
        </is>
      </c>
      <c r="C6" s="40">
        <f>8+8+8+8</f>
        <v/>
      </c>
      <c r="D6" s="41" t="n">
        <v>19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24 PERLE NOIRE N.2</t>
        </is>
      </c>
      <c r="M6" s="40">
        <f>2+2</f>
        <v/>
      </c>
      <c r="N6" s="41" t="n">
        <v>41.5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BOQUERON EN VINAGRE PANDERETA</t>
        </is>
      </c>
      <c r="W6" s="40">
        <f>8+8+8+8</f>
        <v/>
      </c>
      <c r="X6" s="41" t="n">
        <v>19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24 PERLE NOIRE N.2</t>
        </is>
      </c>
      <c r="C7" s="44">
        <f>2+4+1+3+3</f>
        <v/>
      </c>
      <c r="D7" s="19" t="n">
        <v>41.5</v>
      </c>
      <c r="E7" s="45" t="n">
        <v>0</v>
      </c>
      <c r="F7" s="17">
        <f>(C7*D7)-((C7*D7)*E7)</f>
        <v/>
      </c>
      <c r="L7" s="25" t="inlineStr">
        <is>
          <t>BOQUERON EN VINAGRE PANDERETA</t>
        </is>
      </c>
      <c r="M7" s="44" t="n">
        <v>8</v>
      </c>
      <c r="N7" s="19" t="n">
        <v>19</v>
      </c>
      <c r="O7" s="45" t="n">
        <v>0</v>
      </c>
      <c r="P7" s="17">
        <f>(M7*N7)-((M7*N7)*O7)</f>
        <v/>
      </c>
      <c r="V7" s="25" t="inlineStr">
        <is>
          <t>24 PERLE NOIRE N.2</t>
        </is>
      </c>
      <c r="W7" s="44">
        <f>3+4+1+3</f>
        <v/>
      </c>
      <c r="X7" s="19" t="n">
        <v>41.5</v>
      </c>
      <c r="Y7" s="45" t="n">
        <v>0</v>
      </c>
      <c r="Z7" s="17">
        <f>(W7*X7)-((W7*X7)*Y7)</f>
        <v/>
      </c>
    </row>
    <row r="8" ht="15" customHeight="1">
      <c r="B8" s="39" t="inlineStr">
        <is>
          <t>BOQUERON CASERO EN ACEITE 700g</t>
        </is>
      </c>
      <c r="C8" s="40" t="n">
        <v>8</v>
      </c>
      <c r="D8" s="41" t="n">
        <v>18.5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H9" s="26" t="inlineStr">
        <is>
          <t>134806</t>
        </is>
      </c>
      <c r="I9" s="17" t="n">
        <v>152</v>
      </c>
      <c r="J9" s="27" t="n">
        <v>0.1</v>
      </c>
      <c r="R9" s="26" t="inlineStr">
        <is>
          <t>135823</t>
        </is>
      </c>
      <c r="S9" s="17" t="n">
        <v>83</v>
      </c>
      <c r="T9" s="27" t="n">
        <v>0.1</v>
      </c>
      <c r="AB9" s="26" t="inlineStr">
        <is>
          <t>136230</t>
        </is>
      </c>
      <c r="AC9" s="17" t="n">
        <v>276.5</v>
      </c>
      <c r="AD9" s="27" t="n">
        <v>0.1</v>
      </c>
    </row>
    <row r="10" ht="15" customHeight="1">
      <c r="H10" s="26" t="inlineStr">
        <is>
          <t>134789</t>
        </is>
      </c>
      <c r="I10" s="17" t="n">
        <v>83</v>
      </c>
      <c r="J10" s="27" t="n">
        <v>0.1</v>
      </c>
      <c r="R10" s="26" t="inlineStr">
        <is>
          <t>136005</t>
        </is>
      </c>
      <c r="S10" s="17" t="n">
        <v>235</v>
      </c>
      <c r="T10" s="27" t="n">
        <v>0.1</v>
      </c>
      <c r="AB10" s="26" t="inlineStr">
        <is>
          <t>136553</t>
        </is>
      </c>
      <c r="AC10" s="17" t="n">
        <v>318</v>
      </c>
      <c r="AD10" s="27" t="n">
        <v>0.1</v>
      </c>
    </row>
    <row r="11" ht="15" customHeight="1">
      <c r="H11" s="26" t="inlineStr">
        <is>
          <t>134442</t>
        </is>
      </c>
      <c r="I11" s="17" t="n">
        <v>314</v>
      </c>
      <c r="J11" s="27" t="n">
        <v>0.1</v>
      </c>
      <c r="AB11" s="26" t="inlineStr">
        <is>
          <t>136819</t>
        </is>
      </c>
      <c r="AC11" s="17" t="n">
        <v>193.5</v>
      </c>
      <c r="AD11" s="27" t="n">
        <v>0.1</v>
      </c>
    </row>
    <row r="12">
      <c r="H12" s="26" t="inlineStr">
        <is>
          <t>135177</t>
        </is>
      </c>
      <c r="I12" s="17" t="n">
        <v>193.5</v>
      </c>
      <c r="J12" s="27" t="n">
        <v>0.1</v>
      </c>
      <c r="AB12" s="26" t="inlineStr">
        <is>
          <t>137136</t>
        </is>
      </c>
      <c r="AC12" s="17" t="n">
        <v>276.5</v>
      </c>
      <c r="AD12" s="27" t="n">
        <v>0.1</v>
      </c>
    </row>
    <row r="13">
      <c r="H13" s="26" t="inlineStr">
        <is>
          <t>135027</t>
        </is>
      </c>
      <c r="I13" s="17" t="n">
        <v>276.5</v>
      </c>
      <c r="J13" s="27" t="n">
        <v>0.1</v>
      </c>
    </row>
    <row r="14">
      <c r="H14" s="26" t="inlineStr">
        <is>
          <t>135362</t>
        </is>
      </c>
      <c r="I14" s="17" t="n">
        <v>276.5</v>
      </c>
      <c r="J14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A6A6A6"/>
    <outlinePr summaryBelow="1" summaryRight="1"/>
    <pageSetUpPr/>
  </sheetPr>
  <dimension ref="B2:AD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ALBARIÑO MAR DE FRADES</t>
        </is>
      </c>
      <c r="C6" s="40">
        <f>(23)*6</f>
        <v/>
      </c>
      <c r="D6" s="41" t="n">
        <v>11.42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ALBARIÑO MAR DE FRADES</t>
        </is>
      </c>
      <c r="M6" s="40">
        <f>(8+2)*6</f>
        <v/>
      </c>
      <c r="N6" s="41" t="n">
        <v>11.42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GODELLO VIÑAREDO</t>
        </is>
      </c>
      <c r="W6" s="40">
        <f>12+24+12+24</f>
        <v/>
      </c>
      <c r="X6" s="41" t="n">
        <v>7.03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CAVA BRUT NATURE GRAN CLAUSTRO</t>
        </is>
      </c>
      <c r="C7" s="44">
        <f>(2)*6</f>
        <v/>
      </c>
      <c r="D7" s="19" t="n">
        <v>15.12</v>
      </c>
      <c r="E7" s="45" t="n">
        <v>0</v>
      </c>
      <c r="F7" s="17">
        <f>(C7*D7)-((C7*D7)*E7)</f>
        <v/>
      </c>
      <c r="L7" s="25" t="inlineStr">
        <is>
          <t>CHARDONAY LIAS ECOLOGICO F.ELEZ</t>
        </is>
      </c>
      <c r="M7" s="44">
        <f>(3)*6</f>
        <v/>
      </c>
      <c r="N7" s="19" t="n">
        <v>9.02</v>
      </c>
      <c r="O7" s="45" t="n">
        <v>0</v>
      </c>
      <c r="P7" s="17">
        <f>(M7*N7)-((M7*N7)*O7)</f>
        <v/>
      </c>
      <c r="V7" s="25" t="inlineStr">
        <is>
          <t>CAVA BRUT NATURE GRAN CLAUSTRO</t>
        </is>
      </c>
      <c r="W7" s="44">
        <f>6+12</f>
        <v/>
      </c>
      <c r="X7" s="19" t="n">
        <v>15.12</v>
      </c>
      <c r="Y7" s="45" t="n">
        <v>0</v>
      </c>
      <c r="Z7" s="17">
        <f>(W7*X7)-((W7*X7)*Y7)</f>
        <v/>
      </c>
    </row>
    <row r="8" ht="15" customHeight="1">
      <c r="B8" s="39" t="inlineStr">
        <is>
          <t>CHARDONAY LIAS ECOLOGICO F.ELEZ</t>
        </is>
      </c>
      <c r="C8" s="40">
        <f>(6)*6</f>
        <v/>
      </c>
      <c r="D8" s="41" t="n">
        <v>9.02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SEÑORIO DE FITERO ROBLE</t>
        </is>
      </c>
      <c r="M8" s="40">
        <f>(5+3)*6</f>
        <v/>
      </c>
      <c r="N8" s="41" t="n">
        <v>2.82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ALBARIÑO MAR DE FRADES</t>
        </is>
      </c>
      <c r="W8" s="40">
        <f>42+30+24+24</f>
        <v/>
      </c>
      <c r="X8" s="41" t="n">
        <v>11.42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GINEBRA MARTIN MILLER 3/4</t>
        </is>
      </c>
      <c r="C9" s="44">
        <f>(3)*6</f>
        <v/>
      </c>
      <c r="D9" s="19" t="n">
        <v>16.1</v>
      </c>
      <c r="E9" s="45" t="n">
        <v>0</v>
      </c>
      <c r="F9" s="17">
        <f>(C9*D9)-((C9*D9)*E9)</f>
        <v/>
      </c>
      <c r="H9" s="26" t="inlineStr">
        <is>
          <t>FD 2221</t>
        </is>
      </c>
      <c r="I9" s="17" t="n">
        <v>137.04</v>
      </c>
      <c r="J9" s="27" t="n">
        <v>0.21</v>
      </c>
      <c r="L9" s="25" t="inlineStr">
        <is>
          <t>GODELLO VIÑAREDO</t>
        </is>
      </c>
      <c r="M9" s="44">
        <f>(2+2)*12</f>
        <v/>
      </c>
      <c r="N9" s="19" t="n">
        <v>7.03</v>
      </c>
      <c r="O9" s="45" t="n">
        <v>0</v>
      </c>
      <c r="P9" s="17">
        <f>(M9*N9)-((M9*N9)*O9)</f>
        <v/>
      </c>
      <c r="R9" s="26" t="inlineStr">
        <is>
          <t>FD 2485</t>
        </is>
      </c>
      <c r="S9" s="17" t="n">
        <v>795.12</v>
      </c>
      <c r="T9" s="27" t="n">
        <v>0.21</v>
      </c>
      <c r="V9" s="25" t="inlineStr">
        <is>
          <t>CRUZ DE ALBA ROBLE 3/4</t>
        </is>
      </c>
      <c r="W9" s="44">
        <f>24+12</f>
        <v/>
      </c>
      <c r="X9" s="19" t="n">
        <v>7.48</v>
      </c>
      <c r="Y9" s="45" t="n">
        <v>0</v>
      </c>
      <c r="Z9" s="17">
        <f>(W9*X9)-((W9*X9)*Y9)</f>
        <v/>
      </c>
      <c r="AB9" s="26" t="inlineStr">
        <is>
          <t>FD 2821</t>
        </is>
      </c>
      <c r="AC9" s="17" t="n">
        <v>834.24</v>
      </c>
      <c r="AD9" s="27" t="n">
        <v>0.21</v>
      </c>
    </row>
    <row r="10" ht="15" customHeight="1">
      <c r="B10" s="39" t="inlineStr">
        <is>
          <t>GODELLO VIÑAREDO</t>
        </is>
      </c>
      <c r="C10" s="40">
        <f>(7)*12</f>
        <v/>
      </c>
      <c r="D10" s="41" t="n">
        <v>7.03</v>
      </c>
      <c r="E10" s="42" t="n">
        <v>0</v>
      </c>
      <c r="F10" s="43">
        <f>(C10*D10)-((C10*D10)*E10)</f>
        <v/>
      </c>
      <c r="H10" s="26" t="inlineStr">
        <is>
          <t>FD 2267</t>
        </is>
      </c>
      <c r="I10" s="17" t="n">
        <v>488.88</v>
      </c>
      <c r="J10" s="27" t="n">
        <v>0.21</v>
      </c>
      <c r="R10" s="26" t="inlineStr">
        <is>
          <t>FD 2606</t>
        </is>
      </c>
      <c r="S10" s="17" t="n">
        <v>356.52</v>
      </c>
      <c r="T10" s="27" t="n">
        <v>0.21</v>
      </c>
      <c r="V10" s="39" t="inlineStr">
        <is>
          <t>COPAS (sin cargo)</t>
        </is>
      </c>
      <c r="W10" s="40" t="n">
        <v>24</v>
      </c>
      <c r="X10" s="41" t="n">
        <v>0</v>
      </c>
      <c r="Y10" s="42" t="n">
        <v>0</v>
      </c>
      <c r="Z10" s="43">
        <f>(W10*X10)-((W10*X10)*Y10)</f>
        <v/>
      </c>
      <c r="AB10" s="26" t="inlineStr">
        <is>
          <t>FD 2887</t>
        </is>
      </c>
      <c r="AC10" s="17" t="n">
        <v>511.32</v>
      </c>
      <c r="AD10" s="27" t="n">
        <v>0.21</v>
      </c>
    </row>
    <row r="11" ht="15" customHeight="1">
      <c r="B11" s="25" t="inlineStr">
        <is>
          <t>SEÑORIO DE FITERO ROBLE</t>
        </is>
      </c>
      <c r="C11" s="44">
        <f>(10)*6</f>
        <v/>
      </c>
      <c r="D11" s="19" t="n">
        <v>2.82</v>
      </c>
      <c r="E11" s="45" t="n">
        <v>0</v>
      </c>
      <c r="F11" s="17">
        <f>(C11*D11)-((C11*D11)*E11)</f>
        <v/>
      </c>
      <c r="H11" s="26" t="inlineStr">
        <is>
          <t>FD 2309</t>
        </is>
      </c>
      <c r="I11" s="17" t="n">
        <v>799.08</v>
      </c>
      <c r="J11" s="27" t="n">
        <v>0.21</v>
      </c>
      <c r="R11" s="26" t="inlineStr">
        <is>
          <t>FD 2650</t>
        </is>
      </c>
      <c r="S11" s="17" t="n">
        <v>168.72</v>
      </c>
      <c r="T11" s="27" t="n">
        <v>0.21</v>
      </c>
      <c r="V11" s="25" t="inlineStr">
        <is>
          <t>POMMERY ROYAL BRUT 3/4</t>
        </is>
      </c>
      <c r="W11" s="44" t="n">
        <v>6</v>
      </c>
      <c r="X11" s="19" t="n">
        <v>36.35</v>
      </c>
      <c r="Y11" s="45" t="n">
        <v>0</v>
      </c>
      <c r="Z11" s="17">
        <f>(W11*X11)-((W11*X11)*Y11)</f>
        <v/>
      </c>
      <c r="AB11" s="26" t="inlineStr">
        <is>
          <t>FD 3016</t>
        </is>
      </c>
      <c r="AC11" s="17" t="n">
        <v>763.38</v>
      </c>
      <c r="AD11" s="27" t="n">
        <v>0.21</v>
      </c>
    </row>
    <row r="12">
      <c r="H12" s="26" t="inlineStr">
        <is>
          <t>FD 2334</t>
        </is>
      </c>
      <c r="I12" s="17" t="n">
        <v>411.12</v>
      </c>
      <c r="J12" s="27" t="n">
        <v>0.21</v>
      </c>
      <c r="AB12" s="26" t="inlineStr">
        <is>
          <t>FD 3073</t>
        </is>
      </c>
      <c r="AC12" s="17" t="n">
        <v>358.44</v>
      </c>
      <c r="AD12" s="27" t="n">
        <v>0.21</v>
      </c>
    </row>
    <row r="13">
      <c r="H13" s="26" t="inlineStr">
        <is>
          <t>FD 2369</t>
        </is>
      </c>
      <c r="I13" s="17" t="n">
        <v>765.48</v>
      </c>
      <c r="J13" s="27" t="n">
        <v>0.21</v>
      </c>
      <c r="AB13" s="26" t="inlineStr">
        <is>
          <t>FD 3106</t>
        </is>
      </c>
      <c r="AC13" s="17" t="n">
        <v>168.72</v>
      </c>
      <c r="AD13" s="27" t="n">
        <v>0.21</v>
      </c>
    </row>
    <row r="14">
      <c r="H14" s="26" t="inlineStr">
        <is>
          <t>FD 2419</t>
        </is>
      </c>
      <c r="I14" s="17" t="n">
        <v>530.04</v>
      </c>
      <c r="J14" s="27" t="n">
        <v>0.21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A6A6A6"/>
    <outlinePr summaryBelow="1" summaryRight="1"/>
    <pageSetUpPr/>
  </sheetPr>
  <dimension ref="B2:T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</row>
    <row r="6" ht="15" customHeight="1">
      <c r="B6" s="39" t="inlineStr">
        <is>
          <t>IZAGUIRRE BOX 20L</t>
        </is>
      </c>
      <c r="C6" s="40" t="n">
        <v>2</v>
      </c>
      <c r="D6" s="41" t="n">
        <v>120.15</v>
      </c>
      <c r="E6" s="42" t="n">
        <v>0.03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IZAGUIRRE BOX 20L</t>
        </is>
      </c>
      <c r="M6" s="40" t="n">
        <v>1</v>
      </c>
      <c r="N6" s="41" t="n">
        <v>120.15</v>
      </c>
      <c r="O6" s="42" t="n">
        <v>0.03</v>
      </c>
      <c r="P6" s="43">
        <f>(M6*N6)-((M6*N6)*O6)</f>
        <v/>
      </c>
      <c r="R6" s="52" t="inlineStr">
        <is>
          <t>DIFERENCIA</t>
        </is>
      </c>
      <c r="S6" s="53">
        <f>S5-S4</f>
        <v/>
      </c>
    </row>
    <row r="7" ht="15" customHeight="1">
      <c r="B7" s="25" t="inlineStr">
        <is>
          <t>RED BULL</t>
        </is>
      </c>
      <c r="C7" s="44" t="n">
        <v>3</v>
      </c>
      <c r="D7" s="19" t="n">
        <v>20.88</v>
      </c>
      <c r="E7" s="45" t="n">
        <v>0</v>
      </c>
      <c r="F7" s="17">
        <f>(C7*D7)-((C7*D7)*E7)</f>
        <v/>
      </c>
      <c r="L7" s="25" t="inlineStr">
        <is>
          <t>ALBARAN</t>
        </is>
      </c>
      <c r="M7" s="44">
        <f>1+1</f>
        <v/>
      </c>
      <c r="N7" s="19" t="n">
        <v>1</v>
      </c>
      <c r="O7" s="45" t="n">
        <v>0</v>
      </c>
      <c r="P7" s="17">
        <f>(M7*N7)-((M7*N7)*O7)</f>
        <v/>
      </c>
    </row>
    <row r="8" ht="15" customHeight="1">
      <c r="B8" s="39" t="inlineStr">
        <is>
          <t>ALBARAN</t>
        </is>
      </c>
      <c r="C8" s="40" t="n">
        <v>4</v>
      </c>
      <c r="D8" s="41" t="n">
        <v>1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SCHWEPPES TONICA RET 28 UDS</t>
        </is>
      </c>
      <c r="M8" s="40" t="n">
        <v>5</v>
      </c>
      <c r="N8" s="41" t="n">
        <v>24.84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</row>
    <row r="9" ht="15" customHeight="1">
      <c r="B9" s="25" t="inlineStr">
        <is>
          <t>SOLAN DE CABRAS CON GAS</t>
        </is>
      </c>
      <c r="C9" s="44" t="n">
        <v>5</v>
      </c>
      <c r="D9" s="19" t="n">
        <v>26.8</v>
      </c>
      <c r="E9" s="45" t="n">
        <v>0</v>
      </c>
      <c r="F9" s="17">
        <f>(C9*D9)-((C9*D9)*E9)</f>
        <v/>
      </c>
      <c r="H9" s="26" t="inlineStr">
        <is>
          <t>2026/1/18961</t>
        </is>
      </c>
      <c r="I9" s="17" t="n">
        <v>138.43</v>
      </c>
      <c r="J9" s="27" t="n">
        <v>0.21</v>
      </c>
      <c r="L9" s="25" t="inlineStr">
        <is>
          <t>COCA COLA ZERO NAC RET</t>
        </is>
      </c>
      <c r="M9" s="44" t="n">
        <v>4</v>
      </c>
      <c r="N9" s="19" t="n">
        <v>21.78</v>
      </c>
      <c r="O9" s="45" t="n">
        <v>0</v>
      </c>
      <c r="P9" s="17">
        <f>(M9*N9)-((M9*N9)*O9)</f>
        <v/>
      </c>
      <c r="R9" s="26" t="inlineStr">
        <is>
          <t>2026/1/23727</t>
        </is>
      </c>
      <c r="S9" s="17" t="n">
        <v>117.55</v>
      </c>
      <c r="T9" s="27" t="n">
        <v>0.21</v>
      </c>
    </row>
    <row r="10" ht="15" customHeight="1">
      <c r="B10" s="39" t="inlineStr">
        <is>
          <t>BARCELO AÑEJO</t>
        </is>
      </c>
      <c r="C10" s="40" t="n">
        <v>12</v>
      </c>
      <c r="D10" s="41" t="n">
        <v>12.72</v>
      </c>
      <c r="E10" s="42" t="n">
        <v>0.03</v>
      </c>
      <c r="F10" s="43">
        <f>(C10*D10)-((C10*D10)*E10)</f>
        <v/>
      </c>
      <c r="H10" s="26" t="inlineStr">
        <is>
          <t>2026/1/19030</t>
        </is>
      </c>
      <c r="I10" s="17" t="n">
        <v>134</v>
      </c>
      <c r="J10" s="27" t="n">
        <v>0.1</v>
      </c>
      <c r="L10" s="39" t="inlineStr">
        <is>
          <t>MAHOU 0,0 TOSTADA</t>
        </is>
      </c>
      <c r="M10" s="40" t="n">
        <v>3</v>
      </c>
      <c r="N10" s="41" t="n">
        <v>23.85</v>
      </c>
      <c r="O10" s="42" t="n">
        <v>0</v>
      </c>
      <c r="P10" s="43">
        <f>(M10*N10)-((M10*N10)*O10)</f>
        <v/>
      </c>
      <c r="R10" s="26" t="inlineStr">
        <is>
          <t>2026/1/24261</t>
        </is>
      </c>
      <c r="S10" s="17" t="n">
        <v>283.84</v>
      </c>
      <c r="T10" s="27" t="n">
        <v>0.21</v>
      </c>
    </row>
    <row r="11" ht="15" customHeight="1">
      <c r="B11" s="25" t="inlineStr">
        <is>
          <t>RED BULL SIN AZUCAR</t>
        </is>
      </c>
      <c r="C11" s="44" t="n">
        <v>1</v>
      </c>
      <c r="D11" s="19" t="n">
        <v>20.88</v>
      </c>
      <c r="E11" s="45" t="n">
        <v>0</v>
      </c>
      <c r="F11" s="17">
        <f>(C11*D11)-((C11*D11)*E11)</f>
        <v/>
      </c>
      <c r="H11" s="26" t="inlineStr">
        <is>
          <t>2026/1/19510</t>
        </is>
      </c>
      <c r="I11" s="17" t="n">
        <v>149.06</v>
      </c>
      <c r="J11" s="27" t="n">
        <v>0.21</v>
      </c>
      <c r="L11" s="25" t="inlineStr">
        <is>
          <t>ALBARAN</t>
        </is>
      </c>
      <c r="M11" s="44" t="n">
        <v>1</v>
      </c>
      <c r="N11" s="19" t="n">
        <v>1</v>
      </c>
      <c r="O11" s="45" t="n">
        <v>0.03</v>
      </c>
      <c r="P11" s="17">
        <f>(M11*N11)-((M11*N11)*O11)</f>
        <v/>
      </c>
      <c r="R11" s="26" t="inlineStr">
        <is>
          <t>2026/1/24376</t>
        </is>
      </c>
      <c r="S11" s="17" t="n">
        <v>53.6</v>
      </c>
      <c r="T11" s="27" t="n">
        <v>0.1</v>
      </c>
    </row>
    <row r="12">
      <c r="B12" s="39" t="inlineStr">
        <is>
          <t>MAHOU SIN GLUTEN</t>
        </is>
      </c>
      <c r="C12" s="40" t="n">
        <v>2</v>
      </c>
      <c r="D12" s="41" t="n">
        <v>21.95</v>
      </c>
      <c r="E12" s="42" t="n">
        <v>0</v>
      </c>
      <c r="F12" s="43">
        <f>(C12*D12)-((C12*D12)*E12)</f>
        <v/>
      </c>
      <c r="H12" s="26" t="inlineStr">
        <is>
          <t>2026/1/20194</t>
        </is>
      </c>
      <c r="I12" s="17" t="n">
        <v>180.19</v>
      </c>
      <c r="J12" s="27" t="n">
        <v>0.21</v>
      </c>
      <c r="L12" s="39" t="inlineStr">
        <is>
          <t>SOLAN DE CABRAS CON GAS</t>
        </is>
      </c>
      <c r="M12" s="40" t="n">
        <v>2</v>
      </c>
      <c r="N12" s="41" t="n">
        <v>26.8</v>
      </c>
      <c r="O12" s="42" t="n">
        <v>0</v>
      </c>
      <c r="P12" s="43">
        <f>(M12*N12)-((M12*N12)*O12)</f>
        <v/>
      </c>
      <c r="R12" s="26" t="inlineStr">
        <is>
          <t>2026/1/24376</t>
        </is>
      </c>
      <c r="S12" s="17" t="n">
        <v>1</v>
      </c>
      <c r="T12" s="27" t="n">
        <v>0.21</v>
      </c>
    </row>
    <row r="13">
      <c r="H13" s="26" t="inlineStr">
        <is>
          <t>2026/1/20864</t>
        </is>
      </c>
      <c r="I13" s="17" t="n">
        <v>44.9</v>
      </c>
      <c r="J13" s="27" t="n">
        <v>0.21</v>
      </c>
      <c r="L13" s="25" t="inlineStr">
        <is>
          <t>BARCELO AÑEJO</t>
        </is>
      </c>
      <c r="M13" s="44" t="n">
        <v>12</v>
      </c>
      <c r="N13" s="19" t="n">
        <v>12.72</v>
      </c>
      <c r="O13" s="45" t="n">
        <v>0.03</v>
      </c>
      <c r="P13" s="17">
        <f>(M13*N13)-((M13*N13)*O13)</f>
        <v/>
      </c>
      <c r="R13" s="26" t="inlineStr">
        <is>
          <t>2026/1/24385</t>
        </is>
      </c>
      <c r="S13" s="17" t="n">
        <v>148.06</v>
      </c>
      <c r="T13" s="27" t="n">
        <v>0.21</v>
      </c>
    </row>
  </sheetData>
  <mergeCells count="2">
    <mergeCell ref="B2:F3"/>
    <mergeCell ref="L2:P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A6A6A6"/>
    <outlinePr summaryBelow="1" summaryRight="1"/>
    <pageSetUpPr/>
  </sheetPr>
  <dimension ref="B2:AD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TARTA CHOCOLATE</t>
        </is>
      </c>
      <c r="C6" s="40">
        <f>2+4+2+1+3+3+2</f>
        <v/>
      </c>
      <c r="D6" s="41" t="n">
        <v>37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TARTA QUESO</t>
        </is>
      </c>
      <c r="M6" s="40">
        <f>3+3</f>
        <v/>
      </c>
      <c r="N6" s="41" t="n">
        <v>35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TARTA QUESO</t>
        </is>
      </c>
      <c r="W6" s="40">
        <f>1+1+3+2+4+1+3+2+4</f>
        <v/>
      </c>
      <c r="X6" s="41" t="n">
        <v>35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TARTA QUESO</t>
        </is>
      </c>
      <c r="C7" s="44">
        <f>1+4+2+1+3+3+2</f>
        <v/>
      </c>
      <c r="D7" s="19" t="n">
        <v>35</v>
      </c>
      <c r="E7" s="45" t="n">
        <v>0</v>
      </c>
      <c r="F7" s="17">
        <f>(C7*D7)-((C7*D7)*E7)</f>
        <v/>
      </c>
      <c r="L7" s="25" t="inlineStr">
        <is>
          <t>TARTA CHOCOLATE</t>
        </is>
      </c>
      <c r="M7" s="44">
        <f>3+3</f>
        <v/>
      </c>
      <c r="N7" s="19" t="n">
        <v>37</v>
      </c>
      <c r="O7" s="45" t="n">
        <v>0</v>
      </c>
      <c r="P7" s="17">
        <f>(M7*N7)-((M7*N7)*O7)</f>
        <v/>
      </c>
      <c r="V7" s="25" t="inlineStr">
        <is>
          <t>TARTA CHOCOLATE</t>
        </is>
      </c>
      <c r="W7" s="44">
        <f>1+1+4+2+1+2+3+1+4</f>
        <v/>
      </c>
      <c r="X7" s="19" t="n">
        <v>37</v>
      </c>
      <c r="Y7" s="45" t="n">
        <v>0</v>
      </c>
      <c r="Z7" s="17">
        <f>(W7*X7)-((W7*X7)*Y7)</f>
        <v/>
      </c>
    </row>
    <row r="8" ht="15" customHeight="1"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H9" s="26" t="inlineStr">
        <is>
          <t>A26/1816</t>
        </is>
      </c>
      <c r="I9" s="17" t="n">
        <v>109</v>
      </c>
      <c r="J9" s="27" t="n">
        <v>0.1</v>
      </c>
      <c r="R9" s="26" t="inlineStr">
        <is>
          <t>A26/2164</t>
        </is>
      </c>
      <c r="S9" s="17" t="n">
        <v>216</v>
      </c>
      <c r="T9" s="27" t="n">
        <v>0.1</v>
      </c>
      <c r="AB9" s="26" t="inlineStr">
        <is>
          <t>A26/2196</t>
        </is>
      </c>
      <c r="AC9" s="17" t="n">
        <v>72</v>
      </c>
      <c r="AD9" s="27" t="n">
        <v>0.1</v>
      </c>
    </row>
    <row r="10" ht="15" customHeight="1">
      <c r="H10" s="26" t="inlineStr">
        <is>
          <t>A26/1739</t>
        </is>
      </c>
      <c r="I10" s="17" t="n">
        <v>288</v>
      </c>
      <c r="J10" s="27" t="n">
        <v>0.1</v>
      </c>
      <c r="R10" s="26" t="inlineStr">
        <is>
          <t>A26/2116</t>
        </is>
      </c>
      <c r="S10" s="17" t="n">
        <v>216</v>
      </c>
      <c r="T10" s="27" t="n">
        <v>0.1</v>
      </c>
      <c r="AB10" s="26" t="inlineStr">
        <is>
          <t>A26/2248</t>
        </is>
      </c>
      <c r="AC10" s="17" t="n">
        <v>72</v>
      </c>
      <c r="AD10" s="27" t="n">
        <v>0.1</v>
      </c>
    </row>
    <row r="11" ht="15" customHeight="1">
      <c r="H11" s="26" t="inlineStr">
        <is>
          <t>A26/1957</t>
        </is>
      </c>
      <c r="I11" s="17" t="n">
        <v>144</v>
      </c>
      <c r="J11" s="27" t="n">
        <v>0.1</v>
      </c>
      <c r="AB11" s="26" t="inlineStr">
        <is>
          <t>A26/2286</t>
        </is>
      </c>
      <c r="AC11" s="17" t="n">
        <v>253</v>
      </c>
      <c r="AD11" s="27" t="n">
        <v>0.1</v>
      </c>
    </row>
    <row r="12">
      <c r="H12" s="26" t="inlineStr">
        <is>
          <t>A26/2026</t>
        </is>
      </c>
      <c r="I12" s="17" t="n">
        <v>72</v>
      </c>
      <c r="J12" s="27" t="n">
        <v>0.1</v>
      </c>
      <c r="AB12" s="26" t="inlineStr">
        <is>
          <t>A26/2345</t>
        </is>
      </c>
      <c r="AC12" s="17" t="n">
        <v>144</v>
      </c>
      <c r="AD12" s="27" t="n">
        <v>0.1</v>
      </c>
    </row>
    <row r="13">
      <c r="H13" s="26" t="inlineStr">
        <is>
          <t>A26/1984</t>
        </is>
      </c>
      <c r="I13" s="17" t="n">
        <v>216</v>
      </c>
      <c r="J13" s="27" t="n">
        <v>0.1</v>
      </c>
      <c r="AB13" s="26" t="inlineStr">
        <is>
          <t>A26/2386</t>
        </is>
      </c>
      <c r="AC13" s="17" t="n">
        <v>177</v>
      </c>
      <c r="AD13" s="27" t="n">
        <v>0.1</v>
      </c>
    </row>
    <row r="14">
      <c r="H14" s="26" t="inlineStr">
        <is>
          <t>A26/1892</t>
        </is>
      </c>
      <c r="I14" s="17" t="n">
        <v>216</v>
      </c>
      <c r="J14" s="27" t="n">
        <v>0.1</v>
      </c>
      <c r="AB14" s="26" t="inlineStr">
        <is>
          <t>A26/2426</t>
        </is>
      </c>
      <c r="AC14" s="17" t="n">
        <v>109</v>
      </c>
      <c r="AD14" s="27" t="n">
        <v>0.1</v>
      </c>
    </row>
    <row r="15">
      <c r="H15" s="26" t="inlineStr">
        <is>
          <t>A26/1840</t>
        </is>
      </c>
      <c r="I15" s="17" t="n">
        <v>144</v>
      </c>
      <c r="J15" s="27" t="n">
        <v>0.1</v>
      </c>
      <c r="AB15" s="26" t="inlineStr">
        <is>
          <t>A26/2474</t>
        </is>
      </c>
      <c r="AC15" s="17" t="n">
        <v>216</v>
      </c>
      <c r="AD15" s="27" t="n">
        <v>0.1</v>
      </c>
    </row>
    <row r="16">
      <c r="AB16" s="26" t="inlineStr">
        <is>
          <t>A26/2502</t>
        </is>
      </c>
      <c r="AC16" s="17" t="n">
        <v>107</v>
      </c>
      <c r="AD16" s="27" t="n">
        <v>0.1</v>
      </c>
    </row>
    <row r="17">
      <c r="AB17" s="26" t="inlineStr">
        <is>
          <t>A26/2542</t>
        </is>
      </c>
      <c r="AC17" s="17" t="n">
        <v>288</v>
      </c>
      <c r="AD17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A6A6A6"/>
    <outlinePr summaryBelow="1" summaryRight="1"/>
    <pageSetUpPr/>
  </sheetPr>
  <dimension ref="B2:AD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LOMO BELLOTA 100%</t>
        </is>
      </c>
      <c r="C6" s="40">
        <f>1.15</f>
        <v/>
      </c>
      <c r="D6" s="41" t="n">
        <v>48.6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LOMO BELLOTA 100%</t>
        </is>
      </c>
      <c r="M6" s="40" t="n">
        <v>1.1</v>
      </c>
      <c r="N6" s="41" t="n">
        <v>51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PAPADA IBERICA</t>
        </is>
      </c>
      <c r="W6" s="40">
        <f>20+12+10+20</f>
        <v/>
      </c>
      <c r="X6" s="41" t="n">
        <v>2.3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PAPADA IBERICA</t>
        </is>
      </c>
      <c r="C7" s="44">
        <f>10+15</f>
        <v/>
      </c>
      <c r="D7" s="19" t="n">
        <v>2.3</v>
      </c>
      <c r="E7" s="45" t="n">
        <v>0</v>
      </c>
      <c r="F7" s="17">
        <f>(C7*D7)-((C7*D7)*E7)</f>
        <v/>
      </c>
      <c r="L7" s="25" t="inlineStr">
        <is>
          <t>SALCHICHON IBERICO</t>
        </is>
      </c>
      <c r="M7" s="44" t="n">
        <v>1.29</v>
      </c>
      <c r="N7" s="19" t="n">
        <v>22</v>
      </c>
      <c r="O7" s="45" t="n">
        <v>0</v>
      </c>
      <c r="P7" s="17">
        <f>(M7*N7)-((M7*N7)*O7)</f>
        <v/>
      </c>
      <c r="V7" s="25" t="inlineStr">
        <is>
          <t>LOMO BELLOTA 100%</t>
        </is>
      </c>
      <c r="W7" s="44">
        <f>2.5+1.1+2.3</f>
        <v/>
      </c>
      <c r="X7" s="19" t="n">
        <v>51</v>
      </c>
      <c r="Y7" s="45" t="n">
        <v>0</v>
      </c>
      <c r="Z7" s="17">
        <f>(W7*X7)-((W7*X7)*Y7)</f>
        <v/>
      </c>
    </row>
    <row r="8" ht="15" customHeight="1">
      <c r="B8" s="39" t="inlineStr">
        <is>
          <t>SALCHICHON IBERICO</t>
        </is>
      </c>
      <c r="C8" s="40" t="n">
        <v>1.1</v>
      </c>
      <c r="D8" s="41" t="n">
        <v>22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SALCHICHON IBERICO</t>
        </is>
      </c>
      <c r="W8" s="40" t="n">
        <v>2.15</v>
      </c>
      <c r="X8" s="41" t="n">
        <v>22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LOMO BELLOTA 100%</t>
        </is>
      </c>
      <c r="C9" s="44" t="n">
        <v>1.1</v>
      </c>
      <c r="D9" s="19" t="n">
        <v>51</v>
      </c>
      <c r="E9" s="45" t="n">
        <v>0</v>
      </c>
      <c r="F9" s="17">
        <f>(C9*D9)-((C9*D9)*E9)</f>
        <v/>
      </c>
      <c r="H9" s="26" t="inlineStr">
        <is>
          <t>371</t>
        </is>
      </c>
      <c r="I9" s="17" t="n">
        <v>78.90000000000001</v>
      </c>
      <c r="J9" s="27" t="n">
        <v>0.1</v>
      </c>
      <c r="R9" s="26" t="inlineStr">
        <is>
          <t>0613</t>
        </is>
      </c>
      <c r="S9" s="17" t="n">
        <v>84.48</v>
      </c>
      <c r="T9" s="27" t="n">
        <v>0.1</v>
      </c>
      <c r="V9" s="25" t="inlineStr">
        <is>
          <t>SALCHICHON SEÑORIO</t>
        </is>
      </c>
      <c r="W9" s="44" t="n">
        <v>1.23</v>
      </c>
      <c r="X9" s="19" t="n">
        <v>22</v>
      </c>
      <c r="Y9" s="45" t="n">
        <v>0</v>
      </c>
      <c r="Z9" s="17">
        <f>(W9*X9)-((W9*X9)*Y9)</f>
        <v/>
      </c>
      <c r="AB9" s="26" t="inlineStr">
        <is>
          <t>0665</t>
        </is>
      </c>
      <c r="AC9" s="17" t="n">
        <v>173.5</v>
      </c>
      <c r="AD9" s="27" t="n">
        <v>0.1</v>
      </c>
    </row>
    <row r="10" ht="15" customHeight="1">
      <c r="H10" s="26" t="inlineStr">
        <is>
          <t>0465</t>
        </is>
      </c>
      <c r="I10" s="17" t="n">
        <v>80.3</v>
      </c>
      <c r="J10" s="27" t="n">
        <v>0.1</v>
      </c>
      <c r="V10" s="39" t="inlineStr">
        <is>
          <t>CHORIZO SEÑORIO</t>
        </is>
      </c>
      <c r="W10" s="40" t="n">
        <v>1.205</v>
      </c>
      <c r="X10" s="41" t="n">
        <v>22</v>
      </c>
      <c r="Y10" s="42" t="n">
        <v>0</v>
      </c>
      <c r="Z10" s="43">
        <f>(W10*X10)-((W10*X10)*Y10)</f>
        <v/>
      </c>
      <c r="AB10" s="26" t="inlineStr">
        <is>
          <t>0746</t>
        </is>
      </c>
      <c r="AC10" s="17" t="n">
        <v>74.90000000000001</v>
      </c>
      <c r="AD10" s="27" t="n">
        <v>0.1</v>
      </c>
    </row>
    <row r="11" ht="15" customHeight="1">
      <c r="H11" s="26" t="inlineStr">
        <is>
          <t>0524</t>
        </is>
      </c>
      <c r="I11" s="17" t="n">
        <v>34.5</v>
      </c>
      <c r="J11" s="27" t="n">
        <v>0.1</v>
      </c>
      <c r="AB11" s="26" t="inlineStr">
        <is>
          <t>0813</t>
        </is>
      </c>
      <c r="AC11" s="17" t="n">
        <v>79.09999999999999</v>
      </c>
      <c r="AD11" s="27" t="n">
        <v>0.1</v>
      </c>
    </row>
    <row r="12">
      <c r="AB12" s="26" t="inlineStr">
        <is>
          <t>0931</t>
        </is>
      </c>
      <c r="AC12" s="17" t="n">
        <v>163.3</v>
      </c>
      <c r="AD12" s="27" t="n">
        <v>0.1</v>
      </c>
    </row>
    <row r="13">
      <c r="AB13" s="26" t="inlineStr">
        <is>
          <t>0960</t>
        </is>
      </c>
      <c r="AC13" s="17" t="n">
        <v>53.57</v>
      </c>
      <c r="AD13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A6A6A6"/>
    <outlinePr summaryBelow="1" summaryRight="1"/>
    <pageSetUpPr/>
  </sheetPr>
  <dimension ref="B2:J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36" t="n">
        <v>46266</v>
      </c>
      <c r="C2" s="5" t="n"/>
      <c r="D2" s="5" t="n"/>
      <c r="E2" s="5" t="n"/>
      <c r="F2" s="5" t="n"/>
    </row>
    <row r="3" ht="15" customHeight="1">
      <c r="B3" s="5" t="n"/>
      <c r="C3" s="5" t="n"/>
      <c r="D3" s="5" t="n"/>
      <c r="E3" s="5" t="n"/>
      <c r="F3" s="5" t="n"/>
    </row>
    <row r="4" ht="15" customHeight="1">
      <c r="H4" s="37" t="inlineStr">
        <is>
          <t>TOTAL</t>
        </is>
      </c>
      <c r="I4" s="38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37" t="inlineStr">
        <is>
          <t>ALBARANES</t>
        </is>
      </c>
      <c r="I5" s="38">
        <f>SUM(I9:I300)</f>
        <v/>
      </c>
    </row>
    <row r="6" ht="15" customHeight="1">
      <c r="B6" s="39" t="inlineStr">
        <is>
          <t>GAMBA BLANCA FRESCA M</t>
        </is>
      </c>
      <c r="C6" s="40">
        <f>3+3+6</f>
        <v/>
      </c>
      <c r="D6" s="41" t="n">
        <v>26</v>
      </c>
      <c r="E6" s="42" t="n">
        <v>0</v>
      </c>
      <c r="F6" s="43">
        <f>(C6*D6)-((C6*D6)*E6)</f>
        <v/>
      </c>
      <c r="H6" s="37" t="inlineStr">
        <is>
          <t>DIFERENCIA</t>
        </is>
      </c>
      <c r="I6" s="38">
        <f>I5-I4</f>
        <v/>
      </c>
    </row>
    <row r="7" ht="15" customHeight="1"/>
    <row r="8" ht="15" customHeight="1">
      <c r="H8" s="4" t="inlineStr">
        <is>
          <t>Nº ALBARÁN</t>
        </is>
      </c>
      <c r="I8" s="4" t="inlineStr">
        <is>
          <t>BASE</t>
        </is>
      </c>
      <c r="J8" s="4" t="inlineStr">
        <is>
          <t>% IVA</t>
        </is>
      </c>
    </row>
    <row r="9" ht="15" customHeight="1">
      <c r="H9" s="26" t="inlineStr">
        <is>
          <t>J99/26/JJ/427</t>
        </is>
      </c>
      <c r="I9" s="17" t="n">
        <v>78</v>
      </c>
      <c r="J9" s="27" t="n">
        <v>0.1</v>
      </c>
    </row>
    <row r="10" ht="15" customHeight="1">
      <c r="H10" s="26" t="inlineStr">
        <is>
          <t>J99/26/JJ/430</t>
        </is>
      </c>
      <c r="I10" s="17" t="n">
        <v>78</v>
      </c>
      <c r="J10" s="27" t="n">
        <v>0.1</v>
      </c>
    </row>
    <row r="11" ht="15" customHeight="1">
      <c r="H11" s="26" t="inlineStr">
        <is>
          <t>J99/26/JJ/432</t>
        </is>
      </c>
      <c r="I11" s="17" t="n">
        <v>156</v>
      </c>
      <c r="J11" s="27" t="n">
        <v>0.1</v>
      </c>
    </row>
  </sheetData>
  <mergeCells count="1">
    <mergeCell ref="B2:F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A6A6A6"/>
    <outlinePr summaryBelow="1" summaryRight="1"/>
    <pageSetUpPr/>
  </sheetPr>
  <dimension ref="B2:A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FLOR DE ALCACHOFA CONFITADA A. ORUJO (20 uds)</t>
        </is>
      </c>
      <c r="C6" s="40">
        <f>4+4</f>
        <v/>
      </c>
      <c r="D6" s="41" t="n">
        <v>22.9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FLOR DE ALCACHOFA CONFITADA A. ORUJO (20 uds)</t>
        </is>
      </c>
      <c r="M6" s="40" t="n">
        <v>4</v>
      </c>
      <c r="N6" s="41" t="n">
        <v>22.9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FLOR DE ALCACHOFA CONFITADA A. ORUJO (20 uds)</t>
        </is>
      </c>
      <c r="W6" s="40">
        <f>4+4</f>
        <v/>
      </c>
      <c r="X6" s="41" t="n">
        <v>22.9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/>
    <row r="8" ht="15" customHeight="1"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H9" s="26" t="inlineStr">
        <is>
          <t>01-07/26</t>
        </is>
      </c>
      <c r="I9" s="17" t="n">
        <v>91.59999999999999</v>
      </c>
      <c r="J9" s="27" t="n">
        <v>0.1</v>
      </c>
      <c r="R9" s="26" t="inlineStr">
        <is>
          <t>01-08/26</t>
        </is>
      </c>
      <c r="S9" s="17" t="n">
        <v>91.59999999999999</v>
      </c>
      <c r="T9" s="27" t="n">
        <v>0.1</v>
      </c>
      <c r="AB9" s="26" t="inlineStr">
        <is>
          <t>01-09/26</t>
        </is>
      </c>
      <c r="AC9" s="17" t="n">
        <v>91.59999999999999</v>
      </c>
      <c r="AD9" s="27" t="n">
        <v>0.1</v>
      </c>
    </row>
    <row r="10" ht="15" customHeight="1">
      <c r="H10" s="26" t="inlineStr">
        <is>
          <t>02-07/26</t>
        </is>
      </c>
      <c r="I10" s="17" t="n">
        <v>91.59999999999999</v>
      </c>
      <c r="J10" s="27" t="n">
        <v>0.1</v>
      </c>
      <c r="AB10" s="26" t="inlineStr">
        <is>
          <t>02-09/26</t>
        </is>
      </c>
      <c r="AC10" s="17" t="n">
        <v>91.59999999999999</v>
      </c>
      <c r="AD10" s="27" t="n">
        <v>0.1</v>
      </c>
    </row>
    <row r="11" ht="15" customHeight="1"/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A6A6A6"/>
    <outlinePr summaryBelow="1" summaryRight="1"/>
    <pageSetUpPr/>
  </sheetPr>
  <dimension ref="B2:J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46" t="n">
        <v>46204</v>
      </c>
      <c r="C2" s="47" t="n"/>
      <c r="D2" s="47" t="n"/>
      <c r="E2" s="47" t="n"/>
      <c r="F2" s="47" t="n"/>
    </row>
    <row r="3" ht="15" customHeight="1">
      <c r="B3" s="47" t="n"/>
      <c r="C3" s="47" t="n"/>
      <c r="D3" s="47" t="n"/>
      <c r="E3" s="47" t="n"/>
      <c r="F3" s="47" t="n"/>
    </row>
    <row r="4" ht="15" customHeight="1">
      <c r="H4" s="50" t="inlineStr">
        <is>
          <t>TOTAL</t>
        </is>
      </c>
      <c r="I4" s="51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</row>
    <row r="6" ht="15" customHeight="1">
      <c r="B6" s="39" t="inlineStr">
        <is>
          <t>LIMON</t>
        </is>
      </c>
      <c r="C6" s="40">
        <f>9.18</f>
        <v/>
      </c>
      <c r="D6" s="41" t="n">
        <v>3.6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</row>
    <row r="7" ht="15" customHeight="1">
      <c r="B7" s="25" t="inlineStr">
        <is>
          <t>PIMIENTO ROJO</t>
        </is>
      </c>
      <c r="C7" s="44">
        <f>3.115</f>
        <v/>
      </c>
      <c r="D7" s="19" t="n">
        <v>4.3</v>
      </c>
      <c r="E7" s="45" t="n">
        <v>0</v>
      </c>
      <c r="F7" s="17">
        <f>(C7*D7)-((C7*D7)*E7)</f>
        <v/>
      </c>
    </row>
    <row r="8" ht="15" customHeight="1">
      <c r="B8" s="39" t="inlineStr">
        <is>
          <t>CEBOLLETA CHINA</t>
        </is>
      </c>
      <c r="C8" s="40" t="n">
        <v>2</v>
      </c>
      <c r="D8" s="41" t="n">
        <v>2.2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</row>
    <row r="9" ht="15" customHeight="1">
      <c r="B9" s="25" t="inlineStr">
        <is>
          <t>PEREJIL</t>
        </is>
      </c>
      <c r="C9" s="44" t="n">
        <v>1</v>
      </c>
      <c r="D9" s="19" t="n">
        <v>1.6</v>
      </c>
      <c r="E9" s="45" t="n">
        <v>0</v>
      </c>
      <c r="F9" s="17">
        <f>(C9*D9)-((C9*D9)*E9)</f>
        <v/>
      </c>
      <c r="H9" s="26" t="inlineStr">
        <is>
          <t>08/07/2026</t>
        </is>
      </c>
      <c r="I9" s="17" t="n">
        <v>91.2</v>
      </c>
      <c r="J9" s="27" t="n">
        <v>0.04</v>
      </c>
    </row>
    <row r="10" ht="15" customHeight="1">
      <c r="B10" s="39" t="inlineStr">
        <is>
          <t>TOMATE IBERICO</t>
        </is>
      </c>
      <c r="C10" s="40">
        <f>5.96+5.205</f>
        <v/>
      </c>
      <c r="D10" s="41" t="n">
        <v>5.8</v>
      </c>
      <c r="E10" s="42" t="n">
        <v>0</v>
      </c>
      <c r="F10" s="43">
        <f>(C10*D10)-((C10*D10)*E10)</f>
        <v/>
      </c>
      <c r="H10" s="26" t="inlineStr">
        <is>
          <t>03/07/2026</t>
        </is>
      </c>
      <c r="I10" s="17" t="n">
        <v>67.79000000000001</v>
      </c>
      <c r="J10" s="27" t="n">
        <v>0.04</v>
      </c>
    </row>
    <row r="11" ht="15" customHeight="1">
      <c r="B11" s="25" t="inlineStr">
        <is>
          <t>LECHUGA BATAVIA</t>
        </is>
      </c>
      <c r="C11" s="44" t="n">
        <v>2</v>
      </c>
      <c r="D11" s="19" t="n">
        <v>2.1</v>
      </c>
      <c r="E11" s="45" t="n">
        <v>0</v>
      </c>
      <c r="F11" s="17">
        <f>(C11*D11)-((C11*D11)*E11)</f>
        <v/>
      </c>
    </row>
    <row r="12">
      <c r="B12" s="39" t="inlineStr">
        <is>
          <t>CEBOLLETAS</t>
        </is>
      </c>
      <c r="C12" s="40" t="n">
        <v>6</v>
      </c>
      <c r="D12" s="41" t="n">
        <v>2.1</v>
      </c>
      <c r="E12" s="42" t="n">
        <v>0</v>
      </c>
      <c r="F12" s="43">
        <f>(C12*D12)-((C12*D12)*E12)</f>
        <v/>
      </c>
    </row>
    <row r="13">
      <c r="B13" s="25" t="inlineStr">
        <is>
          <t>PATATAS CREMA (saco 25 kg)</t>
        </is>
      </c>
      <c r="C13" s="44" t="n">
        <v>1</v>
      </c>
      <c r="D13" s="19" t="n">
        <v>25</v>
      </c>
      <c r="E13" s="45" t="n">
        <v>0</v>
      </c>
      <c r="F13" s="17">
        <f>(C13*D13)-((C13*D13)*E13)</f>
        <v/>
      </c>
    </row>
  </sheetData>
  <mergeCells count="1">
    <mergeCell ref="B2:F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A6A6A6"/>
    <outlinePr summaryBelow="1" summaryRight="1"/>
    <pageSetUpPr/>
  </sheetPr>
  <dimension ref="B2:J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36" t="n">
        <v>46266</v>
      </c>
      <c r="C2" s="5" t="n"/>
      <c r="D2" s="5" t="n"/>
      <c r="E2" s="5" t="n"/>
      <c r="F2" s="5" t="n"/>
    </row>
    <row r="3" ht="15" customHeight="1">
      <c r="B3" s="5" t="n"/>
      <c r="C3" s="5" t="n"/>
      <c r="D3" s="5" t="n"/>
      <c r="E3" s="5" t="n"/>
      <c r="F3" s="5" t="n"/>
    </row>
    <row r="4" ht="15" customHeight="1">
      <c r="H4" s="37" t="inlineStr">
        <is>
          <t>TOTAL</t>
        </is>
      </c>
      <c r="I4" s="38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37" t="inlineStr">
        <is>
          <t>ALBARANES</t>
        </is>
      </c>
      <c r="I5" s="38">
        <f>SUM(I9:I300)</f>
        <v/>
      </c>
    </row>
    <row r="6" ht="15" customHeight="1">
      <c r="B6" s="39" t="inlineStr">
        <is>
          <t>HIELO ESPECIAL COCKTELERIA SACO 10KG NUGGETS</t>
        </is>
      </c>
      <c r="C6" s="40">
        <f>10+7+10+14+5+7+12+10</f>
        <v/>
      </c>
      <c r="D6" s="41" t="n">
        <v>5</v>
      </c>
      <c r="E6" s="42" t="n">
        <v>0</v>
      </c>
      <c r="F6" s="43">
        <f>(C6*D6)-((C6*D6)*E6)</f>
        <v/>
      </c>
      <c r="H6" s="37" t="inlineStr">
        <is>
          <t>DIFERENCIA</t>
        </is>
      </c>
      <c r="I6" s="38">
        <f>I5-I4</f>
        <v/>
      </c>
    </row>
    <row r="7" ht="15" customHeight="1">
      <c r="B7" s="25" t="inlineStr">
        <is>
          <t>HIELO PILE (saco)</t>
        </is>
      </c>
      <c r="C7" s="44" t="n">
        <v>14</v>
      </c>
      <c r="D7" s="19" t="n">
        <v>5</v>
      </c>
      <c r="E7" s="45" t="n">
        <v>0</v>
      </c>
      <c r="F7" s="17">
        <f>(C7*D7)-((C7*D7)*E7)</f>
        <v/>
      </c>
    </row>
    <row r="8" ht="15" customHeight="1">
      <c r="B8" s="39" t="inlineStr">
        <is>
          <t>CUBITOS DE HIELO VOGT SACO 10KG</t>
        </is>
      </c>
      <c r="C8" s="40">
        <f>20+10+8+15+8+20+20</f>
        <v/>
      </c>
      <c r="D8" s="41" t="n">
        <v>4</v>
      </c>
      <c r="E8" s="42" t="n">
        <v>0</v>
      </c>
      <c r="F8" s="43">
        <f>(C8*D8)-((C8*D8)*E8)</f>
        <v/>
      </c>
      <c r="H8" s="4" t="inlineStr">
        <is>
          <t>Nº ALBARÁN</t>
        </is>
      </c>
      <c r="I8" s="4" t="inlineStr">
        <is>
          <t>BASE</t>
        </is>
      </c>
      <c r="J8" s="4" t="inlineStr">
        <is>
          <t>% IVA</t>
        </is>
      </c>
    </row>
    <row r="9" ht="15" customHeight="1">
      <c r="H9" s="26" t="inlineStr">
        <is>
          <t>s/n (29/08)</t>
        </is>
      </c>
      <c r="I9" s="17" t="n">
        <v>50</v>
      </c>
      <c r="J9" s="27" t="n">
        <v>0</v>
      </c>
    </row>
    <row r="10" ht="15" customHeight="1">
      <c r="H10" s="26" t="inlineStr">
        <is>
          <t>00127637 (08/09)</t>
        </is>
      </c>
      <c r="I10" s="17" t="n">
        <v>70</v>
      </c>
      <c r="J10" s="27" t="n">
        <v>0</v>
      </c>
    </row>
    <row r="11" ht="15" customHeight="1">
      <c r="H11" s="26" t="inlineStr">
        <is>
          <t>s/n (10/09)</t>
        </is>
      </c>
      <c r="I11" s="17" t="n">
        <v>115</v>
      </c>
      <c r="J11" s="27" t="n">
        <v>0</v>
      </c>
    </row>
    <row r="12">
      <c r="H12" s="26" t="inlineStr">
        <is>
          <t>s/n (12/09)</t>
        </is>
      </c>
      <c r="I12" s="17" t="n">
        <v>90</v>
      </c>
      <c r="J12" s="27" t="n">
        <v>0</v>
      </c>
    </row>
    <row r="13">
      <c r="H13" s="26" t="inlineStr">
        <is>
          <t>s/n (15/09)</t>
        </is>
      </c>
      <c r="I13" s="17" t="n">
        <v>102</v>
      </c>
      <c r="J13" s="27" t="n">
        <v>0</v>
      </c>
    </row>
    <row r="14">
      <c r="H14" s="26" t="inlineStr">
        <is>
          <t>s/n (17/09)</t>
        </is>
      </c>
      <c r="I14" s="17" t="n">
        <v>85</v>
      </c>
      <c r="J14" s="27" t="n">
        <v>0</v>
      </c>
    </row>
    <row r="15">
      <c r="H15" s="26" t="inlineStr">
        <is>
          <t>s/n (19/09)</t>
        </is>
      </c>
      <c r="I15" s="17" t="n">
        <v>67</v>
      </c>
      <c r="J15" s="27" t="n">
        <v>0</v>
      </c>
    </row>
    <row r="16">
      <c r="H16" s="26" t="inlineStr">
        <is>
          <t>s/n (22/09)</t>
        </is>
      </c>
      <c r="I16" s="17" t="n">
        <v>140</v>
      </c>
      <c r="J16" s="27" t="n">
        <v>0</v>
      </c>
    </row>
    <row r="17">
      <c r="H17" s="26" t="inlineStr">
        <is>
          <t>s/n (26/09)</t>
        </is>
      </c>
      <c r="I17" s="17" t="n">
        <v>130</v>
      </c>
      <c r="J17" s="27" t="n">
        <v>0</v>
      </c>
    </row>
  </sheetData>
  <mergeCells count="1">
    <mergeCell ref="B2:F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A6A6A6"/>
    <outlinePr summaryBelow="1" summaryRight="1"/>
    <pageSetUpPr/>
  </sheetPr>
  <dimension ref="B2:J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36" t="n">
        <v>46266</v>
      </c>
      <c r="C2" s="5" t="n"/>
      <c r="D2" s="5" t="n"/>
      <c r="E2" s="5" t="n"/>
      <c r="F2" s="5" t="n"/>
    </row>
    <row r="3" ht="15" customHeight="1">
      <c r="B3" s="5" t="n"/>
      <c r="C3" s="5" t="n"/>
      <c r="D3" s="5" t="n"/>
      <c r="E3" s="5" t="n"/>
      <c r="F3" s="5" t="n"/>
    </row>
    <row r="4" ht="15" customHeight="1">
      <c r="H4" s="37" t="inlineStr">
        <is>
          <t>TOTAL</t>
        </is>
      </c>
      <c r="I4" s="38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37" t="inlineStr">
        <is>
          <t>ALBARANES</t>
        </is>
      </c>
      <c r="I5" s="38">
        <f>SUM(I9:I300)</f>
        <v/>
      </c>
    </row>
    <row r="6" ht="15" customHeight="1">
      <c r="B6" s="39" t="inlineStr">
        <is>
          <t>GARRAFA ACEITE GIRASOL 5L</t>
        </is>
      </c>
      <c r="C6" s="40" t="n">
        <v>12</v>
      </c>
      <c r="D6" s="41" t="n">
        <v>10.85</v>
      </c>
      <c r="E6" s="42" t="n">
        <v>0</v>
      </c>
      <c r="F6" s="43">
        <f>(C6*D6)-((C6*D6)*E6)</f>
        <v/>
      </c>
      <c r="H6" s="37" t="inlineStr">
        <is>
          <t>DIFERENCIA</t>
        </is>
      </c>
      <c r="I6" s="38">
        <f>I5-I4</f>
        <v/>
      </c>
    </row>
    <row r="7" ht="15" customHeight="1">
      <c r="B7" s="25" t="inlineStr">
        <is>
          <t>BOLSA ATUN</t>
        </is>
      </c>
      <c r="C7" s="44" t="n">
        <v>40</v>
      </c>
      <c r="D7" s="19" t="n">
        <v>7.95</v>
      </c>
      <c r="E7" s="45" t="n">
        <v>0</v>
      </c>
      <c r="F7" s="17">
        <f>(C7*D7)-((C7*D7)*E7)</f>
        <v/>
      </c>
    </row>
    <row r="8" ht="15" customHeight="1">
      <c r="H8" s="4" t="inlineStr">
        <is>
          <t>Nº ALBARÁN</t>
        </is>
      </c>
      <c r="I8" s="4" t="inlineStr">
        <is>
          <t>BASE</t>
        </is>
      </c>
      <c r="J8" s="4" t="inlineStr">
        <is>
          <t>% IVA</t>
        </is>
      </c>
    </row>
    <row r="9" ht="15" customHeight="1">
      <c r="H9" s="26" t="inlineStr">
        <is>
          <t>ALB2</t>
        </is>
      </c>
      <c r="I9" s="17" t="n">
        <v>448.2</v>
      </c>
      <c r="J9" s="27" t="n">
        <v>0.1</v>
      </c>
    </row>
    <row r="10" ht="15" customHeight="1"/>
    <row r="11" ht="15" customHeight="1"/>
  </sheetData>
  <mergeCells count="1">
    <mergeCell ref="B2:F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A6A6A6"/>
    <outlinePr summaryBelow="1" summaryRight="1"/>
    <pageSetUpPr/>
  </sheetPr>
  <dimension ref="B2:J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48" t="n">
        <v>46235</v>
      </c>
      <c r="C2" s="49" t="n"/>
      <c r="D2" s="49" t="n"/>
      <c r="E2" s="49" t="n"/>
      <c r="F2" s="49" t="n"/>
    </row>
    <row r="3" ht="15" customHeight="1">
      <c r="B3" s="49" t="n"/>
      <c r="C3" s="49" t="n"/>
      <c r="D3" s="49" t="n"/>
      <c r="E3" s="49" t="n"/>
      <c r="F3" s="49" t="n"/>
    </row>
    <row r="4" ht="15" customHeight="1">
      <c r="H4" s="52" t="inlineStr">
        <is>
          <t>TOTAL</t>
        </is>
      </c>
      <c r="I4" s="53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2" t="inlineStr">
        <is>
          <t>ALBARANES</t>
        </is>
      </c>
      <c r="I5" s="53">
        <f>SUM(I9:I300)</f>
        <v/>
      </c>
    </row>
    <row r="6" ht="15" customHeight="1">
      <c r="B6" s="39" t="inlineStr">
        <is>
          <t>VENTRESCA ATUN ROJO AHUMADO LONCHEADO 1 KG</t>
        </is>
      </c>
      <c r="C6" s="40" t="n">
        <v>6</v>
      </c>
      <c r="D6" s="41" t="n">
        <v>83.5</v>
      </c>
      <c r="E6" s="42" t="n">
        <v>0</v>
      </c>
      <c r="F6" s="43">
        <f>(C6*D6)-((C6*D6)*E6)</f>
        <v/>
      </c>
      <c r="H6" s="52" t="inlineStr">
        <is>
          <t>DIFERENCIA</t>
        </is>
      </c>
      <c r="I6" s="53">
        <f>I5-I4</f>
        <v/>
      </c>
    </row>
    <row r="7" ht="15" customHeight="1">
      <c r="B7" s="25" t="inlineStr">
        <is>
          <t>PORTES</t>
        </is>
      </c>
      <c r="C7" s="44" t="n">
        <v>1</v>
      </c>
      <c r="D7" s="19" t="n">
        <v>15</v>
      </c>
      <c r="E7" s="45" t="n">
        <v>0</v>
      </c>
      <c r="F7" s="17">
        <f>(C7*D7)-((C7*D7)*E7)</f>
        <v/>
      </c>
    </row>
    <row r="8" ht="15" customHeight="1">
      <c r="H8" s="55" t="inlineStr">
        <is>
          <t>Nº ALBARÁN</t>
        </is>
      </c>
      <c r="I8" s="55" t="inlineStr">
        <is>
          <t>BASE</t>
        </is>
      </c>
      <c r="J8" s="55" t="inlineStr">
        <is>
          <t>% IVA</t>
        </is>
      </c>
    </row>
    <row r="9" ht="15" customHeight="1">
      <c r="H9" s="26" t="inlineStr">
        <is>
          <t>A3774</t>
        </is>
      </c>
      <c r="I9" s="17" t="n">
        <v>501</v>
      </c>
      <c r="J9" s="27" t="n">
        <v>0.1</v>
      </c>
    </row>
    <row r="10" ht="15" customHeight="1">
      <c r="H10" s="26" t="inlineStr">
        <is>
          <t>A3774</t>
        </is>
      </c>
      <c r="I10" s="17" t="n">
        <v>15</v>
      </c>
      <c r="J10" s="27" t="n">
        <v>0.21</v>
      </c>
    </row>
    <row r="11" ht="15" customHeight="1"/>
  </sheetData>
  <mergeCells count="1">
    <mergeCell ref="B2:F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A6A6A6"/>
    <outlinePr summaryBelow="1" summaryRight="1"/>
    <pageSetUpPr/>
  </sheetPr>
  <dimension ref="B2:J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46" t="n">
        <v>46204</v>
      </c>
      <c r="C2" s="47" t="n"/>
      <c r="D2" s="47" t="n"/>
      <c r="E2" s="47" t="n"/>
      <c r="F2" s="47" t="n"/>
    </row>
    <row r="3" ht="15" customHeight="1">
      <c r="B3" s="47" t="n"/>
      <c r="C3" s="47" t="n"/>
      <c r="D3" s="47" t="n"/>
      <c r="E3" s="47" t="n"/>
      <c r="F3" s="47" t="n"/>
    </row>
    <row r="4" ht="15" customHeight="1">
      <c r="H4" s="50" t="inlineStr">
        <is>
          <t>TOTAL</t>
        </is>
      </c>
      <c r="I4" s="51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</row>
    <row r="6" ht="15" customHeight="1">
      <c r="B6" s="39" t="inlineStr">
        <is>
          <t>VENTRESCA ATUN CLARO OLIVA RO1030 (latas)</t>
        </is>
      </c>
      <c r="C6" s="40" t="n">
        <v>30</v>
      </c>
      <c r="D6" s="41" t="n">
        <v>24.95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</row>
    <row r="7" ht="15" customHeight="1"/>
    <row r="8" ht="15" customHeight="1"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</row>
    <row r="9" ht="15" customHeight="1">
      <c r="H9" s="26" t="inlineStr">
        <is>
          <t>2026-260494</t>
        </is>
      </c>
      <c r="I9" s="17" t="n">
        <v>748.5</v>
      </c>
      <c r="J9" s="27" t="n">
        <v>0.1</v>
      </c>
    </row>
    <row r="10" ht="15" customHeight="1"/>
    <row r="11" ht="15" customHeight="1"/>
  </sheetData>
  <mergeCells count="1">
    <mergeCell ref="B2:F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A6A6A6"/>
    <outlinePr summaryBelow="1" summaryRight="1"/>
    <pageSetUpPr/>
  </sheetPr>
  <dimension ref="B2:T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</cols>
  <sheetData>
    <row r="2" ht="15" customHeight="1">
      <c r="B2" s="46" t="n">
        <v>46204</v>
      </c>
      <c r="C2" s="47" t="n"/>
      <c r="D2" s="47" t="n"/>
      <c r="E2" s="47" t="n"/>
      <c r="F2" s="47" t="n"/>
      <c r="L2" s="36" t="n">
        <v>46266</v>
      </c>
      <c r="M2" s="5" t="n"/>
      <c r="N2" s="5" t="n"/>
      <c r="O2" s="5" t="n"/>
      <c r="P2" s="5" t="n"/>
    </row>
    <row r="3" ht="15" customHeight="1">
      <c r="B3" s="47" t="n"/>
      <c r="C3" s="47" t="n"/>
      <c r="D3" s="47" t="n"/>
      <c r="E3" s="47" t="n"/>
      <c r="F3" s="47" t="n"/>
      <c r="L3" s="5" t="n"/>
      <c r="M3" s="5" t="n"/>
      <c r="N3" s="5" t="n"/>
      <c r="O3" s="5" t="n"/>
      <c r="P3" s="5" t="n"/>
    </row>
    <row r="4" ht="15" customHeight="1">
      <c r="H4" s="50" t="inlineStr">
        <is>
          <t>TOTAL</t>
        </is>
      </c>
      <c r="I4" s="51">
        <f>SUM(F6:F300)</f>
        <v/>
      </c>
      <c r="R4" s="37" t="inlineStr">
        <is>
          <t>TOTAL</t>
        </is>
      </c>
      <c r="S4" s="38">
        <f>SUM(P6:P300)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37" t="inlineStr">
        <is>
          <t>ALBARANES</t>
        </is>
      </c>
      <c r="S5" s="38">
        <f>SUM(S9:S300)</f>
        <v/>
      </c>
    </row>
    <row r="6" ht="15" customHeight="1">
      <c r="B6" s="39" t="inlineStr">
        <is>
          <t>BOQUERON GORDO</t>
        </is>
      </c>
      <c r="C6" s="40" t="n">
        <v>5</v>
      </c>
      <c r="D6" s="41" t="n">
        <v>12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BOQUERON GORDO</t>
        </is>
      </c>
      <c r="M6" s="40">
        <f>3+2.5+4+3+4+2+2+3</f>
        <v/>
      </c>
      <c r="N6" s="41" t="n">
        <v>10</v>
      </c>
      <c r="O6" s="42" t="n">
        <v>0</v>
      </c>
      <c r="P6" s="43">
        <f>(M6*N6)-((M6*N6)*O6)</f>
        <v/>
      </c>
      <c r="R6" s="37" t="inlineStr">
        <is>
          <t>DIFERENCIA</t>
        </is>
      </c>
      <c r="S6" s="38">
        <f>S5-S4</f>
        <v/>
      </c>
    </row>
    <row r="7" ht="15" customHeight="1">
      <c r="B7" s="25" t="inlineStr">
        <is>
          <t>BOQUERON GORDO</t>
        </is>
      </c>
      <c r="C7" s="44">
        <f>3+2+3+3+3+3</f>
        <v/>
      </c>
      <c r="D7" s="19" t="n">
        <v>11</v>
      </c>
      <c r="E7" s="45" t="n">
        <v>0</v>
      </c>
      <c r="F7" s="17">
        <f>(C7*D7)-((C7*D7)*E7)</f>
        <v/>
      </c>
      <c r="L7" s="25" t="inlineStr">
        <is>
          <t>PARROCHAS</t>
        </is>
      </c>
      <c r="M7" s="44">
        <f>1+1+1+1.5+1+1+1</f>
        <v/>
      </c>
      <c r="N7" s="19" t="n">
        <v>8</v>
      </c>
      <c r="O7" s="45" t="n">
        <v>0</v>
      </c>
      <c r="P7" s="17">
        <f>(M7*N7)-((M7*N7)*O7)</f>
        <v/>
      </c>
    </row>
    <row r="8" ht="15" customHeight="1">
      <c r="B8" s="39" t="inlineStr">
        <is>
          <t>PARROCHAS</t>
        </is>
      </c>
      <c r="C8" s="40">
        <f>2+1+1+1+1+1</f>
        <v/>
      </c>
      <c r="D8" s="41" t="n">
        <v>7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BOQUERON GORDO</t>
        </is>
      </c>
      <c r="M8" s="40" t="n">
        <v>3</v>
      </c>
      <c r="N8" s="41" t="n">
        <v>11</v>
      </c>
      <c r="O8" s="42" t="n">
        <v>0</v>
      </c>
      <c r="P8" s="43">
        <f>(M8*N8)-((M8*N8)*O8)</f>
        <v/>
      </c>
      <c r="R8" s="4" t="inlineStr">
        <is>
          <t>Nº ALBARÁN</t>
        </is>
      </c>
      <c r="S8" s="4" t="inlineStr">
        <is>
          <t>BASE</t>
        </is>
      </c>
      <c r="T8" s="4" t="inlineStr">
        <is>
          <t>% IVA</t>
        </is>
      </c>
    </row>
    <row r="9" ht="15" customHeight="1">
      <c r="B9" s="25" t="inlineStr">
        <is>
          <t>BOQUERON GORDO</t>
        </is>
      </c>
      <c r="C9" s="44">
        <f>2+3</f>
        <v/>
      </c>
      <c r="D9" s="19" t="n">
        <v>10</v>
      </c>
      <c r="E9" s="45" t="n">
        <v>0</v>
      </c>
      <c r="F9" s="17">
        <f>(C9*D9)-((C9*D9)*E9)</f>
        <v/>
      </c>
      <c r="H9" s="26" t="inlineStr">
        <is>
          <t>130</t>
        </is>
      </c>
      <c r="I9" s="17" t="n">
        <v>24</v>
      </c>
      <c r="J9" s="27" t="n">
        <v>0.1</v>
      </c>
      <c r="R9" s="26" t="inlineStr">
        <is>
          <t>162</t>
        </is>
      </c>
      <c r="S9" s="17" t="n">
        <v>38</v>
      </c>
      <c r="T9" s="27" t="n">
        <v>0.1</v>
      </c>
    </row>
    <row r="10" ht="15" customHeight="1">
      <c r="B10" s="39" t="inlineStr">
        <is>
          <t>PARROCHAS</t>
        </is>
      </c>
      <c r="C10" s="40">
        <f>1+1+1</f>
        <v/>
      </c>
      <c r="D10" s="41" t="n">
        <v>7.8</v>
      </c>
      <c r="E10" s="42" t="n">
        <v>0</v>
      </c>
      <c r="F10" s="43">
        <f>(C10*D10)-((C10*D10)*E10)</f>
        <v/>
      </c>
      <c r="H10" s="26" t="inlineStr">
        <is>
          <t>128</t>
        </is>
      </c>
      <c r="I10" s="17" t="n">
        <v>33</v>
      </c>
      <c r="J10" s="27" t="n">
        <v>0.1</v>
      </c>
      <c r="R10" s="26" t="inlineStr">
        <is>
          <t>164</t>
        </is>
      </c>
      <c r="S10" s="17" t="n">
        <v>25</v>
      </c>
      <c r="T10" s="27" t="n">
        <v>0.1</v>
      </c>
    </row>
    <row r="11" ht="15" customHeight="1">
      <c r="B11" s="25" t="inlineStr">
        <is>
          <t>BOQUERON GORDO</t>
        </is>
      </c>
      <c r="C11" s="44" t="n">
        <v>3</v>
      </c>
      <c r="D11" s="19" t="n">
        <v>9.5</v>
      </c>
      <c r="E11" s="45" t="n">
        <v>0</v>
      </c>
      <c r="F11" s="17">
        <f>(C11*D11)-((C11*D11)*E11)</f>
        <v/>
      </c>
      <c r="H11" s="26" t="inlineStr">
        <is>
          <t>126</t>
        </is>
      </c>
      <c r="I11" s="17" t="n">
        <v>43</v>
      </c>
      <c r="J11" s="27" t="n">
        <v>0.1</v>
      </c>
      <c r="R11" s="26" t="inlineStr">
        <is>
          <t>166</t>
        </is>
      </c>
      <c r="S11" s="17" t="n">
        <v>48</v>
      </c>
      <c r="T11" s="27" t="n">
        <v>0.1</v>
      </c>
    </row>
    <row r="12">
      <c r="B12" s="39" t="inlineStr">
        <is>
          <t>BOQUERON GORDO (alb. 149 - ¿precio erróneo?)</t>
        </is>
      </c>
      <c r="C12" s="40" t="n">
        <v>1</v>
      </c>
      <c r="D12" s="41" t="n">
        <v>46.2</v>
      </c>
      <c r="E12" s="42" t="n">
        <v>0</v>
      </c>
      <c r="F12" s="43">
        <f>(C12*D12)-((C12*D12)*E12)</f>
        <v/>
      </c>
      <c r="H12" s="26" t="inlineStr">
        <is>
          <t>121</t>
        </is>
      </c>
      <c r="I12" s="17" t="n">
        <v>7</v>
      </c>
      <c r="J12" s="27" t="n">
        <v>0.1</v>
      </c>
      <c r="R12" s="26" t="inlineStr">
        <is>
          <t>168</t>
        </is>
      </c>
      <c r="S12" s="17" t="n">
        <v>8</v>
      </c>
      <c r="T12" s="27" t="n">
        <v>0.1</v>
      </c>
    </row>
    <row r="13">
      <c r="H13" s="26" t="inlineStr">
        <is>
          <t>113</t>
        </is>
      </c>
      <c r="I13" s="17" t="n">
        <v>7</v>
      </c>
      <c r="J13" s="27" t="n">
        <v>0.1</v>
      </c>
      <c r="R13" s="26" t="inlineStr">
        <is>
          <t>172</t>
        </is>
      </c>
      <c r="S13" s="17" t="n">
        <v>42</v>
      </c>
      <c r="T13" s="27" t="n">
        <v>0.1</v>
      </c>
    </row>
    <row r="14">
      <c r="H14" s="26" t="inlineStr">
        <is>
          <t>114</t>
        </is>
      </c>
      <c r="I14" s="17" t="n">
        <v>20</v>
      </c>
      <c r="J14" s="27" t="n">
        <v>0.1</v>
      </c>
      <c r="R14" s="26" t="inlineStr">
        <is>
          <t>174</t>
        </is>
      </c>
      <c r="S14" s="17" t="n">
        <v>40</v>
      </c>
      <c r="T14" s="27" t="n">
        <v>0.1</v>
      </c>
    </row>
    <row r="15">
      <c r="H15" s="26" t="inlineStr">
        <is>
          <t>119</t>
        </is>
      </c>
      <c r="I15" s="17" t="n">
        <v>29</v>
      </c>
      <c r="J15" s="27" t="n">
        <v>0.1</v>
      </c>
      <c r="R15" s="26" t="inlineStr">
        <is>
          <t>176</t>
        </is>
      </c>
      <c r="S15" s="17" t="n">
        <v>20</v>
      </c>
      <c r="T15" s="27" t="n">
        <v>0.1</v>
      </c>
    </row>
    <row r="16">
      <c r="H16" s="26" t="inlineStr">
        <is>
          <t>145</t>
        </is>
      </c>
      <c r="I16" s="17" t="n">
        <v>40.8</v>
      </c>
      <c r="J16" s="27" t="n">
        <v>0.1</v>
      </c>
      <c r="R16" s="26" t="inlineStr">
        <is>
          <t>177</t>
        </is>
      </c>
      <c r="S16" s="17" t="n">
        <v>28</v>
      </c>
      <c r="T16" s="27" t="n">
        <v>0.1</v>
      </c>
    </row>
    <row r="17">
      <c r="H17" s="26" t="inlineStr">
        <is>
          <t>141</t>
        </is>
      </c>
      <c r="I17" s="17" t="n">
        <v>40</v>
      </c>
      <c r="J17" s="27" t="n">
        <v>0.1</v>
      </c>
      <c r="R17" s="26" t="inlineStr">
        <is>
          <t>178</t>
        </is>
      </c>
      <c r="S17" s="17" t="n">
        <v>38</v>
      </c>
      <c r="T17" s="27" t="n">
        <v>0.1</v>
      </c>
    </row>
    <row r="18">
      <c r="H18" s="26" t="inlineStr">
        <is>
          <t>136</t>
        </is>
      </c>
      <c r="I18" s="17" t="n">
        <v>37</v>
      </c>
      <c r="J18" s="27" t="n">
        <v>0.1</v>
      </c>
      <c r="R18" s="26" t="inlineStr">
        <is>
          <t>180</t>
        </is>
      </c>
      <c r="S18" s="17" t="n">
        <v>41</v>
      </c>
      <c r="T18" s="27" t="n">
        <v>0.1</v>
      </c>
    </row>
    <row r="19">
      <c r="H19" s="26" t="inlineStr">
        <is>
          <t>133</t>
        </is>
      </c>
      <c r="I19" s="17" t="n">
        <v>35.5</v>
      </c>
      <c r="J19" s="27" t="n">
        <v>0.1</v>
      </c>
    </row>
    <row r="20">
      <c r="H20" s="26" t="inlineStr">
        <is>
          <t>150</t>
        </is>
      </c>
      <c r="I20" s="17" t="n">
        <v>40.8</v>
      </c>
      <c r="J20" s="27" t="n">
        <v>0.1</v>
      </c>
    </row>
    <row r="21">
      <c r="H21" s="26" t="inlineStr">
        <is>
          <t>149</t>
        </is>
      </c>
      <c r="I21" s="17" t="n">
        <v>79.2</v>
      </c>
      <c r="J21" s="27" t="n">
        <v>0.1</v>
      </c>
    </row>
    <row r="22">
      <c r="H22" s="26" t="inlineStr">
        <is>
          <t>146</t>
        </is>
      </c>
      <c r="I22" s="17" t="n">
        <v>7.8</v>
      </c>
      <c r="J22" s="27" t="n">
        <v>0.1</v>
      </c>
    </row>
  </sheetData>
  <mergeCells count="2">
    <mergeCell ref="B2:F3"/>
    <mergeCell ref="L2:P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A6A6A6"/>
    <outlinePr summaryBelow="1" summaryRight="1"/>
    <pageSetUpPr/>
  </sheetPr>
  <dimension ref="B2:J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36" t="n">
        <v>46266</v>
      </c>
      <c r="C2" s="5" t="n"/>
      <c r="D2" s="5" t="n"/>
      <c r="E2" s="5" t="n"/>
      <c r="F2" s="5" t="n"/>
    </row>
    <row r="3" ht="15" customHeight="1">
      <c r="B3" s="5" t="n"/>
      <c r="C3" s="5" t="n"/>
      <c r="D3" s="5" t="n"/>
      <c r="E3" s="5" t="n"/>
      <c r="F3" s="5" t="n"/>
    </row>
    <row r="4" ht="15" customHeight="1">
      <c r="H4" s="37" t="inlineStr">
        <is>
          <t>TOTAL</t>
        </is>
      </c>
      <c r="I4" s="38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37" t="inlineStr">
        <is>
          <t>ALBARANES</t>
        </is>
      </c>
      <c r="I5" s="38">
        <f>SUM(I9:I300)</f>
        <v/>
      </c>
    </row>
    <row r="6" ht="15" customHeight="1">
      <c r="B6" s="39" t="inlineStr">
        <is>
          <t>ESPIGA (pan, ud; 1,00 € IVA incl.)</t>
        </is>
      </c>
      <c r="C6" s="40">
        <f>40+10+15+20+20+20+10+15+20+15+20+30+15+10+20+20+15+15+20+20+15+15+15</f>
        <v/>
      </c>
      <c r="D6" s="41" t="n">
        <v>0.9615</v>
      </c>
      <c r="E6" s="42" t="n">
        <v>0</v>
      </c>
      <c r="F6" s="43">
        <f>(C6*D6)-((C6*D6)*E6)</f>
        <v/>
      </c>
      <c r="H6" s="37" t="inlineStr">
        <is>
          <t>DIFERENCIA</t>
        </is>
      </c>
      <c r="I6" s="38">
        <f>I5-I4</f>
        <v/>
      </c>
    </row>
    <row r="7" ht="15" customHeight="1"/>
    <row r="8" ht="15" customHeight="1">
      <c r="H8" s="4" t="inlineStr">
        <is>
          <t>Nº ALBARÁN</t>
        </is>
      </c>
      <c r="I8" s="4" t="inlineStr">
        <is>
          <t>BASE</t>
        </is>
      </c>
      <c r="J8" s="4" t="inlineStr">
        <is>
          <t>% IVA</t>
        </is>
      </c>
    </row>
    <row r="9" ht="15" customHeight="1">
      <c r="H9" s="26" t="inlineStr">
        <is>
          <t>T-229 8536</t>
        </is>
      </c>
      <c r="I9" s="17" t="n">
        <v>38.46</v>
      </c>
      <c r="J9" s="27" t="n">
        <v>0.04</v>
      </c>
    </row>
    <row r="10" ht="15" customHeight="1">
      <c r="H10" s="26" t="inlineStr">
        <is>
          <t>T-229 8548</t>
        </is>
      </c>
      <c r="I10" s="17" t="n">
        <v>9.619999999999999</v>
      </c>
      <c r="J10" s="27" t="n">
        <v>0.04</v>
      </c>
    </row>
    <row r="11" ht="15" customHeight="1">
      <c r="H11" s="26" t="inlineStr">
        <is>
          <t>T-229 8560</t>
        </is>
      </c>
      <c r="I11" s="17" t="n">
        <v>14.42</v>
      </c>
      <c r="J11" s="27" t="n">
        <v>0.04</v>
      </c>
    </row>
    <row r="12">
      <c r="H12" s="26" t="inlineStr">
        <is>
          <t>T-229 8568</t>
        </is>
      </c>
      <c r="I12" s="17" t="n">
        <v>19.23</v>
      </c>
      <c r="J12" s="27" t="n">
        <v>0.04</v>
      </c>
    </row>
    <row r="13">
      <c r="H13" s="26" t="inlineStr">
        <is>
          <t>T-229 8586</t>
        </is>
      </c>
      <c r="I13" s="17" t="n">
        <v>19.23</v>
      </c>
      <c r="J13" s="27" t="n">
        <v>0.04</v>
      </c>
    </row>
    <row r="14">
      <c r="H14" s="26" t="inlineStr">
        <is>
          <t>T-229 8597</t>
        </is>
      </c>
      <c r="I14" s="17" t="n">
        <v>19.23</v>
      </c>
      <c r="J14" s="27" t="n">
        <v>0.04</v>
      </c>
    </row>
    <row r="15">
      <c r="H15" s="26" t="inlineStr">
        <is>
          <t>T-229 8603</t>
        </is>
      </c>
      <c r="I15" s="17" t="n">
        <v>9.619999999999999</v>
      </c>
      <c r="J15" s="27" t="n">
        <v>0.04</v>
      </c>
    </row>
    <row r="16">
      <c r="H16" s="26" t="inlineStr">
        <is>
          <t>T-229 8618</t>
        </is>
      </c>
      <c r="I16" s="17" t="n">
        <v>14.42</v>
      </c>
      <c r="J16" s="27" t="n">
        <v>0.04</v>
      </c>
    </row>
    <row r="17">
      <c r="H17" s="26" t="inlineStr">
        <is>
          <t>T-229 8629</t>
        </is>
      </c>
      <c r="I17" s="17" t="n">
        <v>19.23</v>
      </c>
      <c r="J17" s="27" t="n">
        <v>0.04</v>
      </c>
    </row>
    <row r="18">
      <c r="H18" s="26" t="inlineStr">
        <is>
          <t>T-229 86?4 (17/09)</t>
        </is>
      </c>
      <c r="I18" s="17" t="n">
        <v>14.42</v>
      </c>
      <c r="J18" s="27" t="n">
        <v>0.04</v>
      </c>
    </row>
    <row r="19">
      <c r="H19" s="26" t="inlineStr">
        <is>
          <t>T-229 8644</t>
        </is>
      </c>
      <c r="I19" s="17" t="n">
        <v>19.23</v>
      </c>
      <c r="J19" s="27" t="n">
        <v>0.04</v>
      </c>
    </row>
    <row r="20">
      <c r="H20" s="26" t="inlineStr">
        <is>
          <t>T-229 8658</t>
        </is>
      </c>
      <c r="I20" s="17" t="n">
        <v>28.85</v>
      </c>
      <c r="J20" s="27" t="n">
        <v>0.04</v>
      </c>
    </row>
    <row r="21">
      <c r="H21" s="26" t="inlineStr">
        <is>
          <t>T-229 8670</t>
        </is>
      </c>
      <c r="I21" s="17" t="n">
        <v>14.42</v>
      </c>
      <c r="J21" s="27" t="n">
        <v>0.04</v>
      </c>
    </row>
    <row r="22">
      <c r="H22" s="26" t="inlineStr">
        <is>
          <t>T-229 867? (21/09)</t>
        </is>
      </c>
      <c r="I22" s="17" t="n">
        <v>9.619999999999999</v>
      </c>
      <c r="J22" s="27" t="n">
        <v>0.04</v>
      </c>
    </row>
    <row r="23">
      <c r="H23" s="26" t="inlineStr">
        <is>
          <t>T-229 8685</t>
        </is>
      </c>
      <c r="I23" s="17" t="n">
        <v>19.23</v>
      </c>
      <c r="J23" s="27" t="n">
        <v>0.04</v>
      </c>
    </row>
    <row r="24">
      <c r="H24" s="26" t="inlineStr">
        <is>
          <t>T-229 8696</t>
        </is>
      </c>
      <c r="I24" s="17" t="n">
        <v>19.23</v>
      </c>
      <c r="J24" s="27" t="n">
        <v>0.04</v>
      </c>
    </row>
    <row r="25">
      <c r="H25" s="26" t="inlineStr">
        <is>
          <t>T-229 8714</t>
        </is>
      </c>
      <c r="I25" s="17" t="n">
        <v>14.42</v>
      </c>
      <c r="J25" s="27" t="n">
        <v>0.04</v>
      </c>
    </row>
    <row r="26">
      <c r="H26" s="26" t="inlineStr">
        <is>
          <t>T-229 8722</t>
        </is>
      </c>
      <c r="I26" s="17" t="n">
        <v>14.42</v>
      </c>
      <c r="J26" s="27" t="n">
        <v>0.04</v>
      </c>
    </row>
    <row r="27">
      <c r="H27" s="26" t="inlineStr">
        <is>
          <t>T-229 8738</t>
        </is>
      </c>
      <c r="I27" s="17" t="n">
        <v>19.23</v>
      </c>
      <c r="J27" s="27" t="n">
        <v>0.04</v>
      </c>
    </row>
    <row r="28">
      <c r="H28" s="26" t="inlineStr">
        <is>
          <t>T-229 8749</t>
        </is>
      </c>
      <c r="I28" s="17" t="n">
        <v>19.23</v>
      </c>
      <c r="J28" s="27" t="n">
        <v>0.04</v>
      </c>
    </row>
    <row r="29">
      <c r="H29" s="26" t="inlineStr">
        <is>
          <t>T-229 8762</t>
        </is>
      </c>
      <c r="I29" s="17" t="n">
        <v>14.42</v>
      </c>
      <c r="J29" s="27" t="n">
        <v>0.04</v>
      </c>
    </row>
    <row r="30">
      <c r="H30" s="26" t="inlineStr">
        <is>
          <t>T-229 8774</t>
        </is>
      </c>
      <c r="I30" s="17" t="n">
        <v>14.42</v>
      </c>
      <c r="J30" s="27" t="n">
        <v>0.04</v>
      </c>
    </row>
    <row r="31">
      <c r="H31" s="26" t="inlineStr">
        <is>
          <t>T-229 8783</t>
        </is>
      </c>
      <c r="I31" s="17" t="n">
        <v>14.42</v>
      </c>
      <c r="J31" s="27" t="n">
        <v>0.04</v>
      </c>
    </row>
  </sheetData>
  <mergeCells count="1">
    <mergeCell ref="B2:F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A6A6A6"/>
    <outlinePr summaryBelow="1" summaryRight="1"/>
    <pageSetUpPr/>
  </sheetPr>
  <dimension ref="B2:AD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BID. PET CUAD. A.O. SUAVE GUADALIMAR 5L</t>
        </is>
      </c>
      <c r="C6" s="40">
        <f>(13)*3</f>
        <v/>
      </c>
      <c r="D6" s="41" t="n">
        <v>23.95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BID. PET A.GIRASOL ALTO OLEICO</t>
        </is>
      </c>
      <c r="M6" s="40">
        <f>(2+1)*1</f>
        <v/>
      </c>
      <c r="N6" s="41" t="n">
        <v>45.95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BID. PET A.GIRASOL ALTO OLEICO</t>
        </is>
      </c>
      <c r="W6" s="40">
        <f>1+1+1+1</f>
        <v/>
      </c>
      <c r="X6" s="41" t="n">
        <v>44.95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LATA A.O.V.E. AU LINGOTE TEMPRANO</t>
        </is>
      </c>
      <c r="C7" s="44">
        <f>(4)*15</f>
        <v/>
      </c>
      <c r="D7" s="19" t="n">
        <v>7.95</v>
      </c>
      <c r="E7" s="45" t="n">
        <v>0</v>
      </c>
      <c r="F7" s="17">
        <f>(C7*D7)-((C7*D7)*E7)</f>
        <v/>
      </c>
      <c r="L7" s="25" t="inlineStr">
        <is>
          <t>BID. PET CUAD. A.O. SUAVE GUADALIMAR 5L</t>
        </is>
      </c>
      <c r="M7" s="44">
        <f>(3)*3</f>
        <v/>
      </c>
      <c r="N7" s="19" t="n">
        <v>24.95</v>
      </c>
      <c r="O7" s="45" t="n">
        <v>0</v>
      </c>
      <c r="P7" s="17">
        <f>(M7*N7)-((M7*N7)*O7)</f>
        <v/>
      </c>
      <c r="V7" s="25" t="inlineStr">
        <is>
          <t>BID. PET CUAD. A.O. SUAVE GUADALIMAR 5L</t>
        </is>
      </c>
      <c r="W7" s="44">
        <f>3+6+3+6+6+6</f>
        <v/>
      </c>
      <c r="X7" s="19" t="n">
        <v>23.95</v>
      </c>
      <c r="Y7" s="45" t="n">
        <v>0</v>
      </c>
      <c r="Z7" s="17">
        <f>(W7*X7)-((W7*X7)*Y7)</f>
        <v/>
      </c>
    </row>
    <row r="8" ht="15" customHeight="1">
      <c r="B8" s="39" t="inlineStr">
        <is>
          <t>BID. PET A.GIRASOL ALTO OLEICO</t>
        </is>
      </c>
      <c r="C8" s="40">
        <f>(9)*1</f>
        <v/>
      </c>
      <c r="D8" s="41" t="n">
        <v>44.95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BID. PET A.GIRASOL ALTO OLEICO</t>
        </is>
      </c>
      <c r="M8" s="40">
        <f>(1+1)*1</f>
        <v/>
      </c>
      <c r="N8" s="41" t="n">
        <v>44.95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LATA A.O.V.E. AU LINGOTE TEMPRANO</t>
        </is>
      </c>
      <c r="W8" s="40">
        <f>15+15</f>
        <v/>
      </c>
      <c r="X8" s="41" t="n">
        <v>7.95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H9" s="26" t="inlineStr">
        <is>
          <t>17635</t>
        </is>
      </c>
      <c r="I9" s="17" t="n">
        <v>262.95</v>
      </c>
      <c r="J9" s="27" t="n">
        <v>0.1</v>
      </c>
      <c r="L9" s="25" t="inlineStr">
        <is>
          <t>BID. PET CUAD. A.O. SUAVE GUADALIMAR 5L</t>
        </is>
      </c>
      <c r="M9" s="44">
        <f>(2+2+1)*3</f>
        <v/>
      </c>
      <c r="N9" s="19" t="n">
        <v>23.95</v>
      </c>
      <c r="O9" s="45" t="n">
        <v>0</v>
      </c>
      <c r="P9" s="17">
        <f>(M9*N9)-((M9*N9)*O9)</f>
        <v/>
      </c>
      <c r="R9" s="26" t="inlineStr">
        <is>
          <t>19624</t>
        </is>
      </c>
      <c r="S9" s="17" t="n">
        <v>91.90000000000001</v>
      </c>
      <c r="T9" s="27" t="n">
        <v>0.1</v>
      </c>
      <c r="V9" s="25" t="inlineStr">
        <is>
          <t>BID. PET A.GIRASOL ALTO OLEICO</t>
        </is>
      </c>
      <c r="W9" s="44" t="n">
        <v>1</v>
      </c>
      <c r="X9" s="19" t="n">
        <v>46.95</v>
      </c>
      <c r="Y9" s="45" t="n">
        <v>0</v>
      </c>
      <c r="Z9" s="17">
        <f>(W9*X9)-((W9*X9)*Y9)</f>
        <v/>
      </c>
      <c r="AB9" s="26" t="inlineStr">
        <is>
          <t>21.875</t>
        </is>
      </c>
      <c r="AC9" s="17" t="n">
        <v>44.95</v>
      </c>
      <c r="AD9" s="27" t="n">
        <v>0.1</v>
      </c>
    </row>
    <row r="10" ht="15" customHeight="1">
      <c r="H10" s="26" t="inlineStr">
        <is>
          <t>17367</t>
        </is>
      </c>
      <c r="I10" s="17" t="n">
        <v>89.90000000000001</v>
      </c>
      <c r="J10" s="27" t="n">
        <v>0.1</v>
      </c>
      <c r="L10" s="39" t="inlineStr">
        <is>
          <t>LATA A.O.V.E. AU LINGOTE TEMPRANO</t>
        </is>
      </c>
      <c r="M10" s="40">
        <f>(1)*15</f>
        <v/>
      </c>
      <c r="N10" s="41" t="n">
        <v>7.95</v>
      </c>
      <c r="O10" s="42" t="n">
        <v>0</v>
      </c>
      <c r="P10" s="43">
        <f>(M10*N10)-((M10*N10)*O10)</f>
        <v/>
      </c>
      <c r="R10" s="26" t="inlineStr">
        <is>
          <t>19624</t>
        </is>
      </c>
      <c r="S10" s="17" t="n">
        <v>224.55</v>
      </c>
      <c r="T10" s="27" t="n">
        <v>0.04</v>
      </c>
      <c r="AB10" s="26" t="inlineStr">
        <is>
          <t>21.875</t>
        </is>
      </c>
      <c r="AC10" s="17" t="n">
        <v>191.1</v>
      </c>
      <c r="AD10" s="27" t="n">
        <v>0.04</v>
      </c>
    </row>
    <row r="11" ht="15" customHeight="1">
      <c r="H11" s="26" t="inlineStr">
        <is>
          <t>17367</t>
        </is>
      </c>
      <c r="I11" s="17" t="n">
        <v>262.95</v>
      </c>
      <c r="J11" s="27" t="n">
        <v>0.04</v>
      </c>
      <c r="R11" s="26" t="inlineStr">
        <is>
          <t>20748</t>
        </is>
      </c>
      <c r="S11" s="17" t="n">
        <v>44.95</v>
      </c>
      <c r="T11" s="27" t="n">
        <v>0.1</v>
      </c>
      <c r="AB11" s="26" t="inlineStr">
        <is>
          <t>22.136</t>
        </is>
      </c>
      <c r="AC11" s="17" t="n">
        <v>44.95</v>
      </c>
      <c r="AD11" s="27" t="n">
        <v>0.1</v>
      </c>
    </row>
    <row r="12">
      <c r="H12" s="26" t="inlineStr">
        <is>
          <t>16850</t>
        </is>
      </c>
      <c r="I12" s="17" t="n">
        <v>44.95</v>
      </c>
      <c r="J12" s="27" t="n">
        <v>0.1</v>
      </c>
      <c r="R12" s="26" t="inlineStr">
        <is>
          <t>20748</t>
        </is>
      </c>
      <c r="S12" s="17" t="n">
        <v>262.95</v>
      </c>
      <c r="T12" s="27" t="n">
        <v>0.04</v>
      </c>
      <c r="AB12" s="26" t="inlineStr">
        <is>
          <t>22.136</t>
        </is>
      </c>
      <c r="AC12" s="17" t="n">
        <v>143.7</v>
      </c>
      <c r="AD12" s="27" t="n">
        <v>0.04</v>
      </c>
    </row>
    <row r="13">
      <c r="H13" s="26" t="inlineStr">
        <is>
          <t>16850</t>
        </is>
      </c>
      <c r="I13" s="17" t="n">
        <v>71.84999999999999</v>
      </c>
      <c r="J13" s="27" t="n">
        <v>0.04</v>
      </c>
      <c r="R13" s="26" t="inlineStr">
        <is>
          <t>21111</t>
        </is>
      </c>
      <c r="S13" s="17" t="n">
        <v>44.95</v>
      </c>
      <c r="T13" s="27" t="n">
        <v>0.1</v>
      </c>
      <c r="AB13" s="26" t="inlineStr">
        <is>
          <t>22.448</t>
        </is>
      </c>
      <c r="AC13" s="17" t="n">
        <v>44.95</v>
      </c>
      <c r="AD13" s="27" t="n">
        <v>0.1</v>
      </c>
    </row>
    <row r="14">
      <c r="H14" s="26" t="inlineStr">
        <is>
          <t>18972</t>
        </is>
      </c>
      <c r="I14" s="17" t="n">
        <v>143.7</v>
      </c>
      <c r="J14" s="27" t="n">
        <v>0.04</v>
      </c>
      <c r="R14" s="26" t="inlineStr">
        <is>
          <t>21111</t>
        </is>
      </c>
      <c r="S14" s="17" t="n">
        <v>143.7</v>
      </c>
      <c r="T14" s="27" t="n">
        <v>0.04</v>
      </c>
      <c r="AB14" s="26" t="inlineStr">
        <is>
          <t>22.448</t>
        </is>
      </c>
      <c r="AC14" s="17" t="n">
        <v>191.1</v>
      </c>
      <c r="AD14" s="27" t="n">
        <v>0.04</v>
      </c>
    </row>
    <row r="15">
      <c r="H15" s="26" t="inlineStr">
        <is>
          <t>18750</t>
        </is>
      </c>
      <c r="I15" s="17" t="n">
        <v>89.90000000000001</v>
      </c>
      <c r="J15" s="27" t="n">
        <v>0.1</v>
      </c>
      <c r="R15" s="26" t="inlineStr">
        <is>
          <t>21604</t>
        </is>
      </c>
      <c r="S15" s="17" t="n">
        <v>45.95</v>
      </c>
      <c r="T15" s="27" t="n">
        <v>0.1</v>
      </c>
      <c r="AB15" s="26" t="inlineStr">
        <is>
          <t>22.771</t>
        </is>
      </c>
      <c r="AC15" s="17" t="n">
        <v>143.7</v>
      </c>
      <c r="AD15" s="27" t="n">
        <v>0.04</v>
      </c>
    </row>
    <row r="16">
      <c r="H16" s="26" t="inlineStr">
        <is>
          <t>18750</t>
        </is>
      </c>
      <c r="I16" s="17" t="n">
        <v>143.7</v>
      </c>
      <c r="J16" s="27" t="n">
        <v>0.04</v>
      </c>
      <c r="R16" s="26" t="inlineStr">
        <is>
          <t>21604</t>
        </is>
      </c>
      <c r="S16" s="17" t="n">
        <v>71.84999999999999</v>
      </c>
      <c r="T16" s="27" t="n">
        <v>0.04</v>
      </c>
      <c r="AB16" s="26" t="inlineStr">
        <is>
          <t>23.003</t>
        </is>
      </c>
      <c r="AC16" s="17" t="n">
        <v>143.7</v>
      </c>
      <c r="AD16" s="27" t="n">
        <v>0.04</v>
      </c>
    </row>
    <row r="17">
      <c r="H17" s="26" t="inlineStr">
        <is>
          <t>18418</t>
        </is>
      </c>
      <c r="I17" s="17" t="n">
        <v>262.95</v>
      </c>
      <c r="J17" s="27" t="n">
        <v>0.04</v>
      </c>
      <c r="AB17" s="26" t="inlineStr">
        <is>
          <t>23.258</t>
        </is>
      </c>
      <c r="AC17" s="17" t="n">
        <v>44.95</v>
      </c>
      <c r="AD17" s="27" t="n">
        <v>0.1</v>
      </c>
    </row>
    <row r="18">
      <c r="H18" s="26" t="inlineStr">
        <is>
          <t>18035</t>
        </is>
      </c>
      <c r="I18" s="17" t="n">
        <v>89.90000000000001</v>
      </c>
      <c r="J18" s="27" t="n">
        <v>0.1</v>
      </c>
      <c r="AB18" s="26" t="inlineStr">
        <is>
          <t>23.552</t>
        </is>
      </c>
      <c r="AC18" s="17" t="n">
        <v>46.95</v>
      </c>
      <c r="AD18" s="27" t="n">
        <v>0.1</v>
      </c>
    </row>
    <row r="19">
      <c r="H19" s="26" t="inlineStr">
        <is>
          <t>18035</t>
        </is>
      </c>
      <c r="I19" s="17" t="n">
        <v>143.7</v>
      </c>
      <c r="J19" s="27" t="n">
        <v>0.04</v>
      </c>
      <c r="AB19" s="26" t="inlineStr">
        <is>
          <t>23.665</t>
        </is>
      </c>
      <c r="AC19" s="17" t="n">
        <v>143.7</v>
      </c>
      <c r="AD19" s="27" t="n">
        <v>0.04</v>
      </c>
    </row>
    <row r="20">
      <c r="H20" s="26" t="inlineStr">
        <is>
          <t>19317</t>
        </is>
      </c>
      <c r="I20" s="17" t="n">
        <v>89.90000000000001</v>
      </c>
      <c r="J20" s="27" t="n">
        <v>0.1</v>
      </c>
    </row>
    <row r="21">
      <c r="H21" s="26" t="inlineStr">
        <is>
          <t>19317</t>
        </is>
      </c>
      <c r="I21" s="17" t="n">
        <v>119.25</v>
      </c>
      <c r="J21" s="27" t="n">
        <v>0.04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A6A6A6"/>
    <outlinePr summaryBelow="1" summaryRight="1"/>
    <pageSetUpPr/>
  </sheetPr>
  <dimension ref="B2:J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36" t="n">
        <v>46266</v>
      </c>
      <c r="C2" s="5" t="n"/>
      <c r="D2" s="5" t="n"/>
      <c r="E2" s="5" t="n"/>
      <c r="F2" s="5" t="n"/>
    </row>
    <row r="3" ht="15" customHeight="1">
      <c r="B3" s="5" t="n"/>
      <c r="C3" s="5" t="n"/>
      <c r="D3" s="5" t="n"/>
      <c r="E3" s="5" t="n"/>
      <c r="F3" s="5" t="n"/>
    </row>
    <row r="4" ht="15" customHeight="1">
      <c r="H4" s="37" t="inlineStr">
        <is>
          <t>TOTAL</t>
        </is>
      </c>
      <c r="I4" s="38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37" t="inlineStr">
        <is>
          <t>ALBARANES</t>
        </is>
      </c>
      <c r="I5" s="38">
        <f>SUM(I9:I300)</f>
        <v/>
      </c>
    </row>
    <row r="6" ht="15" customHeight="1">
      <c r="B6" s="39" t="inlineStr">
        <is>
          <t>MAHOU CLASICA DUOTANK 1L (litro)</t>
        </is>
      </c>
      <c r="C6" s="40">
        <f>951+984</f>
        <v/>
      </c>
      <c r="D6" s="41" t="n">
        <v>3.9</v>
      </c>
      <c r="E6" s="42" t="n">
        <v>0</v>
      </c>
      <c r="F6" s="43">
        <f>(C6*D6)-((C6*D6)*E6)</f>
        <v/>
      </c>
      <c r="H6" s="37" t="inlineStr">
        <is>
          <t>DIFERENCIA</t>
        </is>
      </c>
      <c r="I6" s="38">
        <f>I5-I4</f>
        <v/>
      </c>
    </row>
    <row r="7" ht="15" customHeight="1">
      <c r="B7" s="25" t="inlineStr">
        <is>
          <t>IMPUESTO ESPECIAL CERVEZA (litro)</t>
        </is>
      </c>
      <c r="C7" s="44">
        <f>951+984</f>
        <v/>
      </c>
      <c r="D7" s="19" t="n">
        <v>0.1</v>
      </c>
      <c r="E7" s="45" t="n">
        <v>0</v>
      </c>
      <c r="F7" s="17">
        <f>(C7*D7)-((C7*D7)*E7)</f>
        <v/>
      </c>
    </row>
    <row r="8" ht="15" customHeight="1">
      <c r="H8" s="4" t="inlineStr">
        <is>
          <t>Nº ALBARÁN</t>
        </is>
      </c>
      <c r="I8" s="4" t="inlineStr">
        <is>
          <t>BASE</t>
        </is>
      </c>
      <c r="J8" s="4" t="inlineStr">
        <is>
          <t>% IVA</t>
        </is>
      </c>
    </row>
    <row r="9" ht="15" customHeight="1">
      <c r="H9" s="26" t="inlineStr">
        <is>
          <t>10234</t>
        </is>
      </c>
      <c r="I9" s="17" t="n">
        <v>3804</v>
      </c>
      <c r="J9" s="27" t="n">
        <v>0.21</v>
      </c>
    </row>
    <row r="10" ht="15" customHeight="1">
      <c r="H10" s="26" t="inlineStr">
        <is>
          <t>SO16026677</t>
        </is>
      </c>
      <c r="I10" s="17" t="n">
        <v>3936</v>
      </c>
      <c r="J10" s="27" t="n">
        <v>0.21</v>
      </c>
    </row>
    <row r="11" ht="15" customHeight="1"/>
  </sheetData>
  <mergeCells count="1">
    <mergeCell ref="B2:F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A6A6A6"/>
    <outlinePr summaryBelow="1" summaryRight="1"/>
    <pageSetUpPr/>
  </sheetPr>
  <dimension ref="B2:T9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</cols>
  <sheetData>
    <row r="2" ht="15" customHeight="1">
      <c r="B2" s="46" t="n">
        <v>46204</v>
      </c>
      <c r="C2" s="47" t="n"/>
      <c r="D2" s="47" t="n"/>
      <c r="E2" s="47" t="n"/>
      <c r="F2" s="47" t="n"/>
      <c r="L2" s="36" t="n">
        <v>46266</v>
      </c>
      <c r="M2" s="5" t="n"/>
      <c r="N2" s="5" t="n"/>
      <c r="O2" s="5" t="n"/>
      <c r="P2" s="5" t="n"/>
    </row>
    <row r="3" ht="15" customHeight="1">
      <c r="B3" s="47" t="n"/>
      <c r="C3" s="47" t="n"/>
      <c r="D3" s="47" t="n"/>
      <c r="E3" s="47" t="n"/>
      <c r="F3" s="47" t="n"/>
      <c r="L3" s="5" t="n"/>
      <c r="M3" s="5" t="n"/>
      <c r="N3" s="5" t="n"/>
      <c r="O3" s="5" t="n"/>
      <c r="P3" s="5" t="n"/>
    </row>
    <row r="4" ht="15" customHeight="1">
      <c r="H4" s="50" t="inlineStr">
        <is>
          <t>TOTAL</t>
        </is>
      </c>
      <c r="I4" s="51">
        <f>SUM(F6:F300)</f>
        <v/>
      </c>
      <c r="R4" s="37" t="inlineStr">
        <is>
          <t>TOTAL</t>
        </is>
      </c>
      <c r="S4" s="38">
        <f>SUM(P6:P300)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37" t="inlineStr">
        <is>
          <t>ALBARANES</t>
        </is>
      </c>
      <c r="S5" s="38">
        <f>SUM(S9:S300)</f>
        <v/>
      </c>
    </row>
    <row r="6" ht="15" customHeight="1">
      <c r="B6" s="39" t="inlineStr">
        <is>
          <t>MANTEQUILLA PRESIDENT BQ 1KG</t>
        </is>
      </c>
      <c r="C6" s="40" t="n">
        <v>2</v>
      </c>
      <c r="D6" s="41" t="n">
        <v>16.19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TOMATE C-GG MAD2/3 BJ</t>
        </is>
      </c>
      <c r="M6" s="40" t="n">
        <v>1.484</v>
      </c>
      <c r="N6" s="41" t="n">
        <v>3.5108</v>
      </c>
      <c r="O6" s="42" t="n">
        <v>0</v>
      </c>
      <c r="P6" s="43">
        <f>(M6*N6)-((M6*N6)*O6)</f>
        <v/>
      </c>
      <c r="R6" s="37" t="inlineStr">
        <is>
          <t>DIFERENCIA</t>
        </is>
      </c>
      <c r="S6" s="38">
        <f>S5-S4</f>
        <v/>
      </c>
    </row>
    <row r="7" ht="15" customHeight="1">
      <c r="B7" s="25" t="inlineStr">
        <is>
          <t>LIMON 2A C-2/6 CJ 9KG</t>
        </is>
      </c>
      <c r="C7" s="44" t="n">
        <v>1</v>
      </c>
      <c r="D7" s="19" t="n">
        <v>17.92</v>
      </c>
      <c r="E7" s="45" t="n">
        <v>0</v>
      </c>
      <c r="F7" s="17">
        <f>(C7*D7)-((C7*D7)*E7)</f>
        <v/>
      </c>
      <c r="L7" s="25" t="inlineStr">
        <is>
          <t>LECHE FCA ENT PULEVA BT 1.5L</t>
        </is>
      </c>
      <c r="M7" s="44" t="n">
        <v>1</v>
      </c>
      <c r="N7" s="19" t="n">
        <v>2.94</v>
      </c>
      <c r="O7" s="45" t="n">
        <v>0</v>
      </c>
      <c r="P7" s="17">
        <f>(M7*N7)-((M7*N7)*O7)</f>
        <v/>
      </c>
    </row>
    <row r="8" ht="15" customHeight="1">
      <c r="B8" s="39" t="inlineStr">
        <is>
          <t>NARANJA ZUMO MC C-6/7 SC 5KG</t>
        </is>
      </c>
      <c r="C8" s="40" t="n">
        <v>2</v>
      </c>
      <c r="D8" s="41" t="n">
        <v>7.65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NATA MONTAR 35% +FIRMEZA 1L DEBIC</t>
        </is>
      </c>
      <c r="M8" s="40">
        <f>3+2+2</f>
        <v/>
      </c>
      <c r="N8" s="41" t="n">
        <v>7.07</v>
      </c>
      <c r="O8" s="42" t="n">
        <v>0</v>
      </c>
      <c r="P8" s="43">
        <f>(M8*N8)-((M8*N8)*O8)</f>
        <v/>
      </c>
      <c r="R8" s="4" t="inlineStr">
        <is>
          <t>Nº ALBARÁN</t>
        </is>
      </c>
      <c r="S8" s="4" t="inlineStr">
        <is>
          <t>BASE</t>
        </is>
      </c>
      <c r="T8" s="4" t="inlineStr">
        <is>
          <t>% IVA</t>
        </is>
      </c>
    </row>
    <row r="9" ht="15" customHeight="1">
      <c r="B9" s="25" t="inlineStr">
        <is>
          <t>ZANAHORIA MC C-35/45 MM 5KG</t>
        </is>
      </c>
      <c r="C9" s="44" t="n">
        <v>1</v>
      </c>
      <c r="D9" s="19" t="n">
        <v>6.11</v>
      </c>
      <c r="E9" s="45" t="n">
        <v>0</v>
      </c>
      <c r="F9" s="17">
        <f>(C9*D9)-((C9*D9)*E9)</f>
        <v/>
      </c>
      <c r="H9" s="26" t="inlineStr">
        <is>
          <t>9-193072459</t>
        </is>
      </c>
      <c r="I9" s="17" t="n">
        <v>85.31999999999999</v>
      </c>
      <c r="J9" s="27" t="n">
        <v>0.1</v>
      </c>
      <c r="L9" s="25" t="inlineStr">
        <is>
          <t>QUESO RALLADO 4 QUESOS MC 1KG</t>
        </is>
      </c>
      <c r="M9" s="44" t="n">
        <v>1</v>
      </c>
      <c r="N9" s="19" t="n">
        <v>9.66</v>
      </c>
      <c r="O9" s="45" t="n">
        <v>0</v>
      </c>
      <c r="P9" s="17">
        <f>(M9*N9)-((M9*N9)*O9)</f>
        <v/>
      </c>
      <c r="R9" s="26" t="inlineStr">
        <is>
          <t>9-233672884</t>
        </is>
      </c>
      <c r="S9" s="17" t="n">
        <v>99.66</v>
      </c>
      <c r="T9" s="27" t="n">
        <v>0.04</v>
      </c>
    </row>
    <row r="10" ht="15" customHeight="1">
      <c r="B10" s="39" t="inlineStr">
        <is>
          <t>CEBOLLINO MC MJ 125G</t>
        </is>
      </c>
      <c r="C10" s="40" t="n">
        <v>4</v>
      </c>
      <c r="D10" s="41" t="n">
        <v>2.81</v>
      </c>
      <c r="E10" s="42" t="n">
        <v>0</v>
      </c>
      <c r="F10" s="43">
        <f>(C10*D10)-((C10*D10)*E10)</f>
        <v/>
      </c>
      <c r="H10" s="26" t="inlineStr">
        <is>
          <t>9-193072459</t>
        </is>
      </c>
      <c r="I10" s="17" t="n">
        <v>142.57</v>
      </c>
      <c r="J10" s="27" t="n">
        <v>0.04</v>
      </c>
      <c r="L10" s="39" t="inlineStr">
        <is>
          <t>LIMON 2A CJ 9KG</t>
        </is>
      </c>
      <c r="M10" s="40" t="n">
        <v>1</v>
      </c>
      <c r="N10" s="41" t="n">
        <v>12.97</v>
      </c>
      <c r="O10" s="42" t="n">
        <v>0</v>
      </c>
      <c r="P10" s="43">
        <f>(M10*N10)-((M10*N10)*O10)</f>
        <v/>
      </c>
      <c r="R10" s="26" t="inlineStr">
        <is>
          <t>9-233672884</t>
        </is>
      </c>
      <c r="S10" s="17" t="n">
        <v>102.86</v>
      </c>
      <c r="T10" s="27" t="n">
        <v>0.1</v>
      </c>
    </row>
    <row r="11" ht="15" customHeight="1">
      <c r="B11" s="25" t="inlineStr">
        <is>
          <t>CEBOLLA GUISOS MC C-60/80 SC 5KG</t>
        </is>
      </c>
      <c r="C11" s="44" t="n">
        <v>1</v>
      </c>
      <c r="D11" s="19" t="n">
        <v>4.68</v>
      </c>
      <c r="E11" s="45" t="n">
        <v>0</v>
      </c>
      <c r="F11" s="17">
        <f>(C11*D11)-((C11*D11)*E11)</f>
        <v/>
      </c>
      <c r="L11" s="25" t="inlineStr">
        <is>
          <t>AGUACATE PREMADURO MC C-12/16 4KG</t>
        </is>
      </c>
      <c r="M11" s="44" t="n">
        <v>1</v>
      </c>
      <c r="N11" s="19" t="n">
        <v>21.77</v>
      </c>
      <c r="O11" s="45" t="n">
        <v>0</v>
      </c>
      <c r="P11" s="17">
        <f>(M11*N11)-((M11*N11)*O11)</f>
        <v/>
      </c>
      <c r="R11" s="26" t="inlineStr">
        <is>
          <t>9-233672884</t>
        </is>
      </c>
      <c r="S11" s="17" t="n">
        <v>13.74</v>
      </c>
      <c r="T11" s="27" t="n">
        <v>0.21</v>
      </c>
    </row>
    <row r="12">
      <c r="B12" s="39" t="inlineStr">
        <is>
          <t>PATATA LAV AGRIA MC C60/80 12KG</t>
        </is>
      </c>
      <c r="C12" s="40" t="n">
        <v>5</v>
      </c>
      <c r="D12" s="41" t="n">
        <v>11.5</v>
      </c>
      <c r="E12" s="42" t="n">
        <v>0</v>
      </c>
      <c r="F12" s="43">
        <f>(C12*D12)-((C12*D12)*E12)</f>
        <v/>
      </c>
      <c r="L12" s="39" t="inlineStr">
        <is>
          <t>ZANAHORIA MC 5KG</t>
        </is>
      </c>
      <c r="M12" s="40">
        <f>1+1</f>
        <v/>
      </c>
      <c r="N12" s="41" t="n">
        <v>5.49</v>
      </c>
      <c r="O12" s="42" t="n">
        <v>0</v>
      </c>
      <c r="P12" s="43">
        <f>(M12*N12)-((M12*N12)*O12)</f>
        <v/>
      </c>
      <c r="R12" s="26" t="inlineStr">
        <is>
          <t>9-234436523</t>
        </is>
      </c>
      <c r="S12" s="17" t="n">
        <v>81.97</v>
      </c>
      <c r="T12" s="27" t="n">
        <v>0.1</v>
      </c>
    </row>
    <row r="13">
      <c r="B13" s="25" t="inlineStr">
        <is>
          <t>CEBOLLETA CHINA MJ</t>
        </is>
      </c>
      <c r="C13" s="44" t="n">
        <v>4</v>
      </c>
      <c r="D13" s="19" t="n">
        <v>1.49</v>
      </c>
      <c r="E13" s="45" t="n">
        <v>0</v>
      </c>
      <c r="F13" s="17">
        <f>(C13*D13)-((C13*D13)*E13)</f>
        <v/>
      </c>
      <c r="L13" s="25" t="inlineStr">
        <is>
          <t>CEBOLLINO MC MJ 125G</t>
        </is>
      </c>
      <c r="M13" s="44">
        <f>2+4+1+3</f>
        <v/>
      </c>
      <c r="N13" s="19" t="n">
        <v>2.81</v>
      </c>
      <c r="O13" s="45" t="n">
        <v>0</v>
      </c>
      <c r="P13" s="17">
        <f>(M13*N13)-((M13*N13)*O13)</f>
        <v/>
      </c>
      <c r="R13" s="26" t="inlineStr">
        <is>
          <t>9-234436523</t>
        </is>
      </c>
      <c r="S13" s="17" t="n">
        <v>138.05</v>
      </c>
      <c r="T13" s="27" t="n">
        <v>0.04</v>
      </c>
    </row>
    <row r="14">
      <c r="B14" s="39" t="inlineStr">
        <is>
          <t>PIMIENTO LAMYO VDE ARO 2ACJ5 K</t>
        </is>
      </c>
      <c r="C14" s="40" t="n">
        <v>1</v>
      </c>
      <c r="D14" s="41" t="n">
        <v>10.62</v>
      </c>
      <c r="E14" s="42" t="n">
        <v>0</v>
      </c>
      <c r="F14" s="43">
        <f>(C14*D14)-((C14*D14)*E14)</f>
        <v/>
      </c>
      <c r="L14" s="39" t="inlineStr">
        <is>
          <t>PEREJIL GRANEL 800G</t>
        </is>
      </c>
      <c r="M14" s="40">
        <f>1+2+2+1+1+1+1+1+1+1</f>
        <v/>
      </c>
      <c r="N14" s="41" t="n">
        <v>1.71</v>
      </c>
      <c r="O14" s="42" t="n">
        <v>0</v>
      </c>
      <c r="P14" s="43">
        <f>(M14*N14)-((M14*N14)*O14)</f>
        <v/>
      </c>
      <c r="R14" s="26" t="inlineStr">
        <is>
          <t>9-234559144</t>
        </is>
      </c>
      <c r="S14" s="17" t="n">
        <v>227.13</v>
      </c>
      <c r="T14" s="27" t="n">
        <v>0.1</v>
      </c>
    </row>
    <row r="15">
      <c r="B15" s="25" t="inlineStr">
        <is>
          <t>CEBOLLETA BCA MJ</t>
        </is>
      </c>
      <c r="C15" s="44" t="n">
        <v>12</v>
      </c>
      <c r="D15" s="19" t="n">
        <v>2.04</v>
      </c>
      <c r="E15" s="45" t="n">
        <v>0</v>
      </c>
      <c r="F15" s="17">
        <f>(C15*D15)-((C15*D15)*E15)</f>
        <v/>
      </c>
      <c r="L15" s="25" t="inlineStr">
        <is>
          <t>CEBOLLA GUISOS MC SC 5KG</t>
        </is>
      </c>
      <c r="M15" s="44" t="n">
        <v>1</v>
      </c>
      <c r="N15" s="19" t="n">
        <v>4.13</v>
      </c>
      <c r="O15" s="45" t="n">
        <v>0</v>
      </c>
      <c r="P15" s="17">
        <f>(M15*N15)-((M15*N15)*O15)</f>
        <v/>
      </c>
      <c r="R15" s="26" t="inlineStr">
        <is>
          <t>9-234559144</t>
        </is>
      </c>
      <c r="S15" s="17" t="n">
        <v>64.36</v>
      </c>
      <c r="T15" s="27" t="n">
        <v>0.04</v>
      </c>
    </row>
    <row r="16">
      <c r="B16" s="39" t="inlineStr">
        <is>
          <t>SAL MALDON 1.4 KG</t>
        </is>
      </c>
      <c r="C16" s="40" t="n">
        <v>1</v>
      </c>
      <c r="D16" s="41" t="n">
        <v>23.64</v>
      </c>
      <c r="E16" s="42" t="n">
        <v>0</v>
      </c>
      <c r="F16" s="43">
        <f>(C16*D16)-((C16*D16)*E16)</f>
        <v/>
      </c>
      <c r="L16" s="39" t="inlineStr">
        <is>
          <t>CEBOLLETA CHINA MJ</t>
        </is>
      </c>
      <c r="M16" s="40">
        <f>4+3+2+5+2+6+4+4</f>
        <v/>
      </c>
      <c r="N16" s="41" t="n">
        <v>1.49</v>
      </c>
      <c r="O16" s="42" t="n">
        <v>0</v>
      </c>
      <c r="P16" s="43">
        <f>(M16*N16)-((M16*N16)*O16)</f>
        <v/>
      </c>
      <c r="R16" s="26" t="inlineStr">
        <is>
          <t>9-234736134</t>
        </is>
      </c>
      <c r="S16" s="17" t="n">
        <v>79.8</v>
      </c>
      <c r="T16" s="27" t="n">
        <v>0.04</v>
      </c>
    </row>
    <row r="17">
      <c r="B17" s="25" t="inlineStr">
        <is>
          <t>SSA SOJA KIKKOMAN 1L</t>
        </is>
      </c>
      <c r="C17" s="44" t="n">
        <v>2</v>
      </c>
      <c r="D17" s="19" t="n">
        <v>9.029999999999999</v>
      </c>
      <c r="E17" s="45" t="n">
        <v>0</v>
      </c>
      <c r="F17" s="17">
        <f>(C17*D17)-((C17*D17)*E17)</f>
        <v/>
      </c>
      <c r="L17" s="25" t="inlineStr">
        <is>
          <t>PIMIENTO LAMYO RJ ARO CJ 4,5/5KG</t>
        </is>
      </c>
      <c r="M17" s="44">
        <f>1+1+1</f>
        <v/>
      </c>
      <c r="N17" s="19" t="n">
        <v>13.3</v>
      </c>
      <c r="O17" s="45" t="n">
        <v>0</v>
      </c>
      <c r="P17" s="17">
        <f>(M17*N17)-((M17*N17)*O17)</f>
        <v/>
      </c>
      <c r="R17" s="26" t="inlineStr">
        <is>
          <t>9-234736134</t>
        </is>
      </c>
      <c r="S17" s="17" t="n">
        <v>11.85</v>
      </c>
      <c r="T17" s="27" t="n">
        <v>0.1</v>
      </c>
    </row>
    <row r="18">
      <c r="L18" s="39" t="inlineStr">
        <is>
          <t>PIMIENTO LAMYO VDE ARO CJ 4,5/5KG</t>
        </is>
      </c>
      <c r="M18" s="40">
        <f>1+1+1</f>
        <v/>
      </c>
      <c r="N18" s="41" t="n">
        <v>10.07</v>
      </c>
      <c r="O18" s="42" t="n">
        <v>0</v>
      </c>
      <c r="P18" s="43">
        <f>(M18*N18)-((M18*N18)*O18)</f>
        <v/>
      </c>
      <c r="R18" s="26" t="inlineStr">
        <is>
          <t>9-235500908</t>
        </is>
      </c>
      <c r="S18" s="17" t="n">
        <v>140.31</v>
      </c>
      <c r="T18" s="27" t="n">
        <v>0.1</v>
      </c>
    </row>
    <row r="19">
      <c r="L19" s="25" t="inlineStr">
        <is>
          <t>CEBOLLETA BCA MJ</t>
        </is>
      </c>
      <c r="M19" s="44">
        <f>4+8+5+6+6+6+5+6+6+3+7+4</f>
        <v/>
      </c>
      <c r="N19" s="19" t="n">
        <v>2.04</v>
      </c>
      <c r="O19" s="45" t="n">
        <v>0</v>
      </c>
      <c r="P19" s="17">
        <f>(M19*N19)-((M19*N19)*O19)</f>
        <v/>
      </c>
      <c r="R19" s="26" t="inlineStr">
        <is>
          <t>9-235500908</t>
        </is>
      </c>
      <c r="S19" s="17" t="n">
        <v>83.29000000000001</v>
      </c>
      <c r="T19" s="27" t="n">
        <v>0.04</v>
      </c>
    </row>
    <row r="20">
      <c r="L20" s="39" t="inlineStr">
        <is>
          <t>TOMATE DOBLE CONC MUTTI LT880G</t>
        </is>
      </c>
      <c r="M20" s="40">
        <f>2+4</f>
        <v/>
      </c>
      <c r="N20" s="41" t="n">
        <v>7.15</v>
      </c>
      <c r="O20" s="42" t="n">
        <v>0</v>
      </c>
      <c r="P20" s="43">
        <f>(M20*N20)-((M20*N20)*O20)</f>
        <v/>
      </c>
      <c r="R20" s="26" t="inlineStr">
        <is>
          <t>9-235500908</t>
        </is>
      </c>
      <c r="S20" s="17" t="n">
        <v>32.28</v>
      </c>
      <c r="T20" s="27" t="n">
        <v>0.21</v>
      </c>
    </row>
    <row r="21">
      <c r="L21" s="25" t="inlineStr">
        <is>
          <t>CALDO POLLO KNORR 1KG</t>
        </is>
      </c>
      <c r="M21" s="44">
        <f>1+1</f>
        <v/>
      </c>
      <c r="N21" s="19" t="n">
        <v>8.5</v>
      </c>
      <c r="O21" s="45" t="n">
        <v>0</v>
      </c>
      <c r="P21" s="17">
        <f>(M21*N21)-((M21*N21)*O21)</f>
        <v/>
      </c>
      <c r="R21" s="26" t="inlineStr">
        <is>
          <t>9-235585461</t>
        </is>
      </c>
      <c r="S21" s="17" t="n">
        <v>148.01</v>
      </c>
      <c r="T21" s="27" t="n">
        <v>0.1</v>
      </c>
    </row>
    <row r="22">
      <c r="L22" s="39" t="inlineStr">
        <is>
          <t>LAUREL HOJA ARO 600G</t>
        </is>
      </c>
      <c r="M22" s="40" t="n">
        <v>1</v>
      </c>
      <c r="N22" s="41" t="n">
        <v>17.82</v>
      </c>
      <c r="O22" s="42" t="n">
        <v>0</v>
      </c>
      <c r="P22" s="43">
        <f>(M22*N22)-((M22*N22)*O22)</f>
        <v/>
      </c>
      <c r="R22" s="26" t="inlineStr">
        <is>
          <t>9-235585461</t>
        </is>
      </c>
      <c r="S22" s="17" t="n">
        <v>85.94</v>
      </c>
      <c r="T22" s="27" t="n">
        <v>0.04</v>
      </c>
    </row>
    <row r="23">
      <c r="L23" s="25" t="inlineStr">
        <is>
          <t>SSA KIMCHI MOMOYA 1,2KG</t>
        </is>
      </c>
      <c r="M23" s="44">
        <f>2+1+2+1+2</f>
        <v/>
      </c>
      <c r="N23" s="19" t="n">
        <v>16.85</v>
      </c>
      <c r="O23" s="45" t="n">
        <v>0</v>
      </c>
      <c r="P23" s="17">
        <f>(M23*N23)-((M23*N23)*O23)</f>
        <v/>
      </c>
      <c r="R23" s="26" t="inlineStr">
        <is>
          <t>9-236136014</t>
        </is>
      </c>
      <c r="S23" s="17" t="n">
        <v>75.17</v>
      </c>
      <c r="T23" s="27" t="n">
        <v>0.1</v>
      </c>
    </row>
    <row r="24">
      <c r="L24" s="39" t="inlineStr">
        <is>
          <t>VINO BCO CERRO CRUZ BRIK 1L (caja 12)</t>
        </is>
      </c>
      <c r="M24" s="40">
        <f>12+12+12+12</f>
        <v/>
      </c>
      <c r="N24" s="41" t="n">
        <v>1.1494</v>
      </c>
      <c r="O24" s="42" t="n">
        <v>0</v>
      </c>
      <c r="P24" s="43">
        <f>(M24*N24)-((M24*N24)*O24)</f>
        <v/>
      </c>
      <c r="R24" s="26" t="inlineStr">
        <is>
          <t>9-236136014</t>
        </is>
      </c>
      <c r="S24" s="17" t="n">
        <v>58.82</v>
      </c>
      <c r="T24" s="27" t="n">
        <v>0.04</v>
      </c>
    </row>
    <row r="25">
      <c r="L25" s="25" t="inlineStr">
        <is>
          <t>LIMON 2A CJ 9KG</t>
        </is>
      </c>
      <c r="M25" s="44">
        <f>1+1</f>
        <v/>
      </c>
      <c r="N25" s="19" t="n">
        <v>12.31</v>
      </c>
      <c r="O25" s="45" t="n">
        <v>0</v>
      </c>
      <c r="P25" s="17">
        <f>(M25*N25)-((M25*N25)*O25)</f>
        <v/>
      </c>
      <c r="R25" s="26" t="inlineStr">
        <is>
          <t>9-236476487</t>
        </is>
      </c>
      <c r="S25" s="17" t="n">
        <v>126</v>
      </c>
      <c r="T25" s="27" t="n">
        <v>0.1</v>
      </c>
    </row>
    <row r="26">
      <c r="L26" s="39" t="inlineStr">
        <is>
          <t>NARANJA ZUMO MC SC 5KG</t>
        </is>
      </c>
      <c r="M26" s="40">
        <f>1+1</f>
        <v/>
      </c>
      <c r="N26" s="41" t="n">
        <v>8.130000000000001</v>
      </c>
      <c r="O26" s="42" t="n">
        <v>0</v>
      </c>
      <c r="P26" s="43">
        <f>(M26*N26)-((M26*N26)*O26)</f>
        <v/>
      </c>
      <c r="R26" s="26" t="inlineStr">
        <is>
          <t>9-236476487</t>
        </is>
      </c>
      <c r="S26" s="17" t="n">
        <v>30.5</v>
      </c>
      <c r="T26" s="27" t="n">
        <v>0.04</v>
      </c>
    </row>
    <row r="27">
      <c r="L27" s="25" t="inlineStr">
        <is>
          <t>LIMON MC C-3/4 CJ 6KG</t>
        </is>
      </c>
      <c r="M27" s="44">
        <f>1+1</f>
        <v/>
      </c>
      <c r="N27" s="19" t="n">
        <v>11.43</v>
      </c>
      <c r="O27" s="45" t="n">
        <v>0</v>
      </c>
      <c r="P27" s="17">
        <f>(M27*N27)-((M27*N27)*O27)</f>
        <v/>
      </c>
      <c r="R27" s="26" t="inlineStr">
        <is>
          <t>9-236591421</t>
        </is>
      </c>
      <c r="S27" s="17" t="n">
        <v>112.25</v>
      </c>
      <c r="T27" s="27" t="n">
        <v>0.04</v>
      </c>
    </row>
    <row r="28">
      <c r="L28" s="39" t="inlineStr">
        <is>
          <t>ALBAHACA MC BJ 125G</t>
        </is>
      </c>
      <c r="M28" s="40" t="n">
        <v>1</v>
      </c>
      <c r="N28" s="41" t="n">
        <v>3.47</v>
      </c>
      <c r="O28" s="42" t="n">
        <v>0</v>
      </c>
      <c r="P28" s="43">
        <f>(M28*N28)-((M28*N28)*O28)</f>
        <v/>
      </c>
      <c r="R28" s="26" t="inlineStr">
        <is>
          <t>9-236591421</t>
        </is>
      </c>
      <c r="S28" s="17" t="n">
        <v>3.62</v>
      </c>
      <c r="T28" s="27" t="n">
        <v>0.1</v>
      </c>
    </row>
    <row r="29">
      <c r="L29" s="25" t="inlineStr">
        <is>
          <t>CEBOLLA GUISOS MC SC 5KG</t>
        </is>
      </c>
      <c r="M29" s="44">
        <f>2+1+1+1+1+1+1+1+1+2</f>
        <v/>
      </c>
      <c r="N29" s="19" t="n">
        <v>4.72</v>
      </c>
      <c r="O29" s="45" t="n">
        <v>0</v>
      </c>
      <c r="P29" s="17">
        <f>(M29*N29)-((M29*N29)*O29)</f>
        <v/>
      </c>
      <c r="R29" s="26" t="inlineStr">
        <is>
          <t>9-236598015</t>
        </is>
      </c>
      <c r="S29" s="17" t="n">
        <v>26.54</v>
      </c>
      <c r="T29" s="27" t="n">
        <v>0.21</v>
      </c>
    </row>
    <row r="30">
      <c r="L30" s="39" t="inlineStr">
        <is>
          <t>CORAZON LECHUGA ROMANA 2UD</t>
        </is>
      </c>
      <c r="M30" s="40">
        <f>1+1+1+1</f>
        <v/>
      </c>
      <c r="N30" s="41" t="n">
        <v>1.97</v>
      </c>
      <c r="O30" s="42" t="n">
        <v>0</v>
      </c>
      <c r="P30" s="43">
        <f>(M30*N30)-((M30*N30)*O30)</f>
        <v/>
      </c>
      <c r="R30" s="26" t="inlineStr">
        <is>
          <t>9-236765839</t>
        </is>
      </c>
      <c r="S30" s="17" t="n">
        <v>89.95</v>
      </c>
      <c r="T30" s="27" t="n">
        <v>0.04</v>
      </c>
    </row>
    <row r="31">
      <c r="L31" s="25" t="inlineStr">
        <is>
          <t>ROMERO MC BJ 125G</t>
        </is>
      </c>
      <c r="M31" s="44" t="n">
        <v>1</v>
      </c>
      <c r="N31" s="19" t="n">
        <v>3.19</v>
      </c>
      <c r="O31" s="45" t="n">
        <v>0</v>
      </c>
      <c r="P31" s="17">
        <f>(M31*N31)-((M31*N31)*O31)</f>
        <v/>
      </c>
      <c r="R31" s="26" t="inlineStr">
        <is>
          <t>9-236765839</t>
        </is>
      </c>
      <c r="S31" s="17" t="n">
        <v>105.83</v>
      </c>
      <c r="T31" s="27" t="n">
        <v>0.1</v>
      </c>
    </row>
    <row r="32">
      <c r="L32" s="39" t="inlineStr">
        <is>
          <t>ESTRAGON MC BJ 125G</t>
        </is>
      </c>
      <c r="M32" s="40" t="n">
        <v>1</v>
      </c>
      <c r="N32" s="41" t="n">
        <v>3.47</v>
      </c>
      <c r="O32" s="42" t="n">
        <v>0</v>
      </c>
      <c r="P32" s="43">
        <f>(M32*N32)-((M32*N32)*O32)</f>
        <v/>
      </c>
      <c r="R32" s="26" t="inlineStr">
        <is>
          <t>9-236765839</t>
        </is>
      </c>
      <c r="S32" s="17" t="n">
        <v>13.81</v>
      </c>
      <c r="T32" s="27" t="n">
        <v>0.21</v>
      </c>
    </row>
    <row r="33">
      <c r="L33" s="25" t="inlineStr">
        <is>
          <t>ENELDO MC BJ 125G</t>
        </is>
      </c>
      <c r="M33" s="44" t="n">
        <v>1</v>
      </c>
      <c r="N33" s="19" t="n">
        <v>3.07</v>
      </c>
      <c r="O33" s="45" t="n">
        <v>0</v>
      </c>
      <c r="P33" s="17">
        <f>(M33*N33)-((M33*N33)*O33)</f>
        <v/>
      </c>
      <c r="R33" s="26" t="inlineStr">
        <is>
          <t>9-236845788</t>
        </is>
      </c>
      <c r="S33" s="17" t="n">
        <v>34.65</v>
      </c>
      <c r="T33" s="27" t="n">
        <v>0.04</v>
      </c>
    </row>
    <row r="34">
      <c r="L34" s="39" t="inlineStr">
        <is>
          <t>TOMILLO MC BJ 125G</t>
        </is>
      </c>
      <c r="M34" s="40" t="n">
        <v>1</v>
      </c>
      <c r="N34" s="41" t="n">
        <v>3.18</v>
      </c>
      <c r="O34" s="42" t="n">
        <v>0</v>
      </c>
      <c r="P34" s="43">
        <f>(M34*N34)-((M34*N34)*O34)</f>
        <v/>
      </c>
      <c r="R34" s="26" t="inlineStr">
        <is>
          <t>9-236845788</t>
        </is>
      </c>
      <c r="S34" s="17" t="n">
        <v>47.01</v>
      </c>
      <c r="T34" s="27" t="n">
        <v>0.1</v>
      </c>
    </row>
    <row r="35">
      <c r="L35" s="25" t="inlineStr">
        <is>
          <t>AJO BLANCO PELADO MC BL 1KG</t>
        </is>
      </c>
      <c r="M35" s="44">
        <f>3+2+2+2+2+2</f>
        <v/>
      </c>
      <c r="N35" s="19" t="n">
        <v>5.39</v>
      </c>
      <c r="O35" s="45" t="n">
        <v>0</v>
      </c>
      <c r="P35" s="17">
        <f>(M35*N35)-((M35*N35)*O35)</f>
        <v/>
      </c>
      <c r="R35" s="26" t="inlineStr">
        <is>
          <t>9-237553581</t>
        </is>
      </c>
      <c r="S35" s="17" t="n">
        <v>88.58</v>
      </c>
      <c r="T35" s="27" t="n">
        <v>0.1</v>
      </c>
    </row>
    <row r="36">
      <c r="L36" s="39" t="inlineStr">
        <is>
          <t>ARROZ LARGO MC 1KG (pack 10)</t>
        </is>
      </c>
      <c r="M36" s="40">
        <f>10+10</f>
        <v/>
      </c>
      <c r="N36" s="41" t="n">
        <v>1.389</v>
      </c>
      <c r="O36" s="42" t="n">
        <v>0</v>
      </c>
      <c r="P36" s="43">
        <f>(M36*N36)-((M36*N36)*O36)</f>
        <v/>
      </c>
      <c r="R36" s="26" t="inlineStr">
        <is>
          <t>9-237553581</t>
        </is>
      </c>
      <c r="S36" s="17" t="n">
        <v>75.14</v>
      </c>
      <c r="T36" s="27" t="n">
        <v>0.04</v>
      </c>
    </row>
    <row r="37">
      <c r="L37" s="25" t="inlineStr">
        <is>
          <t>TABASCO SALSA PICANTE 60ML (pack 6)</t>
        </is>
      </c>
      <c r="M37" s="44" t="n">
        <v>2</v>
      </c>
      <c r="N37" s="19" t="n">
        <v>19.99</v>
      </c>
      <c r="O37" s="45" t="n">
        <v>0</v>
      </c>
      <c r="P37" s="17">
        <f>(M37*N37)-((M37*N37)*O37)</f>
        <v/>
      </c>
      <c r="R37" s="26" t="inlineStr">
        <is>
          <t>9-238265217</t>
        </is>
      </c>
      <c r="S37" s="17" t="n">
        <v>62.94</v>
      </c>
      <c r="T37" s="27" t="n">
        <v>0.1</v>
      </c>
    </row>
    <row r="38">
      <c r="L38" s="39" t="inlineStr">
        <is>
          <t>HARINA TRIGO ESPECIAL FRITURA MC 1KG (pack 10)</t>
        </is>
      </c>
      <c r="M38" s="40" t="n">
        <v>10</v>
      </c>
      <c r="N38" s="41" t="n">
        <v>1.187</v>
      </c>
      <c r="O38" s="42" t="n">
        <v>0</v>
      </c>
      <c r="P38" s="43">
        <f>(M38*N38)-((M38*N38)*O38)</f>
        <v/>
      </c>
      <c r="R38" s="26" t="inlineStr">
        <is>
          <t>9-238265217</t>
        </is>
      </c>
      <c r="S38" s="17" t="n">
        <v>36.23</v>
      </c>
      <c r="T38" s="27" t="n">
        <v>0.04</v>
      </c>
    </row>
    <row r="39">
      <c r="L39" s="25" t="inlineStr">
        <is>
          <t>POLLO PECHUGA VC MC</t>
        </is>
      </c>
      <c r="M39" s="44">
        <f>5.93+6.601+5.175</f>
        <v/>
      </c>
      <c r="N39" s="19" t="n">
        <v>5.9296</v>
      </c>
      <c r="O39" s="45" t="n">
        <v>0</v>
      </c>
      <c r="P39" s="17">
        <f>(M39*N39)-((M39*N39)*O39)</f>
        <v/>
      </c>
      <c r="R39" s="26" t="inlineStr">
        <is>
          <t>9-238265217</t>
        </is>
      </c>
      <c r="S39" s="17" t="n">
        <v>18.47</v>
      </c>
      <c r="T39" s="27" t="n">
        <v>0.21</v>
      </c>
    </row>
    <row r="40">
      <c r="L40" s="39" t="inlineStr">
        <is>
          <t>MANTEQUILLA PULEVA BQ 1KG</t>
        </is>
      </c>
      <c r="M40" s="40">
        <f>8+6+6+4</f>
        <v/>
      </c>
      <c r="N40" s="41" t="n">
        <v>11.64</v>
      </c>
      <c r="O40" s="42" t="n">
        <v>0</v>
      </c>
      <c r="P40" s="43">
        <f>(M40*N40)-((M40*N40)*O40)</f>
        <v/>
      </c>
      <c r="R40" s="26" t="inlineStr">
        <is>
          <t>9-241215399</t>
        </is>
      </c>
      <c r="S40" s="17" t="n">
        <v>865.4400000000001</v>
      </c>
      <c r="T40" s="27" t="n">
        <v>0.1</v>
      </c>
    </row>
    <row r="41">
      <c r="L41" s="25" t="inlineStr">
        <is>
          <t>SALCHICHA FRANK. HTDOG 1KG ARO</t>
        </is>
      </c>
      <c r="M41" s="44">
        <f>1+3</f>
        <v/>
      </c>
      <c r="N41" s="19" t="n">
        <v>3.39</v>
      </c>
      <c r="O41" s="45" t="n">
        <v>0</v>
      </c>
      <c r="P41" s="17">
        <f>(M41*N41)-((M41*N41)*O41)</f>
        <v/>
      </c>
      <c r="R41" s="26" t="inlineStr">
        <is>
          <t>9-241215399</t>
        </is>
      </c>
      <c r="S41" s="17" t="n">
        <v>108.42</v>
      </c>
      <c r="T41" s="27" t="n">
        <v>0.04</v>
      </c>
    </row>
    <row r="42">
      <c r="L42" s="39" t="inlineStr">
        <is>
          <t>SOLOMILLO CERDO C/C CNG 5KG</t>
        </is>
      </c>
      <c r="M42" s="40">
        <f>1+1</f>
        <v/>
      </c>
      <c r="N42" s="41" t="n">
        <v>29.1</v>
      </c>
      <c r="O42" s="42" t="n">
        <v>0</v>
      </c>
      <c r="P42" s="43">
        <f>(M42*N42)-((M42*N42)*O42)</f>
        <v/>
      </c>
      <c r="R42" s="26" t="inlineStr">
        <is>
          <t>9-241215399</t>
        </is>
      </c>
      <c r="S42" s="17" t="n">
        <v>37.71</v>
      </c>
      <c r="T42" s="27" t="n">
        <v>0.21</v>
      </c>
    </row>
    <row r="43">
      <c r="L43" s="25" t="inlineStr">
        <is>
          <t>PANGA FTE 120/170 ARO 800G</t>
        </is>
      </c>
      <c r="M43" s="44">
        <f>2+3</f>
        <v/>
      </c>
      <c r="N43" s="19" t="n">
        <v>5.22</v>
      </c>
      <c r="O43" s="45" t="n">
        <v>0</v>
      </c>
      <c r="P43" s="17">
        <f>(M43*N43)-((M43*N43)*O43)</f>
        <v/>
      </c>
      <c r="R43" s="26" t="inlineStr">
        <is>
          <t>9-242017778</t>
        </is>
      </c>
      <c r="S43" s="17" t="n">
        <v>61.07</v>
      </c>
      <c r="T43" s="27" t="n">
        <v>0.04</v>
      </c>
    </row>
    <row r="44">
      <c r="L44" s="39" t="inlineStr">
        <is>
          <t>SAL GRUESA SECA MC 1KG (pack 12)</t>
        </is>
      </c>
      <c r="M44" s="40" t="n">
        <v>12</v>
      </c>
      <c r="N44" s="41" t="n">
        <v>0.4208</v>
      </c>
      <c r="O44" s="42" t="n">
        <v>0</v>
      </c>
      <c r="P44" s="43">
        <f>(M44*N44)-((M44*N44)*O44)</f>
        <v/>
      </c>
      <c r="R44" s="26" t="inlineStr">
        <is>
          <t>9-242017778</t>
        </is>
      </c>
      <c r="S44" s="17" t="n">
        <v>5.44</v>
      </c>
      <c r="T44" s="27" t="n">
        <v>0.1</v>
      </c>
    </row>
    <row r="45">
      <c r="L45" s="25" t="inlineStr">
        <is>
          <t>SAL MALDON 1.4 KG</t>
        </is>
      </c>
      <c r="M45" s="44">
        <f>1+1</f>
        <v/>
      </c>
      <c r="N45" s="19" t="n">
        <v>23.64</v>
      </c>
      <c r="O45" s="45" t="n">
        <v>0</v>
      </c>
      <c r="P45" s="17">
        <f>(M45*N45)-((M45*N45)*O45)</f>
        <v/>
      </c>
    </row>
    <row r="46">
      <c r="L46" s="39" t="inlineStr">
        <is>
          <t>PULCO BT 70CL LIMON</t>
        </is>
      </c>
      <c r="M46" s="40">
        <f>6+5</f>
        <v/>
      </c>
      <c r="N46" s="41" t="n">
        <v>4.07</v>
      </c>
      <c r="O46" s="42" t="n">
        <v>0</v>
      </c>
      <c r="P46" s="43">
        <f>(M46*N46)-((M46*N46)*O46)</f>
        <v/>
      </c>
    </row>
    <row r="47">
      <c r="L47" s="25" t="inlineStr">
        <is>
          <t>TOMATE C-GG MAD2/3 BJ</t>
        </is>
      </c>
      <c r="M47" s="44" t="n">
        <v>1.341</v>
      </c>
      <c r="N47" s="19" t="n">
        <v>5.123</v>
      </c>
      <c r="O47" s="45" t="n">
        <v>0</v>
      </c>
      <c r="P47" s="17">
        <f>(M47*N47)-((M47*N47)*O47)</f>
        <v/>
      </c>
    </row>
    <row r="48">
      <c r="L48" s="39" t="inlineStr">
        <is>
          <t>NARANJA ZUMO MC SC 5KG</t>
        </is>
      </c>
      <c r="M48" s="40">
        <f>1+1+1</f>
        <v/>
      </c>
      <c r="N48" s="41" t="n">
        <v>9.52</v>
      </c>
      <c r="O48" s="42" t="n">
        <v>0</v>
      </c>
      <c r="P48" s="43">
        <f>(M48*N48)-((M48*N48)*O48)</f>
        <v/>
      </c>
    </row>
    <row r="49">
      <c r="L49" s="25" t="inlineStr">
        <is>
          <t>AGUACATE PREMADURO MC C-12/16 4KG</t>
        </is>
      </c>
      <c r="M49" s="44">
        <f>1+1+1+1</f>
        <v/>
      </c>
      <c r="N49" s="19" t="n">
        <v>22.72</v>
      </c>
      <c r="O49" s="45" t="n">
        <v>0</v>
      </c>
      <c r="P49" s="17">
        <f>(M49*N49)-((M49*N49)*O49)</f>
        <v/>
      </c>
    </row>
    <row r="50">
      <c r="L50" s="39" t="inlineStr">
        <is>
          <t>PIMIENTO LAMYO VDE ARO CJ 4,5/5KG</t>
        </is>
      </c>
      <c r="M50" s="40" t="n">
        <v>1</v>
      </c>
      <c r="N50" s="41" t="n">
        <v>10.33</v>
      </c>
      <c r="O50" s="42" t="n">
        <v>0</v>
      </c>
      <c r="P50" s="43">
        <f>(M50*N50)-((M50*N50)*O50)</f>
        <v/>
      </c>
    </row>
    <row r="51">
      <c r="L51" s="25" t="inlineStr">
        <is>
          <t>HUEVO LIQUIDO MC BT 1L</t>
        </is>
      </c>
      <c r="M51" s="44">
        <f>6+6</f>
        <v/>
      </c>
      <c r="N51" s="19" t="n">
        <v>5.14</v>
      </c>
      <c r="O51" s="45" t="n">
        <v>0</v>
      </c>
      <c r="P51" s="17">
        <f>(M51*N51)-((M51*N51)*O51)</f>
        <v/>
      </c>
    </row>
    <row r="52">
      <c r="L52" s="39" t="inlineStr">
        <is>
          <t>POLLO TRASERO VC</t>
        </is>
      </c>
      <c r="M52" s="40">
        <f>11.928+7.11</f>
        <v/>
      </c>
      <c r="N52" s="41" t="n">
        <v>2.6</v>
      </c>
      <c r="O52" s="42" t="n">
        <v>0</v>
      </c>
      <c r="P52" s="43">
        <f>(M52*N52)-((M52*N52)*O52)</f>
        <v/>
      </c>
    </row>
    <row r="53">
      <c r="L53" s="25" t="inlineStr">
        <is>
          <t>CINTA LOMO ADB EXTRATIERNA EPZ</t>
        </is>
      </c>
      <c r="M53" s="44">
        <f>4.59+4.704</f>
        <v/>
      </c>
      <c r="N53" s="19" t="n">
        <v>7.0196</v>
      </c>
      <c r="O53" s="45" t="n">
        <v>0</v>
      </c>
      <c r="P53" s="17">
        <f>(M53*N53)-((M53*N53)*O53)</f>
        <v/>
      </c>
    </row>
    <row r="54">
      <c r="L54" s="39" t="inlineStr">
        <is>
          <t>LIMON 2A CJ 9KG</t>
        </is>
      </c>
      <c r="M54" s="40">
        <f>1+1+1</f>
        <v/>
      </c>
      <c r="N54" s="41" t="n">
        <v>15.24</v>
      </c>
      <c r="O54" s="42" t="n">
        <v>0</v>
      </c>
      <c r="P54" s="43">
        <f>(M54*N54)-((M54*N54)*O54)</f>
        <v/>
      </c>
    </row>
    <row r="55">
      <c r="L55" s="25" t="inlineStr">
        <is>
          <t>ZANAHORIA MC 5KG</t>
        </is>
      </c>
      <c r="M55" s="44">
        <f>1+1+1</f>
        <v/>
      </c>
      <c r="N55" s="19" t="n">
        <v>5.82</v>
      </c>
      <c r="O55" s="45" t="n">
        <v>0</v>
      </c>
      <c r="P55" s="17">
        <f>(M55*N55)-((M55*N55)*O55)</f>
        <v/>
      </c>
    </row>
    <row r="56">
      <c r="L56" s="39" t="inlineStr">
        <is>
          <t>CEBOLLINO MC MJ 125G</t>
        </is>
      </c>
      <c r="M56" s="40">
        <f>2+1+1+1+1+4+1</f>
        <v/>
      </c>
      <c r="N56" s="41" t="n">
        <v>3.62</v>
      </c>
      <c r="O56" s="42" t="n">
        <v>0</v>
      </c>
      <c r="P56" s="43">
        <f>(M56*N56)-((M56*N56)*O56)</f>
        <v/>
      </c>
    </row>
    <row r="57">
      <c r="L57" s="25" t="inlineStr">
        <is>
          <t>PIMIENTO LAMYO RJ ARO CJ 4,5/5KG</t>
        </is>
      </c>
      <c r="M57" s="44">
        <f>1+1</f>
        <v/>
      </c>
      <c r="N57" s="19" t="n">
        <v>12.75</v>
      </c>
      <c r="O57" s="45" t="n">
        <v>0</v>
      </c>
      <c r="P57" s="17">
        <f>(M57*N57)-((M57*N57)*O57)</f>
        <v/>
      </c>
    </row>
    <row r="58">
      <c r="L58" s="39" t="inlineStr">
        <is>
          <t>PIMIENTO LAMYO VDE ARO CJ 4,5/5KG</t>
        </is>
      </c>
      <c r="M58" s="40">
        <f>1+1+1</f>
        <v/>
      </c>
      <c r="N58" s="41" t="n">
        <v>14.29</v>
      </c>
      <c r="O58" s="42" t="n">
        <v>0</v>
      </c>
      <c r="P58" s="43">
        <f>(M58*N58)-((M58*N58)*O58)</f>
        <v/>
      </c>
    </row>
    <row r="59">
      <c r="L59" s="25" t="inlineStr">
        <is>
          <t>LEA &amp; PERRINS SALSA WORCESTERSHIRE BIDON 2L</t>
        </is>
      </c>
      <c r="M59" s="44" t="n">
        <v>1</v>
      </c>
      <c r="N59" s="19" t="n">
        <v>20.44</v>
      </c>
      <c r="O59" s="45" t="n">
        <v>0</v>
      </c>
      <c r="P59" s="17">
        <f>(M59*N59)-((M59*N59)*O59)</f>
        <v/>
      </c>
    </row>
    <row r="60">
      <c r="L60" s="39" t="inlineStr">
        <is>
          <t>BAYETA MPRO ROLLO PUNTO AZUL 3KG</t>
        </is>
      </c>
      <c r="M60" s="40">
        <f>1+1</f>
        <v/>
      </c>
      <c r="N60" s="41" t="n">
        <v>18.47</v>
      </c>
      <c r="O60" s="42" t="n">
        <v>0</v>
      </c>
      <c r="P60" s="43">
        <f>(M60*N60)-((M60*N60)*O60)</f>
        <v/>
      </c>
    </row>
    <row r="61">
      <c r="L61" s="25" t="inlineStr">
        <is>
          <t>CALABACIN 2A MA 2KG</t>
        </is>
      </c>
      <c r="M61" s="44">
        <f>1+1</f>
        <v/>
      </c>
      <c r="N61" s="19" t="n">
        <v>4.39</v>
      </c>
      <c r="O61" s="45" t="n">
        <v>0</v>
      </c>
      <c r="P61" s="17">
        <f>(M61*N61)-((M61*N61)*O61)</f>
        <v/>
      </c>
    </row>
    <row r="62">
      <c r="L62" s="39" t="inlineStr">
        <is>
          <t>PIMIENTO LAMYO RJ ARO CJ 4,5/5KG</t>
        </is>
      </c>
      <c r="M62" s="40">
        <f>1+1+1</f>
        <v/>
      </c>
      <c r="N62" s="41" t="n">
        <v>12.86</v>
      </c>
      <c r="O62" s="42" t="n">
        <v>0</v>
      </c>
      <c r="P62" s="43">
        <f>(M62*N62)-((M62*N62)*O62)</f>
        <v/>
      </c>
    </row>
    <row r="63">
      <c r="L63" s="25" t="inlineStr">
        <is>
          <t>SPAGHETTI ARO 5KG</t>
        </is>
      </c>
      <c r="M63" s="44" t="n">
        <v>1</v>
      </c>
      <c r="N63" s="19" t="n">
        <v>6.45</v>
      </c>
      <c r="O63" s="45" t="n">
        <v>0</v>
      </c>
      <c r="P63" s="17">
        <f>(M63*N63)-((M63*N63)*O63)</f>
        <v/>
      </c>
    </row>
    <row r="64">
      <c r="L64" s="39" t="inlineStr">
        <is>
          <t>PIMENTON DULCE DOP DALIA 800G</t>
        </is>
      </c>
      <c r="M64" s="40" t="n">
        <v>2</v>
      </c>
      <c r="N64" s="41" t="n">
        <v>14.7</v>
      </c>
      <c r="O64" s="42" t="n">
        <v>0</v>
      </c>
      <c r="P64" s="43">
        <f>(M64*N64)-((M64*N64)*O64)</f>
        <v/>
      </c>
    </row>
    <row r="65">
      <c r="L65" s="25" t="inlineStr">
        <is>
          <t>PIMENTON PICANTE DOP DALIA 800G</t>
        </is>
      </c>
      <c r="M65" s="44" t="n">
        <v>1</v>
      </c>
      <c r="N65" s="19" t="n">
        <v>14.7</v>
      </c>
      <c r="O65" s="45" t="n">
        <v>0</v>
      </c>
      <c r="P65" s="17">
        <f>(M65*N65)-((M65*N65)*O65)</f>
        <v/>
      </c>
    </row>
    <row r="66">
      <c r="L66" s="39" t="inlineStr">
        <is>
          <t>SSA SOJA KIKKOMAN 1L</t>
        </is>
      </c>
      <c r="M66" s="40" t="n">
        <v>2</v>
      </c>
      <c r="N66" s="41" t="n">
        <v>9.029999999999999</v>
      </c>
      <c r="O66" s="42" t="n">
        <v>0</v>
      </c>
      <c r="P66" s="43">
        <f>(M66*N66)-((M66*N66)*O66)</f>
        <v/>
      </c>
    </row>
    <row r="67">
      <c r="L67" s="25" t="inlineStr">
        <is>
          <t>KETCHUP ARO 1,85KG</t>
        </is>
      </c>
      <c r="M67" s="44" t="n">
        <v>1</v>
      </c>
      <c r="N67" s="19" t="n">
        <v>3.9</v>
      </c>
      <c r="O67" s="45" t="n">
        <v>0</v>
      </c>
      <c r="P67" s="17">
        <f>(M67*N67)-((M67*N67)*O67)</f>
        <v/>
      </c>
    </row>
    <row r="68">
      <c r="L68" s="39" t="inlineStr">
        <is>
          <t>TOMATE C-GG MAD2/3 BJ</t>
        </is>
      </c>
      <c r="M68" s="40">
        <f>1.616+1.58</f>
        <v/>
      </c>
      <c r="N68" s="41" t="n">
        <v>6.5895</v>
      </c>
      <c r="O68" s="42" t="n">
        <v>0</v>
      </c>
      <c r="P68" s="43">
        <f>(M68*N68)-((M68*N68)*O68)</f>
        <v/>
      </c>
    </row>
    <row r="69">
      <c r="L69" s="25" t="inlineStr">
        <is>
          <t>LIMON 2A CJ 9KG</t>
        </is>
      </c>
      <c r="M69" s="44">
        <f>1+1+1</f>
        <v/>
      </c>
      <c r="N69" s="19" t="n">
        <v>13.41</v>
      </c>
      <c r="O69" s="45" t="n">
        <v>0</v>
      </c>
      <c r="P69" s="17">
        <f>(M69*N69)-((M69*N69)*O69)</f>
        <v/>
      </c>
    </row>
    <row r="70">
      <c r="L70" s="39" t="inlineStr">
        <is>
          <t>LIMON MC C-3/4 CJ 6KG</t>
        </is>
      </c>
      <c r="M70" s="40" t="n">
        <v>1</v>
      </c>
      <c r="N70" s="41" t="n">
        <v>11.17</v>
      </c>
      <c r="O70" s="42" t="n">
        <v>0</v>
      </c>
      <c r="P70" s="43">
        <f>(M70*N70)-((M70*N70)*O70)</f>
        <v/>
      </c>
    </row>
    <row r="71">
      <c r="L71" s="25" t="inlineStr">
        <is>
          <t>GUINDILLA 300G</t>
        </is>
      </c>
      <c r="M71" s="44" t="n">
        <v>1</v>
      </c>
      <c r="N71" s="19" t="n">
        <v>11.76</v>
      </c>
      <c r="O71" s="45" t="n">
        <v>0</v>
      </c>
      <c r="P71" s="17">
        <f>(M71*N71)-((M71*N71)*O71)</f>
        <v/>
      </c>
    </row>
    <row r="72">
      <c r="L72" s="39" t="inlineStr">
        <is>
          <t>ROTULADOR PERM ARO NEGRO (caja 12)</t>
        </is>
      </c>
      <c r="M72" s="40" t="n">
        <v>2</v>
      </c>
      <c r="N72" s="41" t="n">
        <v>13.27</v>
      </c>
      <c r="O72" s="42" t="n">
        <v>0</v>
      </c>
      <c r="P72" s="43">
        <f>(M72*N72)-((M72*N72)*O72)</f>
        <v/>
      </c>
    </row>
    <row r="73">
      <c r="L73" s="25" t="inlineStr">
        <is>
          <t>SSA BBQ MC 1,85KG</t>
        </is>
      </c>
      <c r="M73" s="44" t="n">
        <v>1</v>
      </c>
      <c r="N73" s="19" t="n">
        <v>5.77</v>
      </c>
      <c r="O73" s="45" t="n">
        <v>0</v>
      </c>
      <c r="P73" s="17">
        <f>(M73*N73)-((M73*N73)*O73)</f>
        <v/>
      </c>
    </row>
    <row r="74">
      <c r="L74" s="39" t="inlineStr">
        <is>
          <t>LIMAS CJ 4KG</t>
        </is>
      </c>
      <c r="M74" s="40" t="n">
        <v>1</v>
      </c>
      <c r="N74" s="41" t="n">
        <v>12.97</v>
      </c>
      <c r="O74" s="42" t="n">
        <v>0</v>
      </c>
      <c r="P74" s="43">
        <f>(M74*N74)-((M74*N74)*O74)</f>
        <v/>
      </c>
    </row>
    <row r="75">
      <c r="L75" s="25" t="inlineStr">
        <is>
          <t>HIERBABUENA MC BJ 125G</t>
        </is>
      </c>
      <c r="M75" s="44" t="n">
        <v>3</v>
      </c>
      <c r="N75" s="19" t="n">
        <v>3.07</v>
      </c>
      <c r="O75" s="45" t="n">
        <v>0</v>
      </c>
      <c r="P75" s="17">
        <f>(M75*N75)-((M75*N75)*O75)</f>
        <v/>
      </c>
    </row>
    <row r="76">
      <c r="L76" s="39" t="inlineStr">
        <is>
          <t>AZUCAR MORENO ACOR 1KG</t>
        </is>
      </c>
      <c r="M76" s="40" t="n">
        <v>4</v>
      </c>
      <c r="N76" s="41" t="n">
        <v>2.3</v>
      </c>
      <c r="O76" s="42" t="n">
        <v>0</v>
      </c>
      <c r="P76" s="43">
        <f>(M76*N76)-((M76*N76)*O76)</f>
        <v/>
      </c>
    </row>
    <row r="77">
      <c r="L77" s="25" t="inlineStr">
        <is>
          <t>PAN HOT DOG MC 12UD</t>
        </is>
      </c>
      <c r="M77" s="44" t="n">
        <v>2</v>
      </c>
      <c r="N77" s="19" t="n">
        <v>2.74</v>
      </c>
      <c r="O77" s="45" t="n">
        <v>0</v>
      </c>
      <c r="P77" s="17">
        <f>(M77*N77)-((M77*N77)*O77)</f>
        <v/>
      </c>
    </row>
    <row r="78">
      <c r="L78" s="39" t="inlineStr">
        <is>
          <t>ZANAHORIA MC 5KG</t>
        </is>
      </c>
      <c r="M78" s="40">
        <f>1+1</f>
        <v/>
      </c>
      <c r="N78" s="41" t="n">
        <v>5.25</v>
      </c>
      <c r="O78" s="42" t="n">
        <v>0</v>
      </c>
      <c r="P78" s="43">
        <f>(M78*N78)-((M78*N78)*O78)</f>
        <v/>
      </c>
    </row>
    <row r="79">
      <c r="L79" s="25" t="inlineStr">
        <is>
          <t>CEBOLLA GUISOS MC SC 5KG</t>
        </is>
      </c>
      <c r="M79" s="44" t="n">
        <v>2</v>
      </c>
      <c r="N79" s="19" t="n">
        <v>5.67</v>
      </c>
      <c r="O79" s="45" t="n">
        <v>0</v>
      </c>
      <c r="P79" s="17">
        <f>(M79*N79)-((M79*N79)*O79)</f>
        <v/>
      </c>
    </row>
    <row r="80">
      <c r="L80" s="39" t="inlineStr">
        <is>
          <t>PIMIENTO LAMYO RJ ARO CJ 4,5/5KG</t>
        </is>
      </c>
      <c r="M80" s="40">
        <f>1+1+1</f>
        <v/>
      </c>
      <c r="N80" s="41" t="n">
        <v>11.54</v>
      </c>
      <c r="O80" s="42" t="n">
        <v>0</v>
      </c>
      <c r="P80" s="43">
        <f>(M80*N80)-((M80*N80)*O80)</f>
        <v/>
      </c>
    </row>
    <row r="81">
      <c r="L81" s="25" t="inlineStr">
        <is>
          <t>PIMIENTO LAMYO VDE ARO CJ 4,5/5KG</t>
        </is>
      </c>
      <c r="M81" s="44">
        <f>1+1+1</f>
        <v/>
      </c>
      <c r="N81" s="19" t="n">
        <v>14.73</v>
      </c>
      <c r="O81" s="45" t="n">
        <v>0</v>
      </c>
      <c r="P81" s="17">
        <f>(M81*N81)-((M81*N81)*O81)</f>
        <v/>
      </c>
    </row>
    <row r="82">
      <c r="L82" s="39" t="inlineStr">
        <is>
          <t>NARANJA ZUMO MC SC 5KG</t>
        </is>
      </c>
      <c r="M82" s="40">
        <f>1+1</f>
        <v/>
      </c>
      <c r="N82" s="41" t="n">
        <v>7.55</v>
      </c>
      <c r="O82" s="42" t="n">
        <v>0</v>
      </c>
      <c r="P82" s="43">
        <f>(M82*N82)-((M82*N82)*O82)</f>
        <v/>
      </c>
    </row>
    <row r="83">
      <c r="L83" s="25" t="inlineStr">
        <is>
          <t>VINAGRE VINO BCO MC 5L</t>
        </is>
      </c>
      <c r="M83" s="44" t="n">
        <v>3</v>
      </c>
      <c r="N83" s="19" t="n">
        <v>3.91</v>
      </c>
      <c r="O83" s="45" t="n">
        <v>0</v>
      </c>
      <c r="P83" s="17">
        <f>(M83*N83)-((M83*N83)*O83)</f>
        <v/>
      </c>
    </row>
    <row r="84">
      <c r="L84" s="39" t="inlineStr">
        <is>
          <t>MANTEQUILLA PRESIDENT BQ 1KG</t>
        </is>
      </c>
      <c r="M84" s="40" t="n">
        <v>5</v>
      </c>
      <c r="N84" s="41" t="n">
        <v>16.98</v>
      </c>
      <c r="O84" s="42" t="n">
        <v>0</v>
      </c>
      <c r="P84" s="43">
        <f>(M84*N84)-((M84*N84)*O84)</f>
        <v/>
      </c>
    </row>
    <row r="85">
      <c r="L85" s="25" t="inlineStr">
        <is>
          <t>LECHE ENT ARO BK 1L (caja 6)</t>
        </is>
      </c>
      <c r="M85" s="44" t="n">
        <v>6</v>
      </c>
      <c r="N85" s="19" t="n">
        <v>0.9867</v>
      </c>
      <c r="O85" s="45" t="n">
        <v>0</v>
      </c>
      <c r="P85" s="17">
        <f>(M85*N85)-((M85*N85)*O85)</f>
        <v/>
      </c>
    </row>
    <row r="86">
      <c r="L86" s="39" t="inlineStr">
        <is>
          <t>FOIE MICUIT ENTER MARTIKO 500G</t>
        </is>
      </c>
      <c r="M86" s="40" t="n">
        <v>14</v>
      </c>
      <c r="N86" s="41" t="n">
        <v>47.22</v>
      </c>
      <c r="O86" s="42" t="n">
        <v>0</v>
      </c>
      <c r="P86" s="43">
        <f>(M86*N86)-((M86*N86)*O86)</f>
        <v/>
      </c>
    </row>
    <row r="87">
      <c r="L87" s="25" t="inlineStr">
        <is>
          <t>LIMON 2A CJ 9KG</t>
        </is>
      </c>
      <c r="M87" s="44" t="n">
        <v>1</v>
      </c>
      <c r="N87" s="19" t="n">
        <v>13.7</v>
      </c>
      <c r="O87" s="45" t="n">
        <v>0</v>
      </c>
      <c r="P87" s="17">
        <f>(M87*N87)-((M87*N87)*O87)</f>
        <v/>
      </c>
    </row>
    <row r="88">
      <c r="L88" s="39" t="inlineStr">
        <is>
          <t>CEBOLLINO MC MJ 125G</t>
        </is>
      </c>
      <c r="M88" s="40">
        <f>3+1</f>
        <v/>
      </c>
      <c r="N88" s="41" t="n">
        <v>3.73</v>
      </c>
      <c r="O88" s="42" t="n">
        <v>0</v>
      </c>
      <c r="P88" s="43">
        <f>(M88*N88)-((M88*N88)*O88)</f>
        <v/>
      </c>
    </row>
    <row r="89">
      <c r="L89" s="25" t="inlineStr">
        <is>
          <t>CEBOLLA GUISOS MC SC 5KG</t>
        </is>
      </c>
      <c r="M89" s="44">
        <f>1+2</f>
        <v/>
      </c>
      <c r="N89" s="19" t="n">
        <v>4.83</v>
      </c>
      <c r="O89" s="45" t="n">
        <v>0</v>
      </c>
      <c r="P89" s="17">
        <f>(M89*N89)-((M89*N89)*O89)</f>
        <v/>
      </c>
    </row>
    <row r="90">
      <c r="L90" s="39" t="inlineStr">
        <is>
          <t>AJO BLANCO PELADO MC BL 1KG</t>
        </is>
      </c>
      <c r="M90" s="40" t="n">
        <v>4</v>
      </c>
      <c r="N90" s="41" t="n">
        <v>5.0675</v>
      </c>
      <c r="O90" s="42" t="n">
        <v>0</v>
      </c>
      <c r="P90" s="43">
        <f>(M90*N90)-((M90*N90)*O90)</f>
        <v/>
      </c>
    </row>
    <row r="91">
      <c r="L91" s="25" t="inlineStr">
        <is>
          <t>CALDO PESCADO KNORR 1KG</t>
        </is>
      </c>
      <c r="M91" s="44" t="n">
        <v>1</v>
      </c>
      <c r="N91" s="19" t="n">
        <v>10.35</v>
      </c>
      <c r="O91" s="45" t="n">
        <v>0</v>
      </c>
      <c r="P91" s="17">
        <f>(M91*N91)-((M91*N91)*O91)</f>
        <v/>
      </c>
    </row>
    <row r="92">
      <c r="L92" s="39" t="inlineStr">
        <is>
          <t>SAL FINA MC 1KG (pack 12)</t>
        </is>
      </c>
      <c r="M92" s="40" t="n">
        <v>12</v>
      </c>
      <c r="N92" s="41" t="n">
        <v>0.4192</v>
      </c>
      <c r="O92" s="42" t="n">
        <v>0</v>
      </c>
      <c r="P92" s="43">
        <f>(M92*N92)-((M92*N92)*O92)</f>
        <v/>
      </c>
    </row>
    <row r="93">
      <c r="L93" s="25" t="inlineStr">
        <is>
          <t>SAL MALDON 1.4 KG</t>
        </is>
      </c>
      <c r="M93" s="44" t="n">
        <v>1</v>
      </c>
      <c r="N93" s="19" t="n">
        <v>22.19</v>
      </c>
      <c r="O93" s="45" t="n">
        <v>0</v>
      </c>
      <c r="P93" s="17">
        <f>(M93*N93)-((M93*N93)*O93)</f>
        <v/>
      </c>
    </row>
    <row r="94">
      <c r="L94" s="39" t="inlineStr">
        <is>
          <t>BOLSA VACIO MPRO 20X30 100PZA</t>
        </is>
      </c>
      <c r="M94" s="40" t="n">
        <v>2</v>
      </c>
      <c r="N94" s="41" t="n">
        <v>11.95</v>
      </c>
      <c r="O94" s="42" t="n">
        <v>0</v>
      </c>
      <c r="P94" s="43">
        <f>(M94*N94)-((M94*N94)*O94)</f>
        <v/>
      </c>
    </row>
    <row r="95">
      <c r="L95" s="25" t="inlineStr">
        <is>
          <t>AGUACATE PREMADURO MC 1KG</t>
        </is>
      </c>
      <c r="M95" s="44" t="n">
        <v>1</v>
      </c>
      <c r="N95" s="19" t="n">
        <v>6.25</v>
      </c>
      <c r="O95" s="45" t="n">
        <v>0</v>
      </c>
      <c r="P95" s="17">
        <f>(M95*N95)-((M95*N95)*O95)</f>
        <v/>
      </c>
    </row>
    <row r="96">
      <c r="L96" s="39" t="inlineStr">
        <is>
          <t>LIMON MC C-3/4 CJ 6KG</t>
        </is>
      </c>
      <c r="M96" s="40" t="n">
        <v>1</v>
      </c>
      <c r="N96" s="41" t="n">
        <v>10.73</v>
      </c>
      <c r="O96" s="42" t="n">
        <v>0</v>
      </c>
      <c r="P96" s="43">
        <f>(M96*N96)-((M96*N96)*O96)</f>
        <v/>
      </c>
    </row>
  </sheetData>
  <mergeCells count="2">
    <mergeCell ref="B2:F3"/>
    <mergeCell ref="L2:P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A6A6A6"/>
    <outlinePr summaryBelow="1" summaryRight="1"/>
    <pageSetUpPr/>
  </sheetPr>
  <dimension ref="B2:AD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RACION CECINA PREMIUM 100gr</t>
        </is>
      </c>
      <c r="C6" s="40">
        <f>20+15</f>
        <v/>
      </c>
      <c r="D6" s="41" t="n">
        <v>7.35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RACION J. BELLOTA 100% 100gr</t>
        </is>
      </c>
      <c r="M6" s="40" t="n">
        <v>20</v>
      </c>
      <c r="N6" s="41" t="n">
        <v>13.9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RACION J. BELLOTA 100% 100gr</t>
        </is>
      </c>
      <c r="W6" s="40">
        <f>20+30+40</f>
        <v/>
      </c>
      <c r="X6" s="41" t="n">
        <v>13.9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CECINA PREMIUM EMBUCHADA</t>
        </is>
      </c>
      <c r="C7" s="44">
        <f>-1.34</f>
        <v/>
      </c>
      <c r="D7" s="19" t="n">
        <v>58.9</v>
      </c>
      <c r="E7" s="45" t="n">
        <v>0</v>
      </c>
      <c r="F7" s="17">
        <f>(C7*D7)-((C7*D7)*E7)</f>
        <v/>
      </c>
      <c r="L7" s="25" t="inlineStr">
        <is>
          <t>RACION CECINA PREMIUM 100gr (BLACK ANGUS)</t>
        </is>
      </c>
      <c r="M7" s="44" t="n">
        <v>20</v>
      </c>
      <c r="N7" s="19" t="n">
        <v>7.35</v>
      </c>
      <c r="O7" s="45" t="n">
        <v>0</v>
      </c>
      <c r="P7" s="17">
        <f>(M7*N7)-((M7*N7)*O7)</f>
        <v/>
      </c>
      <c r="V7" s="25" t="inlineStr">
        <is>
          <t>RACION CECINA PREMIUM 100gr (BLACK ANGUS)</t>
        </is>
      </c>
      <c r="W7" s="44">
        <f>20+20</f>
        <v/>
      </c>
      <c r="X7" s="19" t="n">
        <v>7.35</v>
      </c>
      <c r="Y7" s="45" t="n">
        <v>0</v>
      </c>
      <c r="Z7" s="17">
        <f>(W7*X7)-((W7*X7)*Y7)</f>
        <v/>
      </c>
    </row>
    <row r="8" ht="15" customHeight="1">
      <c r="B8" s="39" t="inlineStr">
        <is>
          <t>RACION J. BELLOTA 100% 100gr</t>
        </is>
      </c>
      <c r="C8" s="40">
        <f>15+20</f>
        <v/>
      </c>
      <c r="D8" s="41" t="n">
        <v>13.9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RACION CECINA PREMIUM 100gr WAGYU</t>
        </is>
      </c>
      <c r="W8" s="40" t="n">
        <v>20</v>
      </c>
      <c r="X8" s="41" t="n">
        <v>16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RACION CECINA BLACK ANGUS WAGYU 100gr</t>
        </is>
      </c>
      <c r="C9" s="44" t="n">
        <v>15</v>
      </c>
      <c r="D9" s="19" t="n">
        <v>16</v>
      </c>
      <c r="E9" s="45" t="n">
        <v>0</v>
      </c>
      <c r="F9" s="17">
        <f>(C9*D9)-((C9*D9)*E9)</f>
        <v/>
      </c>
      <c r="H9" s="26" t="inlineStr">
        <is>
          <t>26/10457</t>
        </is>
      </c>
      <c r="I9" s="17" t="n">
        <v>68.06999999999999</v>
      </c>
      <c r="J9" s="27" t="n">
        <v>0.1</v>
      </c>
      <c r="R9" s="26" t="inlineStr">
        <is>
          <t>26/11925</t>
        </is>
      </c>
      <c r="S9" s="17" t="n">
        <v>425</v>
      </c>
      <c r="T9" s="27" t="n">
        <v>0.1</v>
      </c>
      <c r="AB9" s="26" t="inlineStr">
        <is>
          <t>26/12307</t>
        </is>
      </c>
      <c r="AC9" s="17" t="n">
        <v>278</v>
      </c>
      <c r="AD9" s="27" t="n">
        <v>0.1</v>
      </c>
    </row>
    <row r="10" ht="15" customHeight="1">
      <c r="H10" s="26" t="inlineStr">
        <is>
          <t>26/11141</t>
        </is>
      </c>
      <c r="I10" s="17" t="n">
        <v>558.75</v>
      </c>
      <c r="J10" s="27" t="n">
        <v>0.1</v>
      </c>
      <c r="AB10" s="26" t="inlineStr">
        <is>
          <t>26/12750</t>
        </is>
      </c>
      <c r="AC10" s="17" t="n">
        <v>147</v>
      </c>
      <c r="AD10" s="27" t="n">
        <v>0.1</v>
      </c>
    </row>
    <row r="11" ht="15" customHeight="1">
      <c r="H11" s="26" t="inlineStr">
        <is>
          <t>26/10768</t>
        </is>
      </c>
      <c r="I11" s="17" t="n">
        <v>278</v>
      </c>
      <c r="J11" s="27" t="n">
        <v>0.1</v>
      </c>
      <c r="AB11" s="26" t="inlineStr">
        <is>
          <t>26/12916</t>
        </is>
      </c>
      <c r="AC11" s="17" t="n">
        <v>417</v>
      </c>
      <c r="AD11" s="27" t="n">
        <v>0.1</v>
      </c>
    </row>
    <row r="12">
      <c r="AB12" s="26" t="inlineStr">
        <is>
          <t>26/13079</t>
        </is>
      </c>
      <c r="AC12" s="17" t="n">
        <v>320</v>
      </c>
      <c r="AD12" s="27" t="n">
        <v>0.1</v>
      </c>
    </row>
    <row r="13">
      <c r="AB13" s="26" t="inlineStr">
        <is>
          <t>26/13329</t>
        </is>
      </c>
      <c r="AC13" s="17" t="n">
        <v>556</v>
      </c>
      <c r="AD13" s="27" t="n">
        <v>0.1</v>
      </c>
    </row>
    <row r="14">
      <c r="AB14" s="26" t="inlineStr">
        <is>
          <t>26/13640</t>
        </is>
      </c>
      <c r="AC14" s="17" t="n">
        <v>147</v>
      </c>
      <c r="AD14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A6A6A6"/>
    <outlinePr summaryBelow="1" summaryRight="1"/>
    <pageSetUpPr/>
  </sheetPr>
  <dimension ref="B2:AD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BERBERECHO</t>
        </is>
      </c>
      <c r="C6" s="40">
        <f>6+2+2+2+2+2+2+2</f>
        <v/>
      </c>
      <c r="D6" s="41" t="n">
        <v>25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MEJILLONES</t>
        </is>
      </c>
      <c r="M6" s="40">
        <f>5+5+5</f>
        <v/>
      </c>
      <c r="N6" s="41" t="n">
        <v>2.7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BERBERECHO</t>
        </is>
      </c>
      <c r="W6" s="40">
        <f>2+4+2+2+2+4+2+2+2+4+4</f>
        <v/>
      </c>
      <c r="X6" s="41" t="n">
        <v>22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MEJILLONES</t>
        </is>
      </c>
      <c r="C7" s="44">
        <f>15+5+5+5+5+5+5</f>
        <v/>
      </c>
      <c r="D7" s="19" t="n">
        <v>2.7</v>
      </c>
      <c r="E7" s="45" t="n">
        <v>0</v>
      </c>
      <c r="F7" s="17">
        <f>(C7*D7)-((C7*D7)*E7)</f>
        <v/>
      </c>
      <c r="L7" s="25" t="inlineStr">
        <is>
          <t>CHOCHAS GDA</t>
        </is>
      </c>
      <c r="M7" s="44">
        <f>2+3+2+2+2+2+2+4</f>
        <v/>
      </c>
      <c r="N7" s="19" t="n">
        <v>50</v>
      </c>
      <c r="O7" s="45" t="n">
        <v>0</v>
      </c>
      <c r="P7" s="17">
        <f>(M7*N7)-((M7*N7)*O7)</f>
        <v/>
      </c>
      <c r="V7" s="25" t="inlineStr">
        <is>
          <t>CHOCHAS GDA</t>
        </is>
      </c>
      <c r="W7" s="44">
        <f>2+2+2+2+4+2+2+2+4+2+2</f>
        <v/>
      </c>
      <c r="X7" s="19" t="n">
        <v>50</v>
      </c>
      <c r="Y7" s="45" t="n">
        <v>0</v>
      </c>
      <c r="Z7" s="17">
        <f>(W7*X7)-((W7*X7)*Y7)</f>
        <v/>
      </c>
    </row>
    <row r="8" ht="15" customHeight="1">
      <c r="B8" s="39" t="inlineStr">
        <is>
          <t>CAMARON</t>
        </is>
      </c>
      <c r="C8" s="40">
        <f>1+0.3+0.5+0.5+0.5</f>
        <v/>
      </c>
      <c r="D8" s="41" t="n">
        <v>98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BERBERECHO</t>
        </is>
      </c>
      <c r="M8" s="40">
        <f>2+1</f>
        <v/>
      </c>
      <c r="N8" s="41" t="n">
        <v>22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MEJILLONES</t>
        </is>
      </c>
      <c r="W8" s="40">
        <f>5+5+5+5+5+5+5+5+5+5+5</f>
        <v/>
      </c>
      <c r="X8" s="41" t="n">
        <v>2.7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CHOCHAS GDA</t>
        </is>
      </c>
      <c r="C9" s="44">
        <f>10+4+2+2+4+2+2+4+4+4+2</f>
        <v/>
      </c>
      <c r="D9" s="19" t="n">
        <v>50</v>
      </c>
      <c r="E9" s="45" t="n">
        <v>0</v>
      </c>
      <c r="F9" s="17">
        <f>(C9*D9)-((C9*D9)*E9)</f>
        <v/>
      </c>
      <c r="H9" s="26" t="inlineStr">
        <is>
          <t>35519</t>
        </is>
      </c>
      <c r="I9" s="17" t="n">
        <v>63.5</v>
      </c>
      <c r="J9" s="27" t="n">
        <v>0.1</v>
      </c>
      <c r="L9" s="25" t="inlineStr">
        <is>
          <t>CHOCHAS TDA</t>
        </is>
      </c>
      <c r="M9" s="44" t="n">
        <v>2</v>
      </c>
      <c r="N9" s="19" t="n">
        <v>50</v>
      </c>
      <c r="O9" s="45" t="n">
        <v>0</v>
      </c>
      <c r="P9" s="17">
        <f>(M9*N9)-((M9*N9)*O9)</f>
        <v/>
      </c>
      <c r="R9" s="26" t="inlineStr">
        <is>
          <t>35218</t>
        </is>
      </c>
      <c r="S9" s="17" t="n">
        <v>13.5</v>
      </c>
      <c r="T9" s="27" t="n">
        <v>0.1</v>
      </c>
      <c r="V9" s="25" t="inlineStr">
        <is>
          <t>CHOCHAS TDA</t>
        </is>
      </c>
      <c r="W9" s="44">
        <f>4+4+2+2</f>
        <v/>
      </c>
      <c r="X9" s="19" t="n">
        <v>50</v>
      </c>
      <c r="Y9" s="45" t="n">
        <v>0</v>
      </c>
      <c r="Z9" s="17">
        <f>(W9*X9)-((W9*X9)*Y9)</f>
        <v/>
      </c>
      <c r="AB9" s="26" t="inlineStr">
        <is>
          <t>035658</t>
        </is>
      </c>
      <c r="AC9" s="17" t="n">
        <v>157.5</v>
      </c>
      <c r="AD9" s="27" t="n">
        <v>0.1</v>
      </c>
    </row>
    <row r="10" ht="15" customHeight="1">
      <c r="B10" s="39" t="inlineStr">
        <is>
          <t>PERCEBES GDO</t>
        </is>
      </c>
      <c r="C10" s="40">
        <f>1+0.5+0.65+0.5+0.75+0.5</f>
        <v/>
      </c>
      <c r="D10" s="41" t="n">
        <v>95</v>
      </c>
      <c r="E10" s="42" t="n">
        <v>0</v>
      </c>
      <c r="F10" s="43">
        <f>(C10*D10)-((C10*D10)*E10)</f>
        <v/>
      </c>
      <c r="H10" s="26" t="inlineStr">
        <is>
          <t>35508</t>
        </is>
      </c>
      <c r="I10" s="17" t="n">
        <v>309</v>
      </c>
      <c r="J10" s="27" t="n">
        <v>0.1</v>
      </c>
      <c r="L10" s="39" t="inlineStr">
        <is>
          <t>CAMARON</t>
        </is>
      </c>
      <c r="M10" s="40" t="n">
        <v>0.5</v>
      </c>
      <c r="N10" s="41" t="n">
        <v>95</v>
      </c>
      <c r="O10" s="42" t="n">
        <v>0</v>
      </c>
      <c r="P10" s="43">
        <f>(M10*N10)-((M10*N10)*O10)</f>
        <v/>
      </c>
      <c r="R10" s="26" t="inlineStr">
        <is>
          <t>35223</t>
        </is>
      </c>
      <c r="S10" s="17" t="n">
        <v>113.5</v>
      </c>
      <c r="T10" s="27" t="n">
        <v>0.1</v>
      </c>
      <c r="V10" s="39" t="inlineStr">
        <is>
          <t>PERCEBES GDO</t>
        </is>
      </c>
      <c r="W10" s="40">
        <f>0.5+0.5+0.5</f>
        <v/>
      </c>
      <c r="X10" s="41" t="n">
        <v>95</v>
      </c>
      <c r="Y10" s="42" t="n">
        <v>0</v>
      </c>
      <c r="Z10" s="43">
        <f>(W10*X10)-((W10*X10)*Y10)</f>
        <v/>
      </c>
      <c r="AB10" s="26" t="inlineStr">
        <is>
          <t>035684</t>
        </is>
      </c>
      <c r="AC10" s="17" t="n">
        <v>349</v>
      </c>
      <c r="AD10" s="27" t="n">
        <v>0.1</v>
      </c>
    </row>
    <row r="11" ht="15" customHeight="1">
      <c r="B11" s="25" t="inlineStr">
        <is>
          <t>CHOCHAS GDA (alb. 035186 sin precio)</t>
        </is>
      </c>
      <c r="C11" s="44" t="n">
        <v>2</v>
      </c>
      <c r="D11" s="19" t="n">
        <v>0</v>
      </c>
      <c r="E11" s="45" t="n">
        <v>0</v>
      </c>
      <c r="F11" s="17">
        <f>(C11*D11)-((C11*D11)*E11)</f>
        <v/>
      </c>
      <c r="H11" s="26" t="inlineStr">
        <is>
          <t>27694</t>
        </is>
      </c>
      <c r="I11" s="17" t="n">
        <v>250</v>
      </c>
      <c r="J11" s="27" t="n">
        <v>0.1</v>
      </c>
      <c r="L11" s="25" t="inlineStr">
        <is>
          <t>BERBERECHO</t>
        </is>
      </c>
      <c r="M11" s="44">
        <f>2+2+2</f>
        <v/>
      </c>
      <c r="N11" s="19" t="n">
        <v>24</v>
      </c>
      <c r="O11" s="45" t="n">
        <v>0</v>
      </c>
      <c r="P11" s="17">
        <f>(M11*N11)-((M11*N11)*O11)</f>
        <v/>
      </c>
      <c r="R11" s="26" t="inlineStr">
        <is>
          <t>35230</t>
        </is>
      </c>
      <c r="S11" s="17" t="n">
        <v>144</v>
      </c>
      <c r="T11" s="27" t="n">
        <v>0.1</v>
      </c>
      <c r="V11" s="25" t="inlineStr">
        <is>
          <t>CAMARON</t>
        </is>
      </c>
      <c r="W11" s="44">
        <f>0.4+0.7</f>
        <v/>
      </c>
      <c r="X11" s="19" t="n">
        <v>97</v>
      </c>
      <c r="Y11" s="45" t="n">
        <v>0</v>
      </c>
      <c r="Z11" s="17">
        <f>(W11*X11)-((W11*X11)*Y11)</f>
        <v/>
      </c>
      <c r="AB11" s="26" t="inlineStr">
        <is>
          <t>035689</t>
        </is>
      </c>
      <c r="AC11" s="17" t="n">
        <v>38.8</v>
      </c>
      <c r="AD11" s="27" t="n">
        <v>0.1</v>
      </c>
    </row>
    <row r="12">
      <c r="B12" s="39" t="inlineStr">
        <is>
          <t>BERBERECHO</t>
        </is>
      </c>
      <c r="C12" s="40">
        <f>2+1+2</f>
        <v/>
      </c>
      <c r="D12" s="41" t="n">
        <v>24</v>
      </c>
      <c r="E12" s="42" t="n">
        <v>0</v>
      </c>
      <c r="F12" s="43">
        <f>(C12*D12)-((C12*D12)*E12)</f>
        <v/>
      </c>
      <c r="H12" s="26" t="inlineStr">
        <is>
          <t>27677</t>
        </is>
      </c>
      <c r="I12" s="17" t="n">
        <v>261</v>
      </c>
      <c r="J12" s="27" t="n">
        <v>0.1</v>
      </c>
      <c r="L12" s="39" t="inlineStr">
        <is>
          <t>CAMARON</t>
        </is>
      </c>
      <c r="M12" s="40">
        <f>0.6+0.5</f>
        <v/>
      </c>
      <c r="N12" s="41" t="n">
        <v>98</v>
      </c>
      <c r="O12" s="42" t="n">
        <v>0</v>
      </c>
      <c r="P12" s="43">
        <f>(M12*N12)-((M12*N12)*O12)</f>
        <v/>
      </c>
      <c r="R12" s="26" t="inlineStr">
        <is>
          <t>35237</t>
        </is>
      </c>
      <c r="S12" s="17" t="n">
        <v>69.5</v>
      </c>
      <c r="T12" s="27" t="n">
        <v>0.1</v>
      </c>
      <c r="V12" s="39" t="inlineStr">
        <is>
          <t>ALMEJAS FINAS / COQUINAS (línea dudosa, alb. 26678)</t>
        </is>
      </c>
      <c r="W12" s="40" t="n">
        <v>2</v>
      </c>
      <c r="X12" s="41" t="n">
        <v>50</v>
      </c>
      <c r="Y12" s="42" t="n">
        <v>0</v>
      </c>
      <c r="Z12" s="43">
        <f>(W12*X12)-((W12*X12)*Y12)</f>
        <v/>
      </c>
      <c r="AB12" s="26" t="inlineStr">
        <is>
          <t>035757</t>
        </is>
      </c>
      <c r="AC12" s="17" t="n">
        <v>244</v>
      </c>
      <c r="AD12" s="27" t="n">
        <v>0.1</v>
      </c>
    </row>
    <row r="13">
      <c r="B13" s="25" t="inlineStr">
        <is>
          <t>CHOCHAS TDA</t>
        </is>
      </c>
      <c r="C13" s="44">
        <f>1.5+2</f>
        <v/>
      </c>
      <c r="D13" s="19" t="n">
        <v>50</v>
      </c>
      <c r="E13" s="45" t="n">
        <v>0</v>
      </c>
      <c r="F13" s="17">
        <f>(C13*D13)-((C13*D13)*E13)</f>
        <v/>
      </c>
      <c r="H13" s="26" t="inlineStr">
        <is>
          <t>35535</t>
        </is>
      </c>
      <c r="I13" s="17" t="n">
        <v>263.5</v>
      </c>
      <c r="J13" s="27" t="n">
        <v>0.1</v>
      </c>
      <c r="L13" s="25" t="inlineStr">
        <is>
          <t>PERCEBES GDO</t>
        </is>
      </c>
      <c r="M13" s="44">
        <f>0.7+0.5</f>
        <v/>
      </c>
      <c r="N13" s="19" t="n">
        <v>95</v>
      </c>
      <c r="O13" s="45" t="n">
        <v>0</v>
      </c>
      <c r="P13" s="17">
        <f>(M13*N13)-((M13*N13)*O13)</f>
        <v/>
      </c>
      <c r="R13" s="26" t="inlineStr">
        <is>
          <t>35250</t>
        </is>
      </c>
      <c r="S13" s="17" t="n">
        <v>150</v>
      </c>
      <c r="T13" s="27" t="n">
        <v>0.1</v>
      </c>
      <c r="V13" s="25" t="inlineStr">
        <is>
          <t>CAMARON</t>
        </is>
      </c>
      <c r="W13" s="44">
        <f>0.5+0.5+0.7+0.4</f>
        <v/>
      </c>
      <c r="X13" s="19" t="n">
        <v>98</v>
      </c>
      <c r="Y13" s="45" t="n">
        <v>0</v>
      </c>
      <c r="Z13" s="17">
        <f>(W13*X13)-((W13*X13)*Y13)</f>
        <v/>
      </c>
      <c r="AB13" s="26" t="inlineStr">
        <is>
          <t>035774</t>
        </is>
      </c>
      <c r="AC13" s="17" t="n">
        <v>161</v>
      </c>
      <c r="AD13" s="27" t="n">
        <v>0.1</v>
      </c>
    </row>
    <row r="14">
      <c r="H14" s="26" t="inlineStr">
        <is>
          <t>35548</t>
        </is>
      </c>
      <c r="I14" s="17" t="n">
        <v>42.9</v>
      </c>
      <c r="J14" s="27" t="n">
        <v>0.1</v>
      </c>
      <c r="L14" s="39" t="inlineStr">
        <is>
          <t>CAMARON</t>
        </is>
      </c>
      <c r="M14" s="40" t="n">
        <v>0.5</v>
      </c>
      <c r="N14" s="41" t="n">
        <v>96</v>
      </c>
      <c r="O14" s="42" t="n">
        <v>0</v>
      </c>
      <c r="P14" s="43">
        <f>(M14*N14)-((M14*N14)*O14)</f>
        <v/>
      </c>
      <c r="R14" s="26" t="inlineStr">
        <is>
          <t>35194</t>
        </is>
      </c>
      <c r="S14" s="17" t="n">
        <v>206.8</v>
      </c>
      <c r="T14" s="27" t="n">
        <v>0.1</v>
      </c>
      <c r="AB14" s="26" t="inlineStr">
        <is>
          <t>035785</t>
        </is>
      </c>
      <c r="AC14" s="17" t="n">
        <v>211.9</v>
      </c>
      <c r="AD14" s="27" t="n">
        <v>0.1</v>
      </c>
    </row>
    <row r="15">
      <c r="H15" s="26" t="inlineStr">
        <is>
          <t>27557</t>
        </is>
      </c>
      <c r="I15" s="17" t="n">
        <v>197.5</v>
      </c>
      <c r="J15" s="27" t="n">
        <v>0.1</v>
      </c>
      <c r="R15" s="26" t="inlineStr">
        <is>
          <t>35274</t>
        </is>
      </c>
      <c r="S15" s="17" t="n">
        <v>149</v>
      </c>
      <c r="T15" s="27" t="n">
        <v>0.1</v>
      </c>
      <c r="AB15" s="26" t="inlineStr">
        <is>
          <t>035797</t>
        </is>
      </c>
      <c r="AC15" s="17" t="n">
        <v>144</v>
      </c>
      <c r="AD15" s="27" t="n">
        <v>0.1</v>
      </c>
    </row>
    <row r="16">
      <c r="H16" s="26" t="inlineStr">
        <is>
          <t>27565</t>
        </is>
      </c>
      <c r="I16" s="17" t="n">
        <v>100</v>
      </c>
      <c r="J16" s="27" t="n">
        <v>0.1</v>
      </c>
      <c r="R16" s="26" t="inlineStr">
        <is>
          <t>26913</t>
        </is>
      </c>
      <c r="S16" s="17" t="n">
        <v>166.5</v>
      </c>
      <c r="T16" s="27" t="n">
        <v>0.1</v>
      </c>
      <c r="AB16" s="26" t="inlineStr">
        <is>
          <t>035810</t>
        </is>
      </c>
      <c r="AC16" s="17" t="n">
        <v>113.5</v>
      </c>
      <c r="AD16" s="27" t="n">
        <v>0.1</v>
      </c>
    </row>
    <row r="17">
      <c r="H17" s="26" t="inlineStr">
        <is>
          <t>27579</t>
        </is>
      </c>
      <c r="I17" s="17" t="n">
        <v>249</v>
      </c>
      <c r="J17" s="27" t="n">
        <v>0.1</v>
      </c>
      <c r="R17" s="26" t="inlineStr">
        <is>
          <t>35284</t>
        </is>
      </c>
      <c r="S17" s="17" t="n">
        <v>209</v>
      </c>
      <c r="T17" s="27" t="n">
        <v>0.1</v>
      </c>
      <c r="AB17" s="26" t="inlineStr">
        <is>
          <t>035823</t>
        </is>
      </c>
      <c r="AC17" s="17" t="n">
        <v>88</v>
      </c>
      <c r="AD17" s="27" t="n">
        <v>0.1</v>
      </c>
    </row>
    <row r="18">
      <c r="H18" s="26" t="inlineStr">
        <is>
          <t>27523</t>
        </is>
      </c>
      <c r="I18" s="17" t="n">
        <v>50</v>
      </c>
      <c r="J18" s="27" t="n">
        <v>0.1</v>
      </c>
      <c r="R18" s="26" t="inlineStr">
        <is>
          <t>35287</t>
        </is>
      </c>
      <c r="S18" s="17" t="n">
        <v>148</v>
      </c>
      <c r="T18" s="27" t="n">
        <v>0.1</v>
      </c>
      <c r="AB18" s="26" t="inlineStr">
        <is>
          <t>035839</t>
        </is>
      </c>
      <c r="AC18" s="17" t="n">
        <v>157.5</v>
      </c>
      <c r="AD18" s="27" t="n">
        <v>0.1</v>
      </c>
    </row>
    <row r="19">
      <c r="H19" s="26" t="inlineStr">
        <is>
          <t>27534</t>
        </is>
      </c>
      <c r="I19" s="17" t="n">
        <v>100</v>
      </c>
      <c r="J19" s="27" t="n">
        <v>0.1</v>
      </c>
      <c r="R19" s="26" t="inlineStr">
        <is>
          <t>35292</t>
        </is>
      </c>
      <c r="S19" s="17" t="n">
        <v>48</v>
      </c>
      <c r="T19" s="27" t="n">
        <v>0.1</v>
      </c>
      <c r="AB19" s="26" t="inlineStr">
        <is>
          <t>035847</t>
        </is>
      </c>
      <c r="AC19" s="17" t="n">
        <v>200</v>
      </c>
      <c r="AD19" s="27" t="n">
        <v>0.1</v>
      </c>
    </row>
    <row r="20">
      <c r="H20" s="26" t="inlineStr">
        <is>
          <t>27547</t>
        </is>
      </c>
      <c r="I20" s="17" t="n">
        <v>149</v>
      </c>
      <c r="J20" s="27" t="n">
        <v>0.1</v>
      </c>
      <c r="R20" s="26" t="inlineStr">
        <is>
          <t>35204</t>
        </is>
      </c>
      <c r="S20" s="17" t="n">
        <v>200</v>
      </c>
      <c r="T20" s="27" t="n">
        <v>0.1</v>
      </c>
      <c r="AB20" s="26" t="inlineStr">
        <is>
          <t>26959</t>
        </is>
      </c>
      <c r="AC20" s="17" t="n">
        <v>57.5</v>
      </c>
      <c r="AD20" s="27" t="n">
        <v>0.1</v>
      </c>
    </row>
    <row r="21">
      <c r="H21" s="26" t="inlineStr">
        <is>
          <t>27662</t>
        </is>
      </c>
      <c r="I21" s="17" t="n">
        <v>250</v>
      </c>
      <c r="J21" s="27" t="n">
        <v>0.1</v>
      </c>
      <c r="AB21" s="26" t="inlineStr">
        <is>
          <t>26678</t>
        </is>
      </c>
      <c r="AC21" s="17" t="n">
        <v>191.5</v>
      </c>
      <c r="AD21" s="27" t="n">
        <v>0.1</v>
      </c>
    </row>
    <row r="22">
      <c r="H22" s="26" t="inlineStr">
        <is>
          <t>27591</t>
        </is>
      </c>
      <c r="I22" s="17" t="n">
        <v>125.25</v>
      </c>
      <c r="J22" s="27" t="n">
        <v>0.1</v>
      </c>
      <c r="AB22" s="26" t="inlineStr">
        <is>
          <t>26985</t>
        </is>
      </c>
      <c r="AC22" s="17" t="n">
        <v>162.5</v>
      </c>
      <c r="AD22" s="27" t="n">
        <v>0.1</v>
      </c>
    </row>
    <row r="23">
      <c r="H23" s="26" t="inlineStr">
        <is>
          <t>35164</t>
        </is>
      </c>
      <c r="I23" s="17" t="n">
        <v>297.5</v>
      </c>
      <c r="J23" s="27" t="n">
        <v>0.1</v>
      </c>
      <c r="AB23" s="26" t="inlineStr">
        <is>
          <t>33112</t>
        </is>
      </c>
      <c r="AC23" s="17" t="n">
        <v>149</v>
      </c>
      <c r="AD23" s="27" t="n">
        <v>0.1</v>
      </c>
    </row>
    <row r="24">
      <c r="H24" s="26" t="inlineStr">
        <is>
          <t>35186</t>
        </is>
      </c>
      <c r="I24" s="17" t="n">
        <v>84.75</v>
      </c>
      <c r="J24" s="27" t="n">
        <v>0.1</v>
      </c>
      <c r="AB24" s="26" t="inlineStr">
        <is>
          <t>33121</t>
        </is>
      </c>
      <c r="AC24" s="17" t="n">
        <v>113.5</v>
      </c>
      <c r="AD24" s="27" t="n">
        <v>0.1</v>
      </c>
    </row>
    <row r="25">
      <c r="H25" s="26" t="inlineStr">
        <is>
          <t>35175</t>
        </is>
      </c>
      <c r="I25" s="17" t="n">
        <v>63.5</v>
      </c>
      <c r="J25" s="27" t="n">
        <v>0.1</v>
      </c>
      <c r="AB25" s="26" t="inlineStr">
        <is>
          <t>33134</t>
        </is>
      </c>
      <c r="AC25" s="17" t="n">
        <v>68.59999999999999</v>
      </c>
      <c r="AD25" s="27" t="n">
        <v>0.1</v>
      </c>
    </row>
    <row r="26">
      <c r="H26" s="26" t="inlineStr">
        <is>
          <t>35590</t>
        </is>
      </c>
      <c r="I26" s="17" t="n">
        <v>295.5</v>
      </c>
      <c r="J26" s="27" t="n">
        <v>0.1</v>
      </c>
      <c r="AB26" s="26" t="inlineStr">
        <is>
          <t>33150</t>
        </is>
      </c>
      <c r="AC26" s="17" t="n">
        <v>101.5</v>
      </c>
      <c r="AD26" s="27" t="n">
        <v>0.1</v>
      </c>
    </row>
    <row r="27">
      <c r="H27" s="26" t="inlineStr">
        <is>
          <t>35575</t>
        </is>
      </c>
      <c r="I27" s="17" t="n">
        <v>75</v>
      </c>
      <c r="J27" s="27" t="n">
        <v>0.1</v>
      </c>
      <c r="AB27" s="26" t="inlineStr">
        <is>
          <t>035914</t>
        </is>
      </c>
      <c r="AC27" s="17" t="n">
        <v>252.7</v>
      </c>
      <c r="AD27" s="27" t="n">
        <v>0.1</v>
      </c>
    </row>
    <row r="28">
      <c r="H28" s="26" t="inlineStr">
        <is>
          <t>35565</t>
        </is>
      </c>
      <c r="I28" s="17" t="n">
        <v>186.5</v>
      </c>
      <c r="J28" s="27" t="n">
        <v>0.1</v>
      </c>
      <c r="AB28" s="26" t="inlineStr">
        <is>
          <t>035926</t>
        </is>
      </c>
      <c r="AC28" s="17" t="n">
        <v>100</v>
      </c>
      <c r="AD28" s="27" t="n">
        <v>0.1</v>
      </c>
    </row>
    <row r="29">
      <c r="H29" s="26" t="inlineStr">
        <is>
          <t>35558</t>
        </is>
      </c>
      <c r="I29" s="17" t="n">
        <v>148</v>
      </c>
      <c r="J29" s="27" t="n">
        <v>0.1</v>
      </c>
      <c r="AB29" s="26" t="inlineStr">
        <is>
          <t>26998</t>
        </is>
      </c>
      <c r="AC29" s="17" t="n">
        <v>201.5</v>
      </c>
      <c r="AD29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A6A6A6"/>
    <outlinePr summaryBelow="1" summaryRight="1"/>
    <pageSetUpPr/>
  </sheetPr>
  <dimension ref="B2:J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36" t="n">
        <v>46266</v>
      </c>
      <c r="C2" s="5" t="n"/>
      <c r="D2" s="5" t="n"/>
      <c r="E2" s="5" t="n"/>
      <c r="F2" s="5" t="n"/>
    </row>
    <row r="3" ht="15" customHeight="1">
      <c r="B3" s="5" t="n"/>
      <c r="C3" s="5" t="n"/>
      <c r="D3" s="5" t="n"/>
      <c r="E3" s="5" t="n"/>
      <c r="F3" s="5" t="n"/>
    </row>
    <row r="4" ht="15" customHeight="1">
      <c r="H4" s="37" t="inlineStr">
        <is>
          <t>TOTAL</t>
        </is>
      </c>
      <c r="I4" s="38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37" t="inlineStr">
        <is>
          <t>ALBARANES</t>
        </is>
      </c>
      <c r="I5" s="38">
        <f>SUM(I9:I300)</f>
        <v/>
      </c>
    </row>
    <row r="6" ht="15" customHeight="1">
      <c r="B6" s="39" t="inlineStr">
        <is>
          <t>MOLLETES (ud)</t>
        </is>
      </c>
      <c r="C6" s="40">
        <f>75+75</f>
        <v/>
      </c>
      <c r="D6" s="41" t="n">
        <v>1.08</v>
      </c>
      <c r="E6" s="42" t="n">
        <v>0</v>
      </c>
      <c r="F6" s="43">
        <f>(C6*D6)-((C6*D6)*E6)</f>
        <v/>
      </c>
      <c r="H6" s="37" t="inlineStr">
        <is>
          <t>DIFERENCIA</t>
        </is>
      </c>
      <c r="I6" s="38">
        <f>I5-I4</f>
        <v/>
      </c>
    </row>
    <row r="7" ht="15" customHeight="1"/>
    <row r="8" ht="15" customHeight="1">
      <c r="H8" s="4" t="inlineStr">
        <is>
          <t>Nº ALBARÁN</t>
        </is>
      </c>
      <c r="I8" s="4" t="inlineStr">
        <is>
          <t>BASE</t>
        </is>
      </c>
      <c r="J8" s="4" t="inlineStr">
        <is>
          <t>% IVA</t>
        </is>
      </c>
    </row>
    <row r="9" ht="15" customHeight="1">
      <c r="H9" s="26" t="inlineStr">
        <is>
          <t>s/n (08/09)</t>
        </is>
      </c>
      <c r="I9" s="17" t="n">
        <v>81</v>
      </c>
      <c r="J9" s="27" t="n">
        <v>0.04</v>
      </c>
    </row>
    <row r="10" ht="15" customHeight="1">
      <c r="H10" s="26" t="inlineStr">
        <is>
          <t>s/n (23/09)</t>
        </is>
      </c>
      <c r="I10" s="17" t="n">
        <v>81</v>
      </c>
      <c r="J10" s="27" t="n">
        <v>0.04</v>
      </c>
    </row>
    <row r="11" ht="15" customHeight="1"/>
  </sheetData>
  <mergeCells count="1">
    <mergeCell ref="B2:F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A6A6A6"/>
    <outlinePr summaryBelow="1" summaryRight="1"/>
    <pageSetUpPr/>
  </sheetPr>
  <dimension ref="B2:T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</cols>
  <sheetData>
    <row r="2" ht="15" customHeight="1">
      <c r="B2" s="46" t="n">
        <v>46204</v>
      </c>
      <c r="C2" s="47" t="n"/>
      <c r="D2" s="47" t="n"/>
      <c r="E2" s="47" t="n"/>
      <c r="F2" s="47" t="n"/>
      <c r="L2" s="36" t="n">
        <v>46266</v>
      </c>
      <c r="M2" s="5" t="n"/>
      <c r="N2" s="5" t="n"/>
      <c r="O2" s="5" t="n"/>
      <c r="P2" s="5" t="n"/>
    </row>
    <row r="3" ht="15" customHeight="1">
      <c r="B3" s="47" t="n"/>
      <c r="C3" s="47" t="n"/>
      <c r="D3" s="47" t="n"/>
      <c r="E3" s="47" t="n"/>
      <c r="F3" s="47" t="n"/>
      <c r="L3" s="5" t="n"/>
      <c r="M3" s="5" t="n"/>
      <c r="N3" s="5" t="n"/>
      <c r="O3" s="5" t="n"/>
      <c r="P3" s="5" t="n"/>
    </row>
    <row r="4" ht="15" customHeight="1">
      <c r="H4" s="50" t="inlineStr">
        <is>
          <t>TOTAL</t>
        </is>
      </c>
      <c r="I4" s="51">
        <f>SUM(F6:F300)</f>
        <v/>
      </c>
      <c r="R4" s="37" t="inlineStr">
        <is>
          <t>TOTAL</t>
        </is>
      </c>
      <c r="S4" s="38">
        <f>SUM(P6:P300)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37" t="inlineStr">
        <is>
          <t>ALBARANES</t>
        </is>
      </c>
      <c r="S5" s="38">
        <f>SUM(S9:S300)</f>
        <v/>
      </c>
    </row>
    <row r="6" ht="15" customHeight="1">
      <c r="B6" s="39" t="inlineStr">
        <is>
          <t>GARRAFA AOVE MONTABES 10 L</t>
        </is>
      </c>
      <c r="C6" s="40">
        <f>1+1+1</f>
        <v/>
      </c>
      <c r="D6" s="41" t="n">
        <v>57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GARRAFA AOVE MONTABES 10 L</t>
        </is>
      </c>
      <c r="M6" s="40">
        <f>2+2</f>
        <v/>
      </c>
      <c r="N6" s="41" t="n">
        <v>57</v>
      </c>
      <c r="O6" s="42" t="n">
        <v>0</v>
      </c>
      <c r="P6" s="43">
        <f>(M6*N6)-((M6*N6)*O6)</f>
        <v/>
      </c>
      <c r="R6" s="37" t="inlineStr">
        <is>
          <t>DIFERENCIA</t>
        </is>
      </c>
      <c r="S6" s="38">
        <f>S5-S4</f>
        <v/>
      </c>
    </row>
    <row r="7" ht="15" customHeight="1"/>
    <row r="8" ht="15" customHeight="1"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4" t="inlineStr">
        <is>
          <t>Nº ALBARÁN</t>
        </is>
      </c>
      <c r="S8" s="4" t="inlineStr">
        <is>
          <t>BASE</t>
        </is>
      </c>
      <c r="T8" s="4" t="inlineStr">
        <is>
          <t>% IVA</t>
        </is>
      </c>
    </row>
    <row r="9" ht="15" customHeight="1">
      <c r="H9" s="26" t="inlineStr">
        <is>
          <t>AL/5260619</t>
        </is>
      </c>
      <c r="I9" s="17" t="n">
        <v>57</v>
      </c>
      <c r="J9" s="27" t="n">
        <v>0.04</v>
      </c>
      <c r="R9" s="26" t="inlineStr">
        <is>
          <t>AL/5260707</t>
        </is>
      </c>
      <c r="S9" s="17" t="n">
        <v>114</v>
      </c>
      <c r="T9" s="27" t="n">
        <v>0.04</v>
      </c>
    </row>
    <row r="10" ht="15" customHeight="1">
      <c r="H10" s="26" t="inlineStr">
        <is>
          <t>AL/5260649</t>
        </is>
      </c>
      <c r="I10" s="17" t="n">
        <v>57</v>
      </c>
      <c r="J10" s="27" t="n">
        <v>0.04</v>
      </c>
      <c r="R10" s="26" t="inlineStr">
        <is>
          <t>AL/5260771</t>
        </is>
      </c>
      <c r="S10" s="17" t="n">
        <v>114</v>
      </c>
      <c r="T10" s="27" t="n">
        <v>0.04</v>
      </c>
    </row>
    <row r="11" ht="15" customHeight="1">
      <c r="H11" s="26" t="inlineStr">
        <is>
          <t>AL/5260627</t>
        </is>
      </c>
      <c r="I11" s="17" t="n">
        <v>57</v>
      </c>
      <c r="J11" s="27" t="n">
        <v>0.04</v>
      </c>
    </row>
  </sheetData>
  <mergeCells count="2">
    <mergeCell ref="B2:F3"/>
    <mergeCell ref="L2:P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A6A6A6"/>
    <outlinePr summaryBelow="1" summaryRight="1"/>
    <pageSetUpPr/>
  </sheetPr>
  <dimension ref="B2:AD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BARBADILLO VI MOSCATO FRIZZANTE</t>
        </is>
      </c>
      <c r="C6" s="40">
        <f>(3)*6</f>
        <v/>
      </c>
      <c r="D6" s="41" t="n">
        <v>5.63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RAMON BILBAO BLANCO VERDEJO 3/4</t>
        </is>
      </c>
      <c r="M6" s="40">
        <f>(8+3)*6</f>
        <v/>
      </c>
      <c r="N6" s="41" t="n">
        <v>4.67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RAMON BILBAO BLANCO VERDEJO 3/4</t>
        </is>
      </c>
      <c r="W6" s="40">
        <f>60+30+18</f>
        <v/>
      </c>
      <c r="X6" s="41" t="n">
        <v>4.67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CEPAS VELLAS GODEVAL</t>
        </is>
      </c>
      <c r="C7" s="44">
        <f>(36)*6</f>
        <v/>
      </c>
      <c r="D7" s="19" t="n">
        <v>11.77</v>
      </c>
      <c r="E7" s="45" t="n">
        <v>0</v>
      </c>
      <c r="F7" s="17">
        <f>(C7*D7)-((C7*D7)*E7)</f>
        <v/>
      </c>
      <c r="L7" s="25" t="inlineStr">
        <is>
          <t>RAMON BILBAO VIÑEDOS DE ALTURA 3/4</t>
        </is>
      </c>
      <c r="M7" s="44">
        <f>(4)*6</f>
        <v/>
      </c>
      <c r="N7" s="19" t="n">
        <v>8.779999999999999</v>
      </c>
      <c r="O7" s="45" t="n">
        <v>0</v>
      </c>
      <c r="P7" s="17">
        <f>(M7*N7)-((M7*N7)*O7)</f>
        <v/>
      </c>
      <c r="V7" s="25" t="inlineStr">
        <is>
          <t>CEPAS VELLAS GODEVAL</t>
        </is>
      </c>
      <c r="W7" s="44">
        <f>42+30+18+24+12</f>
        <v/>
      </c>
      <c r="X7" s="19" t="n">
        <v>11.77</v>
      </c>
      <c r="Y7" s="45" t="n">
        <v>0</v>
      </c>
      <c r="Z7" s="17">
        <f>(W7*X7)-((W7*X7)*Y7)</f>
        <v/>
      </c>
    </row>
    <row r="8" ht="15" customHeight="1">
      <c r="B8" s="39" t="inlineStr">
        <is>
          <t>RAMON BILBAO BLANCO VERDEJO 3/4</t>
        </is>
      </c>
      <c r="C8" s="40">
        <f>(27)*6</f>
        <v/>
      </c>
      <c r="D8" s="41" t="n">
        <v>4.67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CEPAS VELLAS GODEVAL</t>
        </is>
      </c>
      <c r="M8" s="40">
        <f>(7)*6</f>
        <v/>
      </c>
      <c r="N8" s="41" t="n">
        <v>11.77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R.B. EDI.LIM. EARLY HARVEST ROSADO</t>
        </is>
      </c>
      <c r="W8" s="40">
        <f>6+6</f>
        <v/>
      </c>
      <c r="X8" s="41" t="n">
        <v>7.88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RAMON BILBAO VIÑEDOS DE ALTURA 3/4</t>
        </is>
      </c>
      <c r="C9" s="44">
        <f>(8)*6</f>
        <v/>
      </c>
      <c r="D9" s="19" t="n">
        <v>8.779999999999999</v>
      </c>
      <c r="E9" s="45" t="n">
        <v>0</v>
      </c>
      <c r="F9" s="17">
        <f>(C9*D9)-((C9*D9)*E9)</f>
        <v/>
      </c>
      <c r="H9" s="26" t="inlineStr">
        <is>
          <t>FM 2547</t>
        </is>
      </c>
      <c r="I9" s="17" t="n">
        <v>528.12</v>
      </c>
      <c r="J9" s="27" t="n">
        <v>0.21</v>
      </c>
      <c r="L9" s="25" t="inlineStr">
        <is>
          <t>PACO GARCIA CRIANZA 3/4</t>
        </is>
      </c>
      <c r="M9" s="44">
        <f>(2+2)*12</f>
        <v/>
      </c>
      <c r="N9" s="19" t="n">
        <v>5.3</v>
      </c>
      <c r="O9" s="45" t="n">
        <v>0</v>
      </c>
      <c r="P9" s="17">
        <f>(M9*N9)-((M9*N9)*O9)</f>
        <v/>
      </c>
      <c r="R9" s="26" t="inlineStr">
        <is>
          <t>FM 2789</t>
        </is>
      </c>
      <c r="S9" s="17" t="n">
        <v>1306.8</v>
      </c>
      <c r="T9" s="27" t="n">
        <v>0.21</v>
      </c>
      <c r="V9" s="25" t="inlineStr">
        <is>
          <t>CORIMBO</t>
        </is>
      </c>
      <c r="W9" s="44">
        <f>12+18</f>
        <v/>
      </c>
      <c r="X9" s="19" t="n">
        <v>13.91</v>
      </c>
      <c r="Y9" s="45" t="n">
        <v>0</v>
      </c>
      <c r="Z9" s="17">
        <f>(W9*X9)-((W9*X9)*Y9)</f>
        <v/>
      </c>
      <c r="AB9" s="26" t="inlineStr">
        <is>
          <t>FM 3090</t>
        </is>
      </c>
      <c r="AC9" s="17" t="n">
        <v>1022.58</v>
      </c>
      <c r="AD9" s="27" t="n">
        <v>0.21</v>
      </c>
    </row>
    <row r="10" ht="15" customHeight="1">
      <c r="B10" s="39" t="inlineStr">
        <is>
          <t>R.B. EDI.LIM. EARLY HARVEST ROSADO</t>
        </is>
      </c>
      <c r="C10" s="40">
        <f>(5)*6</f>
        <v/>
      </c>
      <c r="D10" s="41" t="n">
        <v>7.88</v>
      </c>
      <c r="E10" s="42" t="n">
        <v>0</v>
      </c>
      <c r="F10" s="43">
        <f>(C10*D10)-((C10*D10)*E10)</f>
        <v/>
      </c>
      <c r="H10" s="26" t="inlineStr">
        <is>
          <t>FM 2592</t>
        </is>
      </c>
      <c r="I10" s="17" t="n">
        <v>746.52</v>
      </c>
      <c r="J10" s="27" t="n">
        <v>0.21</v>
      </c>
      <c r="L10" s="39" t="inlineStr">
        <is>
          <t>CORIMBO</t>
        </is>
      </c>
      <c r="M10" s="40">
        <f>(3+2+1)*6</f>
        <v/>
      </c>
      <c r="N10" s="41" t="n">
        <v>13.91</v>
      </c>
      <c r="O10" s="42" t="n">
        <v>0</v>
      </c>
      <c r="P10" s="43">
        <f>(M10*N10)-((M10*N10)*O10)</f>
        <v/>
      </c>
      <c r="R10" s="26" t="inlineStr">
        <is>
          <t>FM 2789</t>
        </is>
      </c>
      <c r="S10" s="17" t="n">
        <v>65.28</v>
      </c>
      <c r="T10" s="27" t="n">
        <v>0.1</v>
      </c>
      <c r="V10" s="39" t="inlineStr">
        <is>
          <t>GURPEGUI TINTO 3/4</t>
        </is>
      </c>
      <c r="W10" s="40" t="n">
        <v>12</v>
      </c>
      <c r="X10" s="41" t="n">
        <v>2.82</v>
      </c>
      <c r="Y10" s="42" t="n">
        <v>0</v>
      </c>
      <c r="Z10" s="43">
        <f>(W10*X10)-((W10*X10)*Y10)</f>
        <v/>
      </c>
      <c r="AB10" s="26" t="inlineStr">
        <is>
          <t>FM 3161</t>
        </is>
      </c>
      <c r="AC10" s="17" t="n">
        <v>493.2</v>
      </c>
      <c r="AD10" s="27" t="n">
        <v>0.21</v>
      </c>
    </row>
    <row r="11" ht="15" customHeight="1">
      <c r="B11" s="25" t="inlineStr">
        <is>
          <t>CORIMBO</t>
        </is>
      </c>
      <c r="C11" s="44">
        <f>(7)*6</f>
        <v/>
      </c>
      <c r="D11" s="19" t="n">
        <v>13.91</v>
      </c>
      <c r="E11" s="45" t="n">
        <v>0</v>
      </c>
      <c r="F11" s="17">
        <f>(C11*D11)-((C11*D11)*E11)</f>
        <v/>
      </c>
      <c r="H11" s="26" t="inlineStr">
        <is>
          <t>FM 2659</t>
        </is>
      </c>
      <c r="I11" s="17" t="n">
        <v>848.58</v>
      </c>
      <c r="J11" s="27" t="n">
        <v>0.21</v>
      </c>
      <c r="L11" s="25" t="inlineStr">
        <is>
          <t>VINAGRE DE JEREZ RESERVA AL MOSCATEL</t>
        </is>
      </c>
      <c r="M11" s="44">
        <f>(2)*6</f>
        <v/>
      </c>
      <c r="N11" s="19" t="n">
        <v>5.44</v>
      </c>
      <c r="O11" s="45" t="n">
        <v>0</v>
      </c>
      <c r="P11" s="17">
        <f>(M11*N11)-((M11*N11)*O11)</f>
        <v/>
      </c>
      <c r="R11" s="26" t="inlineStr">
        <is>
          <t>FM 2940</t>
        </is>
      </c>
      <c r="S11" s="17" t="n">
        <v>337.8</v>
      </c>
      <c r="T11" s="27" t="n">
        <v>0.21</v>
      </c>
      <c r="V11" s="25" t="inlineStr">
        <is>
          <t>RAMON BILBAO VIÑEDOS DE ALTURA 3/4</t>
        </is>
      </c>
      <c r="W11" s="44">
        <f>12+18</f>
        <v/>
      </c>
      <c r="X11" s="19" t="n">
        <v>8.779999999999999</v>
      </c>
      <c r="Y11" s="45" t="n">
        <v>0</v>
      </c>
      <c r="Z11" s="17">
        <f>(W11*X11)-((W11*X11)*Y11)</f>
        <v/>
      </c>
      <c r="AB11" s="26" t="inlineStr">
        <is>
          <t>FM 3291</t>
        </is>
      </c>
      <c r="AC11" s="17" t="n">
        <v>482.34</v>
      </c>
      <c r="AD11" s="27" t="n">
        <v>0.21</v>
      </c>
    </row>
    <row r="12">
      <c r="B12" s="39" t="inlineStr">
        <is>
          <t>RODA RESERVA 3/4</t>
        </is>
      </c>
      <c r="C12" s="40">
        <f>(3)*6</f>
        <v/>
      </c>
      <c r="D12" s="41" t="n">
        <v>21.38</v>
      </c>
      <c r="E12" s="42" t="n">
        <v>0</v>
      </c>
      <c r="F12" s="43">
        <f>(C12*D12)-((C12*D12)*E12)</f>
        <v/>
      </c>
      <c r="H12" s="26" t="inlineStr">
        <is>
          <t>FM 2638</t>
        </is>
      </c>
      <c r="I12" s="17" t="n">
        <v>1280.7</v>
      </c>
      <c r="J12" s="27" t="n">
        <v>0.21</v>
      </c>
      <c r="L12" s="39" t="inlineStr">
        <is>
          <t>BARBADILLO VI MOSCATO FRIZZANTE</t>
        </is>
      </c>
      <c r="M12" s="40">
        <f>(1)*6</f>
        <v/>
      </c>
      <c r="N12" s="41" t="n">
        <v>5.63</v>
      </c>
      <c r="O12" s="42" t="n">
        <v>0</v>
      </c>
      <c r="P12" s="43">
        <f>(M12*N12)-((M12*N12)*O12)</f>
        <v/>
      </c>
      <c r="R12" s="26" t="inlineStr">
        <is>
          <t>FM 2902</t>
        </is>
      </c>
      <c r="S12" s="17" t="n">
        <v>210.66</v>
      </c>
      <c r="T12" s="27" t="n">
        <v>0.21</v>
      </c>
      <c r="V12" s="39" t="inlineStr">
        <is>
          <t>BARBADILLO VI MOSCATO FRIZZANTE</t>
        </is>
      </c>
      <c r="W12" s="40" t="n">
        <v>6</v>
      </c>
      <c r="X12" s="41" t="n">
        <v>5.63</v>
      </c>
      <c r="Y12" s="42" t="n">
        <v>0</v>
      </c>
      <c r="Z12" s="43">
        <f>(W12*X12)-((W12*X12)*Y12)</f>
        <v/>
      </c>
      <c r="AB12" s="26" t="inlineStr">
        <is>
          <t>FM 3343</t>
        </is>
      </c>
      <c r="AC12" s="17" t="n">
        <v>797.46</v>
      </c>
      <c r="AD12" s="27" t="n">
        <v>0.21</v>
      </c>
    </row>
    <row r="13">
      <c r="B13" s="25" t="inlineStr">
        <is>
          <t>VINAGRE DE JEREZ RESERVA AL MOSCATEL</t>
        </is>
      </c>
      <c r="C13" s="44">
        <f>(2)*6</f>
        <v/>
      </c>
      <c r="D13" s="19" t="n">
        <v>5.44</v>
      </c>
      <c r="E13" s="45" t="n">
        <v>0</v>
      </c>
      <c r="F13" s="17">
        <f>(C13*D13)-((C13*D13)*E13)</f>
        <v/>
      </c>
      <c r="H13" s="26" t="inlineStr">
        <is>
          <t>FM 2692</t>
        </is>
      </c>
      <c r="I13" s="17" t="n">
        <v>1038.9</v>
      </c>
      <c r="J13" s="27" t="n">
        <v>0.21</v>
      </c>
      <c r="L13" s="25" t="inlineStr">
        <is>
          <t>MANZANILLA SOLEAR 3/8</t>
        </is>
      </c>
      <c r="M13" s="44">
        <f>(1)*12</f>
        <v/>
      </c>
      <c r="N13" s="19" t="n">
        <v>4.42</v>
      </c>
      <c r="O13" s="45" t="n">
        <v>0</v>
      </c>
      <c r="P13" s="17">
        <f>(M13*N13)-((M13*N13)*O13)</f>
        <v/>
      </c>
      <c r="V13" s="25" t="inlineStr">
        <is>
          <t>PACO GARCIA CRIANZA 3/4</t>
        </is>
      </c>
      <c r="W13" s="44" t="n">
        <v>12</v>
      </c>
      <c r="X13" s="19" t="n">
        <v>5.3</v>
      </c>
      <c r="Y13" s="45" t="n">
        <v>0</v>
      </c>
      <c r="Z13" s="17">
        <f>(W13*X13)-((W13*X13)*Y13)</f>
        <v/>
      </c>
      <c r="AB13" s="26" t="inlineStr">
        <is>
          <t>FM 3374</t>
        </is>
      </c>
      <c r="AC13" s="17" t="n">
        <v>141.24</v>
      </c>
      <c r="AD13" s="27" t="n">
        <v>0.21</v>
      </c>
    </row>
    <row r="14">
      <c r="H14" s="26" t="inlineStr">
        <is>
          <t>FM 2737</t>
        </is>
      </c>
      <c r="I14" s="17" t="n">
        <v>649.5599999999999</v>
      </c>
      <c r="J14" s="27" t="n">
        <v>0.21</v>
      </c>
      <c r="V14" s="39" t="inlineStr">
        <is>
          <t>BOCACHANCLA TINTO JOVEN</t>
        </is>
      </c>
      <c r="W14" s="40" t="n">
        <v>12</v>
      </c>
      <c r="X14" s="41" t="n">
        <v>3.58</v>
      </c>
      <c r="Y14" s="42" t="n">
        <v>0</v>
      </c>
      <c r="Z14" s="43">
        <f>(W14*X14)-((W14*X14)*Y14)</f>
        <v/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A6A6A6"/>
    <outlinePr summaryBelow="1" summaryRight="1"/>
    <pageSetUpPr/>
  </sheetPr>
  <dimension ref="B2:AD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SACO AGRIA NUEVA ALICANTE</t>
        </is>
      </c>
      <c r="C6" s="40">
        <f>(4+2+1+1)*25</f>
        <v/>
      </c>
      <c r="D6" s="41" t="n">
        <v>0.89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SACO AGRIA NUEVA ALICANTE</t>
        </is>
      </c>
      <c r="M6" s="40">
        <f>(1+1+2+2+1+1+2+3)*25</f>
        <v/>
      </c>
      <c r="N6" s="41" t="n">
        <v>0.88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SACO AGRIA NUEVA ALICANTE</t>
        </is>
      </c>
      <c r="W6" s="40">
        <f>50+75+25+50+25+25+25+25+25+25+50+25</f>
        <v/>
      </c>
      <c r="X6" s="41" t="n">
        <v>0.88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SACO MONALISA</t>
        </is>
      </c>
      <c r="C7" s="44">
        <f>(1+1+1+1)*25</f>
        <v/>
      </c>
      <c r="D7" s="19" t="n">
        <v>0.93</v>
      </c>
      <c r="E7" s="45" t="n">
        <v>0</v>
      </c>
      <c r="F7" s="17">
        <f>(C7*D7)-((C7*D7)*E7)</f>
        <v/>
      </c>
      <c r="L7" s="25" t="inlineStr">
        <is>
          <t>SACO MONALISA</t>
        </is>
      </c>
      <c r="M7" s="44">
        <f>(1+1)*25</f>
        <v/>
      </c>
      <c r="N7" s="19" t="n">
        <v>0.93</v>
      </c>
      <c r="O7" s="45" t="n">
        <v>0</v>
      </c>
      <c r="P7" s="17">
        <f>(M7*N7)-((M7*N7)*O7)</f>
        <v/>
      </c>
      <c r="V7" s="25" t="inlineStr">
        <is>
          <t>SACO MONALISA</t>
        </is>
      </c>
      <c r="W7" s="44">
        <f>25+25+25+25+25+25+25</f>
        <v/>
      </c>
      <c r="X7" s="19" t="n">
        <v>0.93</v>
      </c>
      <c r="Y7" s="45" t="n">
        <v>0</v>
      </c>
      <c r="Z7" s="17">
        <f>(W7*X7)-((W7*X7)*Y7)</f>
        <v/>
      </c>
    </row>
    <row r="8" ht="15" customHeight="1">
      <c r="B8" s="39" t="inlineStr">
        <is>
          <t>SACO AGRIA NUEVA ALICANTE</t>
        </is>
      </c>
      <c r="C8" s="40">
        <f>(4)*25</f>
        <v/>
      </c>
      <c r="D8" s="41" t="n">
        <v>0.95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SACO MONALISA (alb. 696: 30 kg = 1,2 sacos)</t>
        </is>
      </c>
      <c r="M8" s="40">
        <f>(1.2)*25</f>
        <v/>
      </c>
      <c r="N8" s="41" t="n">
        <v>0.88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SACO AGRIA ALICANTE</t>
        </is>
      </c>
      <c r="W8" s="40">
        <f>25+25+25+50</f>
        <v/>
      </c>
      <c r="X8" s="41" t="n">
        <v>0.88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SACO MONALISA</t>
        </is>
      </c>
      <c r="C9" s="44">
        <f>(1)*25</f>
        <v/>
      </c>
      <c r="D9" s="19" t="n">
        <v>0.9</v>
      </c>
      <c r="E9" s="45" t="n">
        <v>0</v>
      </c>
      <c r="F9" s="17">
        <f>(C9*D9)-((C9*D9)*E9)</f>
        <v/>
      </c>
      <c r="H9" s="26" t="inlineStr">
        <is>
          <t>476</t>
        </is>
      </c>
      <c r="I9" s="17" t="n">
        <v>44.5</v>
      </c>
      <c r="J9" s="27" t="n">
        <v>0.04</v>
      </c>
      <c r="R9" s="26" t="inlineStr">
        <is>
          <t>637</t>
        </is>
      </c>
      <c r="S9" s="17" t="n">
        <v>45.25</v>
      </c>
      <c r="T9" s="27" t="n">
        <v>0.04</v>
      </c>
      <c r="AB9" s="26" t="inlineStr">
        <is>
          <t>767</t>
        </is>
      </c>
      <c r="AC9" s="17" t="n">
        <v>67.25</v>
      </c>
      <c r="AD9" s="27" t="n">
        <v>0.04</v>
      </c>
    </row>
    <row r="10" ht="15" customHeight="1">
      <c r="B10" s="39" t="inlineStr">
        <is>
          <t>SACO AGRIA NUEVA ALICANTE</t>
        </is>
      </c>
      <c r="C10" s="40">
        <f>(1+1+2+1+1+1+1+1)*25</f>
        <v/>
      </c>
      <c r="D10" s="41" t="n">
        <v>0.88</v>
      </c>
      <c r="E10" s="42" t="n">
        <v>0</v>
      </c>
      <c r="F10" s="43">
        <f>(C10*D10)-((C10*D10)*E10)</f>
        <v/>
      </c>
      <c r="H10" s="26" t="inlineStr">
        <is>
          <t>468</t>
        </is>
      </c>
      <c r="I10" s="17" t="n">
        <v>23.25</v>
      </c>
      <c r="J10" s="27" t="n">
        <v>0.04</v>
      </c>
      <c r="R10" s="26" t="inlineStr">
        <is>
          <t>675</t>
        </is>
      </c>
      <c r="S10" s="17" t="n">
        <v>22</v>
      </c>
      <c r="T10" s="27" t="n">
        <v>0.04</v>
      </c>
      <c r="AB10" s="26" t="inlineStr">
        <is>
          <t>784</t>
        </is>
      </c>
      <c r="AC10" s="17" t="n">
        <v>89.25</v>
      </c>
      <c r="AD10" s="27" t="n">
        <v>0.04</v>
      </c>
    </row>
    <row r="11" ht="15" customHeight="1">
      <c r="B11" s="25" t="inlineStr">
        <is>
          <t>SACO MONALISA (alb. 499: 30 kg = 1,2 sacos)</t>
        </is>
      </c>
      <c r="C11" s="44">
        <f>(1.2)*25</f>
        <v/>
      </c>
      <c r="D11" s="19" t="n">
        <v>0.83</v>
      </c>
      <c r="E11" s="45" t="n">
        <v>0</v>
      </c>
      <c r="F11" s="17">
        <f>(C11*D11)-((C11*D11)*E11)</f>
        <v/>
      </c>
      <c r="H11" s="26" t="inlineStr">
        <is>
          <t>463</t>
        </is>
      </c>
      <c r="I11" s="17" t="n">
        <v>44.5</v>
      </c>
      <c r="J11" s="27" t="n">
        <v>0.04</v>
      </c>
      <c r="R11" s="26" t="inlineStr">
        <is>
          <t>680</t>
        </is>
      </c>
      <c r="S11" s="17" t="n">
        <v>67.25</v>
      </c>
      <c r="T11" s="27" t="n">
        <v>0.04</v>
      </c>
      <c r="AB11" s="26" t="inlineStr">
        <is>
          <t>801</t>
        </is>
      </c>
      <c r="AC11" s="17" t="n">
        <v>45.25</v>
      </c>
      <c r="AD11" s="27" t="n">
        <v>0.04</v>
      </c>
    </row>
    <row r="12">
      <c r="H12" s="26" t="inlineStr">
        <is>
          <t>445</t>
        </is>
      </c>
      <c r="I12" s="17" t="n">
        <v>46.25</v>
      </c>
      <c r="J12" s="27" t="n">
        <v>0.04</v>
      </c>
      <c r="R12" s="26" t="inlineStr">
        <is>
          <t>689</t>
        </is>
      </c>
      <c r="S12" s="17" t="n">
        <v>44</v>
      </c>
      <c r="T12" s="27" t="n">
        <v>0.04</v>
      </c>
      <c r="AB12" s="26" t="inlineStr">
        <is>
          <t>824</t>
        </is>
      </c>
      <c r="AC12" s="17" t="n">
        <v>44</v>
      </c>
      <c r="AD12" s="27" t="n">
        <v>0.04</v>
      </c>
    </row>
    <row r="13">
      <c r="H13" s="26" t="inlineStr">
        <is>
          <t>435</t>
        </is>
      </c>
      <c r="I13" s="17" t="n">
        <v>47.5</v>
      </c>
      <c r="J13" s="27" t="n">
        <v>0.04</v>
      </c>
      <c r="R13" s="26" t="inlineStr">
        <is>
          <t>696</t>
        </is>
      </c>
      <c r="S13" s="17" t="n">
        <v>48.4</v>
      </c>
      <c r="T13" s="27" t="n">
        <v>0.04</v>
      </c>
      <c r="AB13" s="26" t="inlineStr">
        <is>
          <t>835</t>
        </is>
      </c>
      <c r="AC13" s="17" t="n">
        <v>22</v>
      </c>
      <c r="AD13" s="27" t="n">
        <v>0.04</v>
      </c>
    </row>
    <row r="14">
      <c r="H14" s="26" t="inlineStr">
        <is>
          <t>404</t>
        </is>
      </c>
      <c r="I14" s="17" t="n">
        <v>23.75</v>
      </c>
      <c r="J14" s="27" t="n">
        <v>0.04</v>
      </c>
      <c r="R14" s="26" t="inlineStr">
        <is>
          <t>709</t>
        </is>
      </c>
      <c r="S14" s="17" t="n">
        <v>22</v>
      </c>
      <c r="T14" s="27" t="n">
        <v>0.04</v>
      </c>
      <c r="AB14" s="26" t="inlineStr">
        <is>
          <t>845</t>
        </is>
      </c>
      <c r="AC14" s="17" t="n">
        <v>22</v>
      </c>
      <c r="AD14" s="27" t="n">
        <v>0.04</v>
      </c>
    </row>
    <row r="15">
      <c r="H15" s="26" t="inlineStr">
        <is>
          <t>601</t>
        </is>
      </c>
      <c r="I15" s="17" t="n">
        <v>22</v>
      </c>
      <c r="J15" s="27" t="n">
        <v>0.04</v>
      </c>
      <c r="R15" s="26" t="inlineStr">
        <is>
          <t>729</t>
        </is>
      </c>
      <c r="S15" s="17" t="n">
        <v>44</v>
      </c>
      <c r="T15" s="27" t="n">
        <v>0.04</v>
      </c>
      <c r="AB15" s="26" t="inlineStr">
        <is>
          <t>859</t>
        </is>
      </c>
      <c r="AC15" s="17" t="n">
        <v>45.25</v>
      </c>
      <c r="AD15" s="27" t="n">
        <v>0.04</v>
      </c>
    </row>
    <row r="16">
      <c r="H16" s="26" t="inlineStr">
        <is>
          <t>592</t>
        </is>
      </c>
      <c r="I16" s="17" t="n">
        <v>22</v>
      </c>
      <c r="J16" s="27" t="n">
        <v>0.04</v>
      </c>
      <c r="R16" s="26" t="inlineStr">
        <is>
          <t>737</t>
        </is>
      </c>
      <c r="S16" s="17" t="n">
        <v>66</v>
      </c>
      <c r="T16" s="27" t="n">
        <v>0.04</v>
      </c>
      <c r="AB16" s="26" t="inlineStr">
        <is>
          <t>876</t>
        </is>
      </c>
      <c r="AC16" s="17" t="n">
        <v>22</v>
      </c>
      <c r="AD16" s="27" t="n">
        <v>0.04</v>
      </c>
    </row>
    <row r="17">
      <c r="H17" s="26" t="inlineStr">
        <is>
          <t>584</t>
        </is>
      </c>
      <c r="I17" s="17" t="n">
        <v>67.25</v>
      </c>
      <c r="J17" s="27" t="n">
        <v>0.04</v>
      </c>
      <c r="AB17" s="26" t="inlineStr">
        <is>
          <t>885</t>
        </is>
      </c>
      <c r="AC17" s="17" t="n">
        <v>45.25</v>
      </c>
      <c r="AD17" s="27" t="n">
        <v>0.04</v>
      </c>
    </row>
    <row r="18">
      <c r="H18" s="26" t="inlineStr">
        <is>
          <t>555</t>
        </is>
      </c>
      <c r="I18" s="17" t="n">
        <v>23.25</v>
      </c>
      <c r="J18" s="27" t="n">
        <v>0.04</v>
      </c>
      <c r="AB18" s="26" t="inlineStr">
        <is>
          <t>898</t>
        </is>
      </c>
      <c r="AC18" s="17" t="n">
        <v>22</v>
      </c>
      <c r="AD18" s="27" t="n">
        <v>0.04</v>
      </c>
    </row>
    <row r="19">
      <c r="H19" s="26" t="inlineStr">
        <is>
          <t>548</t>
        </is>
      </c>
      <c r="I19" s="17" t="n">
        <v>22</v>
      </c>
      <c r="J19" s="27" t="n">
        <v>0.04</v>
      </c>
      <c r="AB19" s="26" t="inlineStr">
        <is>
          <t>908</t>
        </is>
      </c>
      <c r="AC19" s="17" t="n">
        <v>44</v>
      </c>
      <c r="AD19" s="27" t="n">
        <v>0.04</v>
      </c>
    </row>
    <row r="20">
      <c r="H20" s="26" t="inlineStr">
        <is>
          <t>541</t>
        </is>
      </c>
      <c r="I20" s="17" t="n">
        <v>22</v>
      </c>
      <c r="J20" s="27" t="n">
        <v>0.04</v>
      </c>
      <c r="AB20" s="26" t="inlineStr">
        <is>
          <t>929</t>
        </is>
      </c>
      <c r="AC20" s="17" t="n">
        <v>45.25</v>
      </c>
      <c r="AD20" s="27" t="n">
        <v>0.04</v>
      </c>
    </row>
    <row r="21">
      <c r="H21" s="26" t="inlineStr">
        <is>
          <t>529</t>
        </is>
      </c>
      <c r="I21" s="17" t="n">
        <v>44.5</v>
      </c>
      <c r="J21" s="27" t="n">
        <v>0.04</v>
      </c>
      <c r="AB21" s="26" t="inlineStr">
        <is>
          <t>943</t>
        </is>
      </c>
      <c r="AC21" s="17" t="n">
        <v>22</v>
      </c>
      <c r="AD21" s="27" t="n">
        <v>0.04</v>
      </c>
    </row>
    <row r="22">
      <c r="H22" s="26" t="inlineStr">
        <is>
          <t>518</t>
        </is>
      </c>
      <c r="I22" s="17" t="n">
        <v>22.25</v>
      </c>
      <c r="J22" s="27" t="n">
        <v>0.04</v>
      </c>
      <c r="AB22" s="26" t="inlineStr">
        <is>
          <t>952</t>
        </is>
      </c>
      <c r="AC22" s="17" t="n">
        <v>22</v>
      </c>
      <c r="AD22" s="27" t="n">
        <v>0.04</v>
      </c>
    </row>
    <row r="23">
      <c r="H23" s="26" t="inlineStr">
        <is>
          <t>499</t>
        </is>
      </c>
      <c r="I23" s="17" t="n">
        <v>47.15</v>
      </c>
      <c r="J23" s="27" t="n">
        <v>0.04</v>
      </c>
      <c r="AB23" s="26" t="inlineStr">
        <is>
          <t>962</t>
        </is>
      </c>
      <c r="AC23" s="17" t="n">
        <v>45.25</v>
      </c>
      <c r="AD23" s="27" t="n">
        <v>0.04</v>
      </c>
    </row>
    <row r="24">
      <c r="H24" s="26" t="inlineStr">
        <is>
          <t>630</t>
        </is>
      </c>
      <c r="I24" s="17" t="n">
        <v>22</v>
      </c>
      <c r="J24" s="27" t="n">
        <v>0.04</v>
      </c>
      <c r="AB24" s="26" t="inlineStr">
        <is>
          <t>971</t>
        </is>
      </c>
      <c r="AC24" s="17" t="n">
        <v>44</v>
      </c>
      <c r="AD24" s="27" t="n">
        <v>0.04</v>
      </c>
    </row>
    <row r="25">
      <c r="H25" s="26" t="inlineStr">
        <is>
          <t>626</t>
        </is>
      </c>
      <c r="I25" s="17" t="n">
        <v>45.25</v>
      </c>
      <c r="J25" s="27" t="n">
        <v>0.04</v>
      </c>
    </row>
    <row r="26">
      <c r="H26" s="26" t="inlineStr">
        <is>
          <t>608</t>
        </is>
      </c>
      <c r="I26" s="17" t="n">
        <v>22</v>
      </c>
      <c r="J26" s="27" t="n">
        <v>0.04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A6A6A6"/>
    <outlinePr summaryBelow="1" summaryRight="1"/>
    <pageSetUpPr/>
  </sheetPr>
  <dimension ref="B2:AD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ALISTADO 15/20 PARAPENAEUS</t>
        </is>
      </c>
      <c r="C6" s="40">
        <f>4.15+1.2+4.2+6.4+3.8+5.1+4.32</f>
        <v/>
      </c>
      <c r="D6" s="41" t="n">
        <v>48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ALISTADO 15/20 PARAPENAEUS</t>
        </is>
      </c>
      <c r="M6" s="40">
        <f>4+3.7</f>
        <v/>
      </c>
      <c r="N6" s="41" t="n">
        <v>48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ALISTADO 15/20 PARAPENAEUS</t>
        </is>
      </c>
      <c r="W6" s="40">
        <f>4+6.2+5.45+4.3+3.1+4</f>
        <v/>
      </c>
      <c r="X6" s="41" t="n">
        <v>48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/>
    <row r="8" ht="15" customHeight="1"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H9" s="26" t="inlineStr">
        <is>
          <t>140612</t>
        </is>
      </c>
      <c r="I9" s="17" t="n">
        <v>199.2</v>
      </c>
      <c r="J9" s="27" t="n">
        <v>0.1</v>
      </c>
      <c r="R9" s="26" t="inlineStr">
        <is>
          <t>143228</t>
        </is>
      </c>
      <c r="S9" s="17" t="n">
        <v>192</v>
      </c>
      <c r="T9" s="27" t="n">
        <v>0.1</v>
      </c>
      <c r="AB9" s="26" t="inlineStr">
        <is>
          <t>144041</t>
        </is>
      </c>
      <c r="AC9" s="17" t="n">
        <v>192</v>
      </c>
      <c r="AD9" s="27" t="n">
        <v>0.1</v>
      </c>
    </row>
    <row r="10" ht="15" customHeight="1">
      <c r="H10" s="26" t="inlineStr">
        <is>
          <t>140395</t>
        </is>
      </c>
      <c r="I10" s="17" t="n">
        <v>259.2</v>
      </c>
      <c r="J10" s="27" t="n">
        <v>0.1</v>
      </c>
      <c r="R10" s="26" t="inlineStr">
        <is>
          <t>143673</t>
        </is>
      </c>
      <c r="S10" s="17" t="n">
        <v>177.6</v>
      </c>
      <c r="T10" s="27" t="n">
        <v>0.1</v>
      </c>
      <c r="AB10" s="26" t="inlineStr">
        <is>
          <t>144434</t>
        </is>
      </c>
      <c r="AC10" s="17" t="n">
        <v>297.6</v>
      </c>
      <c r="AD10" s="27" t="n">
        <v>0.1</v>
      </c>
    </row>
    <row r="11" ht="15" customHeight="1">
      <c r="H11" s="26" t="inlineStr">
        <is>
          <t>139654</t>
        </is>
      </c>
      <c r="I11" s="17" t="n">
        <v>307.2</v>
      </c>
      <c r="J11" s="27" t="n">
        <v>0.1</v>
      </c>
      <c r="AB11" s="26" t="inlineStr">
        <is>
          <t>144801</t>
        </is>
      </c>
      <c r="AC11" s="17" t="n">
        <v>261.6</v>
      </c>
      <c r="AD11" s="27" t="n">
        <v>0.1</v>
      </c>
    </row>
    <row r="12">
      <c r="H12" s="26" t="inlineStr">
        <is>
          <t>141763</t>
        </is>
      </c>
      <c r="I12" s="17" t="n">
        <v>182.4</v>
      </c>
      <c r="J12" s="27" t="n">
        <v>0.1</v>
      </c>
      <c r="AB12" s="26" t="inlineStr">
        <is>
          <t>145600</t>
        </is>
      </c>
      <c r="AC12" s="17" t="n">
        <v>206.4</v>
      </c>
      <c r="AD12" s="27" t="n">
        <v>0.1</v>
      </c>
    </row>
    <row r="13">
      <c r="H13" s="26" t="inlineStr">
        <is>
          <t>140979</t>
        </is>
      </c>
      <c r="I13" s="17" t="n">
        <v>244.8</v>
      </c>
      <c r="J13" s="27" t="n">
        <v>0.1</v>
      </c>
      <c r="AB13" s="26" t="inlineStr">
        <is>
          <t>146319</t>
        </is>
      </c>
      <c r="AC13" s="17" t="n">
        <v>148.8</v>
      </c>
      <c r="AD13" s="27" t="n">
        <v>0.1</v>
      </c>
    </row>
    <row r="14">
      <c r="H14" s="26" t="inlineStr">
        <is>
          <t>142088</t>
        </is>
      </c>
      <c r="I14" s="17" t="n">
        <v>207.36</v>
      </c>
      <c r="J14" s="27" t="n">
        <v>0.1</v>
      </c>
      <c r="AB14" s="26" t="inlineStr">
        <is>
          <t>146774</t>
        </is>
      </c>
      <c r="AC14" s="17" t="n">
        <v>192</v>
      </c>
      <c r="AD14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A6A6A6"/>
    <outlinePr summaryBelow="1" summaryRight="1"/>
    <pageSetUpPr/>
  </sheetPr>
  <dimension ref="B2:AD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ALISTADOS</t>
        </is>
      </c>
      <c r="C6" s="40" t="n">
        <v>1</v>
      </c>
      <c r="D6" s="41" t="n">
        <v>78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CARABINEROS</t>
        </is>
      </c>
      <c r="M6" s="40">
        <f>1.1+1.1+1.1+2.2+1.2+1.1</f>
        <v/>
      </c>
      <c r="N6" s="41" t="n">
        <v>98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NAVAJA</t>
        </is>
      </c>
      <c r="W6" s="40">
        <f>2+2+2</f>
        <v/>
      </c>
      <c r="X6" s="41" t="n">
        <v>25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CALAMARES</t>
        </is>
      </c>
      <c r="C7" s="44">
        <f>5.8+5.8+6.8+7.5+4.2+10+8.6+9.2+6+8.3+6+6.5+9.5+5.9+3.9+7.2</f>
        <v/>
      </c>
      <c r="D7" s="19" t="n">
        <v>21.5</v>
      </c>
      <c r="E7" s="45" t="n">
        <v>0</v>
      </c>
      <c r="F7" s="17">
        <f>(C7*D7)-((C7*D7)*E7)</f>
        <v/>
      </c>
      <c r="L7" s="25" t="inlineStr">
        <is>
          <t>NAVAJA</t>
        </is>
      </c>
      <c r="M7" s="44">
        <f>1+1+1+1+1+1+1+1</f>
        <v/>
      </c>
      <c r="N7" s="19" t="n">
        <v>25</v>
      </c>
      <c r="O7" s="45" t="n">
        <v>0</v>
      </c>
      <c r="P7" s="17">
        <f>(M7*N7)-((M7*N7)*O7)</f>
        <v/>
      </c>
      <c r="V7" s="25" t="inlineStr">
        <is>
          <t>PULPO</t>
        </is>
      </c>
      <c r="W7" s="44">
        <f>9.95+9+7.48+7.84+7.94+7.9+7.57+8.04+7.96+7.95+7.68+7.1+7.93</f>
        <v/>
      </c>
      <c r="X7" s="19" t="n">
        <v>30.4998</v>
      </c>
      <c r="Y7" s="45" t="n">
        <v>0</v>
      </c>
      <c r="Z7" s="17">
        <f>(W7*X7)-((W7*X7)*Y7)</f>
        <v/>
      </c>
    </row>
    <row r="8" ht="15" customHeight="1">
      <c r="B8" s="39" t="inlineStr">
        <is>
          <t>CARABINEROS</t>
        </is>
      </c>
      <c r="C8" s="40">
        <f>2.1+1+1+1.1+1+1.1+1.1+1</f>
        <v/>
      </c>
      <c r="D8" s="41" t="n">
        <v>98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PULPO</t>
        </is>
      </c>
      <c r="M8" s="40">
        <f>17.13+8.62+8.63+8.9+8.23+8.26+9.6</f>
        <v/>
      </c>
      <c r="N8" s="41" t="n">
        <v>30.5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COCOCHAS</t>
        </is>
      </c>
      <c r="W8" s="40">
        <f>2+2</f>
        <v/>
      </c>
      <c r="X8" s="41" t="n">
        <v>60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CARABINEROS</t>
        </is>
      </c>
      <c r="C9" s="44" t="n">
        <v>1</v>
      </c>
      <c r="D9" s="19" t="n">
        <v>98</v>
      </c>
      <c r="E9" s="45" t="n">
        <v>0</v>
      </c>
      <c r="F9" s="17">
        <f>(C9*D9)-((C9*D9)*E9)</f>
        <v/>
      </c>
      <c r="H9" s="26" t="inlineStr">
        <is>
          <t>11/07/2026</t>
        </is>
      </c>
      <c r="I9" s="17" t="n">
        <v>568.3099999999999</v>
      </c>
      <c r="J9" s="27" t="n">
        <v>0.1</v>
      </c>
      <c r="L9" s="25" t="inlineStr">
        <is>
          <t>CALAMARES</t>
        </is>
      </c>
      <c r="M9" s="44">
        <f>4.4+3+6.2+6+6+2.5+2.9+7</f>
        <v/>
      </c>
      <c r="N9" s="19" t="n">
        <v>21.5</v>
      </c>
      <c r="O9" s="45" t="n">
        <v>0</v>
      </c>
      <c r="P9" s="17">
        <f>(M9*N9)-((M9*N9)*O9)</f>
        <v/>
      </c>
      <c r="R9" s="26" t="inlineStr">
        <is>
          <t>01/08/2026</t>
        </is>
      </c>
      <c r="S9" s="17" t="n">
        <v>132.8</v>
      </c>
      <c r="T9" s="27" t="n">
        <v>0.1</v>
      </c>
      <c r="V9" s="25" t="inlineStr">
        <is>
          <t>CALAMARES</t>
        </is>
      </c>
      <c r="W9" s="44">
        <f>6+4.4+2.7+5.5+2.9+2.8+5.4+4+6.1+3.5+6+6.3+6.3+4+6+2.7+3.3+6</f>
        <v/>
      </c>
      <c r="X9" s="19" t="n">
        <v>21.5</v>
      </c>
      <c r="Y9" s="45" t="n">
        <v>0</v>
      </c>
      <c r="Z9" s="17">
        <f>(W9*X9)-((W9*X9)*Y9)</f>
        <v/>
      </c>
      <c r="AB9" s="26" t="inlineStr">
        <is>
          <t>01/09/2026</t>
        </is>
      </c>
      <c r="AC9" s="17" t="n">
        <v>602.48</v>
      </c>
      <c r="AD9" s="27" t="n">
        <v>0.1</v>
      </c>
    </row>
    <row r="10" ht="15" customHeight="1">
      <c r="B10" s="39" t="inlineStr">
        <is>
          <t>COQUINAS</t>
        </is>
      </c>
      <c r="C10" s="40">
        <f>21+4+1+2+4+2+4+4</f>
        <v/>
      </c>
      <c r="D10" s="41" t="n">
        <v>30</v>
      </c>
      <c r="E10" s="42" t="n">
        <v>0</v>
      </c>
      <c r="F10" s="43">
        <f>(C10*D10)-((C10*D10)*E10)</f>
        <v/>
      </c>
      <c r="H10" s="26" t="inlineStr">
        <is>
          <t>10/07/2026</t>
        </is>
      </c>
      <c r="I10" s="17" t="n">
        <v>630.5</v>
      </c>
      <c r="J10" s="27" t="n">
        <v>0.1</v>
      </c>
      <c r="L10" s="39" t="inlineStr">
        <is>
          <t>ALISTADOS</t>
        </is>
      </c>
      <c r="M10" s="40">
        <f>1+1+1</f>
        <v/>
      </c>
      <c r="N10" s="41" t="n">
        <v>88</v>
      </c>
      <c r="O10" s="42" t="n">
        <v>0</v>
      </c>
      <c r="P10" s="43">
        <f>(M10*N10)-((M10*N10)*O10)</f>
        <v/>
      </c>
      <c r="R10" s="26" t="inlineStr">
        <is>
          <t>04/08/2026</t>
        </is>
      </c>
      <c r="S10" s="17" t="n">
        <v>922.87</v>
      </c>
      <c r="T10" s="27" t="n">
        <v>0.1</v>
      </c>
      <c r="V10" s="39" t="inlineStr">
        <is>
          <t>OSTRAS (ud)</t>
        </is>
      </c>
      <c r="W10" s="40" t="n">
        <v>24</v>
      </c>
      <c r="X10" s="41" t="n">
        <v>2.5</v>
      </c>
      <c r="Y10" s="42" t="n">
        <v>0</v>
      </c>
      <c r="Z10" s="43">
        <f>(W10*X10)-((W10*X10)*Y10)</f>
        <v/>
      </c>
      <c r="AB10" s="26" t="inlineStr">
        <is>
          <t>02/09/2026</t>
        </is>
      </c>
      <c r="AC10" s="17" t="n">
        <v>60</v>
      </c>
      <c r="AD10" s="27" t="n">
        <v>0.1</v>
      </c>
    </row>
    <row r="11" ht="15" customHeight="1">
      <c r="B11" s="25" t="inlineStr">
        <is>
          <t>LANGOSTINO</t>
        </is>
      </c>
      <c r="C11" s="44">
        <f>1.2+1+1.2</f>
        <v/>
      </c>
      <c r="D11" s="19" t="n">
        <v>35</v>
      </c>
      <c r="E11" s="45" t="n">
        <v>0</v>
      </c>
      <c r="F11" s="17">
        <f>(C11*D11)-((C11*D11)*E11)</f>
        <v/>
      </c>
      <c r="H11" s="26" t="inlineStr">
        <is>
          <t>09/07/2026</t>
        </is>
      </c>
      <c r="I11" s="17" t="n">
        <v>626.95</v>
      </c>
      <c r="J11" s="27" t="n">
        <v>0.1</v>
      </c>
      <c r="L11" s="25" t="inlineStr">
        <is>
          <t>ZAMBURIÑAS</t>
        </is>
      </c>
      <c r="M11" s="44">
        <f>10+8+10+10</f>
        <v/>
      </c>
      <c r="N11" s="19" t="n">
        <v>15.5</v>
      </c>
      <c r="O11" s="45" t="n">
        <v>0</v>
      </c>
      <c r="P11" s="17">
        <f>(M11*N11)-((M11*N11)*O11)</f>
        <v/>
      </c>
      <c r="R11" s="26" t="inlineStr">
        <is>
          <t>06/08/2026</t>
        </is>
      </c>
      <c r="S11" s="17" t="n">
        <v>352.41</v>
      </c>
      <c r="T11" s="27" t="n">
        <v>0.1</v>
      </c>
      <c r="V11" s="25" t="inlineStr">
        <is>
          <t>ZAMBURIÑAS</t>
        </is>
      </c>
      <c r="W11" s="44">
        <f>10+10+10+10+10+10+10</f>
        <v/>
      </c>
      <c r="X11" s="19" t="n">
        <v>15.5</v>
      </c>
      <c r="Y11" s="45" t="n">
        <v>0</v>
      </c>
      <c r="Z11" s="17">
        <f>(W11*X11)-((W11*X11)*Y11)</f>
        <v/>
      </c>
      <c r="AB11" s="26" t="inlineStr">
        <is>
          <t>03/09/2026</t>
        </is>
      </c>
      <c r="AC11" s="17" t="n">
        <v>341.6</v>
      </c>
      <c r="AD11" s="27" t="n">
        <v>0.1</v>
      </c>
    </row>
    <row r="12">
      <c r="B12" s="39" t="inlineStr">
        <is>
          <t>NAVAJA</t>
        </is>
      </c>
      <c r="C12" s="40">
        <f>5+1+1+1+1+1+1+2+2+1</f>
        <v/>
      </c>
      <c r="D12" s="41" t="n">
        <v>25</v>
      </c>
      <c r="E12" s="42" t="n">
        <v>0</v>
      </c>
      <c r="F12" s="43">
        <f>(C12*D12)-((C12*D12)*E12)</f>
        <v/>
      </c>
      <c r="H12" s="26" t="inlineStr">
        <is>
          <t>08/07/2026</t>
        </is>
      </c>
      <c r="I12" s="17" t="n">
        <v>229.2</v>
      </c>
      <c r="J12" s="27" t="n">
        <v>0.1</v>
      </c>
      <c r="L12" s="39" t="inlineStr">
        <is>
          <t>PARRILLATO</t>
        </is>
      </c>
      <c r="M12" s="40" t="n">
        <v>2.3</v>
      </c>
      <c r="N12" s="41" t="n">
        <v>14</v>
      </c>
      <c r="O12" s="42" t="n">
        <v>0</v>
      </c>
      <c r="P12" s="43">
        <f>(M12*N12)-((M12*N12)*O12)</f>
        <v/>
      </c>
      <c r="R12" s="26" t="inlineStr">
        <is>
          <t>07/08/2026</t>
        </is>
      </c>
      <c r="S12" s="17" t="n">
        <v>195.8</v>
      </c>
      <c r="T12" s="27" t="n">
        <v>0.1</v>
      </c>
      <c r="V12" s="39" t="inlineStr">
        <is>
          <t>LANGOSTINO</t>
        </is>
      </c>
      <c r="W12" s="40">
        <f>1.2+1.1+1.1+1.1+1</f>
        <v/>
      </c>
      <c r="X12" s="41" t="n">
        <v>35</v>
      </c>
      <c r="Y12" s="42" t="n">
        <v>0</v>
      </c>
      <c r="Z12" s="43">
        <f>(W12*X12)-((W12*X12)*Y12)</f>
        <v/>
      </c>
      <c r="AB12" s="26" t="inlineStr">
        <is>
          <t>04/09/2026</t>
        </is>
      </c>
      <c r="AC12" s="17" t="n">
        <v>831.05</v>
      </c>
      <c r="AD12" s="27" t="n">
        <v>0.1</v>
      </c>
    </row>
    <row r="13">
      <c r="B13" s="25" t="inlineStr">
        <is>
          <t>NAVAJA</t>
        </is>
      </c>
      <c r="C13" s="44" t="n">
        <v>2</v>
      </c>
      <c r="D13" s="19" t="n">
        <v>23</v>
      </c>
      <c r="E13" s="45" t="n">
        <v>0</v>
      </c>
      <c r="F13" s="17">
        <f>(C13*D13)-((C13*D13)*E13)</f>
        <v/>
      </c>
      <c r="H13" s="26" t="inlineStr">
        <is>
          <t>04/07/2026</t>
        </is>
      </c>
      <c r="I13" s="17" t="n">
        <v>1212.78</v>
      </c>
      <c r="J13" s="27" t="n">
        <v>0.1</v>
      </c>
      <c r="L13" s="25" t="inlineStr">
        <is>
          <t>COQUINAS</t>
        </is>
      </c>
      <c r="M13" s="44" t="n">
        <v>4</v>
      </c>
      <c r="N13" s="19" t="n">
        <v>30</v>
      </c>
      <c r="O13" s="45" t="n">
        <v>0</v>
      </c>
      <c r="P13" s="17">
        <f>(M13*N13)-((M13*N13)*O13)</f>
        <v/>
      </c>
      <c r="R13" s="26" t="inlineStr">
        <is>
          <t>18/08/2026</t>
        </is>
      </c>
      <c r="S13" s="17" t="n">
        <v>190.5</v>
      </c>
      <c r="T13" s="27" t="n">
        <v>0.1</v>
      </c>
      <c r="V13" s="25" t="inlineStr">
        <is>
          <t>CIGALA</t>
        </is>
      </c>
      <c r="W13" s="44">
        <f>1+1</f>
        <v/>
      </c>
      <c r="X13" s="19" t="n">
        <v>78</v>
      </c>
      <c r="Y13" s="45" t="n">
        <v>0</v>
      </c>
      <c r="Z13" s="17">
        <f>(W13*X13)-((W13*X13)*Y13)</f>
        <v/>
      </c>
      <c r="AB13" s="26" t="inlineStr">
        <is>
          <t>s/f (tapado)</t>
        </is>
      </c>
      <c r="AC13" s="17" t="n">
        <v>833.3</v>
      </c>
      <c r="AD13" s="27" t="n">
        <v>0.1</v>
      </c>
    </row>
    <row r="14">
      <c r="B14" s="39" t="inlineStr">
        <is>
          <t>NAVAJA</t>
        </is>
      </c>
      <c r="C14" s="40" t="n">
        <v>1</v>
      </c>
      <c r="D14" s="41" t="n">
        <v>25.5</v>
      </c>
      <c r="E14" s="42" t="n">
        <v>0</v>
      </c>
      <c r="F14" s="43">
        <f>(C14*D14)-((C14*D14)*E14)</f>
        <v/>
      </c>
      <c r="H14" s="26" t="inlineStr">
        <is>
          <t>03/07/2026</t>
        </is>
      </c>
      <c r="I14" s="17" t="n">
        <v>558.22</v>
      </c>
      <c r="J14" s="27" t="n">
        <v>0.1</v>
      </c>
      <c r="L14" s="39" t="inlineStr">
        <is>
          <t>COCOCHAS</t>
        </is>
      </c>
      <c r="M14" s="40" t="n">
        <v>1</v>
      </c>
      <c r="N14" s="41" t="n">
        <v>58</v>
      </c>
      <c r="O14" s="42" t="n">
        <v>0</v>
      </c>
      <c r="P14" s="43">
        <f>(M14*N14)-((M14*N14)*O14)</f>
        <v/>
      </c>
      <c r="R14" s="26" t="inlineStr">
        <is>
          <t>19/08/2026</t>
        </is>
      </c>
      <c r="S14" s="17" t="n">
        <v>602.8099999999999</v>
      </c>
      <c r="T14" s="27" t="n">
        <v>0.1</v>
      </c>
      <c r="V14" s="39" t="inlineStr">
        <is>
          <t>COQUINAS</t>
        </is>
      </c>
      <c r="W14" s="40">
        <f>4+2+3+3+4+4</f>
        <v/>
      </c>
      <c r="X14" s="41" t="n">
        <v>32.5</v>
      </c>
      <c r="Y14" s="42" t="n">
        <v>0</v>
      </c>
      <c r="Z14" s="43">
        <f>(W14*X14)-((W14*X14)*Y14)</f>
        <v/>
      </c>
      <c r="AB14" s="26" t="inlineStr">
        <is>
          <t>08/09/2026</t>
        </is>
      </c>
      <c r="AC14" s="17" t="n">
        <v>787.39</v>
      </c>
      <c r="AD14" s="27" t="n">
        <v>0.1</v>
      </c>
    </row>
    <row r="15">
      <c r="B15" s="25" t="inlineStr">
        <is>
          <t>PULPO</t>
        </is>
      </c>
      <c r="C15" s="44">
        <f>16.0757377+8.5+17.46+8.63+8.9+6.5+7.44+6.4+13.03+14.73+7.39+9.41</f>
        <v/>
      </c>
      <c r="D15" s="19" t="n">
        <v>30.5</v>
      </c>
      <c r="E15" s="45" t="n">
        <v>0</v>
      </c>
      <c r="F15" s="17">
        <f>(C15*D15)-((C15*D15)*E15)</f>
        <v/>
      </c>
      <c r="H15" s="26" t="inlineStr">
        <is>
          <t>02/07/2026</t>
        </is>
      </c>
      <c r="I15" s="17" t="n">
        <v>175.8</v>
      </c>
      <c r="J15" s="27" t="n">
        <v>0.1</v>
      </c>
      <c r="L15" s="25" t="inlineStr">
        <is>
          <t>COQUINAS</t>
        </is>
      </c>
      <c r="M15" s="44">
        <f>2+3</f>
        <v/>
      </c>
      <c r="N15" s="19" t="n">
        <v>32.5</v>
      </c>
      <c r="O15" s="45" t="n">
        <v>0</v>
      </c>
      <c r="P15" s="17">
        <f>(M15*N15)-((M15*N15)*O15)</f>
        <v/>
      </c>
      <c r="R15" s="26" t="inlineStr">
        <is>
          <t>20/08/2026</t>
        </is>
      </c>
      <c r="S15" s="17" t="n">
        <v>332</v>
      </c>
      <c r="T15" s="27" t="n">
        <v>0.1</v>
      </c>
      <c r="V15" s="25" t="inlineStr">
        <is>
          <t>CARABINEROS</t>
        </is>
      </c>
      <c r="W15" s="44">
        <f>2.1+2+2+1.9+1+1+2.2+2.2</f>
        <v/>
      </c>
      <c r="X15" s="19" t="n">
        <v>120</v>
      </c>
      <c r="Y15" s="45" t="n">
        <v>0</v>
      </c>
      <c r="Z15" s="17">
        <f>(W15*X15)-((W15*X15)*Y15)</f>
        <v/>
      </c>
      <c r="AB15" s="26" t="inlineStr">
        <is>
          <t>09/09/2026</t>
        </is>
      </c>
      <c r="AC15" s="17" t="n">
        <v>541.47</v>
      </c>
      <c r="AD15" s="27" t="n">
        <v>0.1</v>
      </c>
    </row>
    <row r="16">
      <c r="B16" s="39" t="inlineStr">
        <is>
          <t>QUISQUILLA</t>
        </is>
      </c>
      <c r="C16" s="40" t="n">
        <v>3</v>
      </c>
      <c r="D16" s="41" t="n">
        <v>58</v>
      </c>
      <c r="E16" s="42" t="n">
        <v>0</v>
      </c>
      <c r="F16" s="43">
        <f>(C16*D16)-((C16*D16)*E16)</f>
        <v/>
      </c>
      <c r="H16" s="26" t="inlineStr">
        <is>
          <t>01/07/2026</t>
        </is>
      </c>
      <c r="I16" s="17" t="n">
        <v>497.5</v>
      </c>
      <c r="J16" s="27" t="n">
        <v>0.1</v>
      </c>
      <c r="L16" s="39" t="inlineStr">
        <is>
          <t>COCOCHAS</t>
        </is>
      </c>
      <c r="M16" s="40" t="n">
        <v>1</v>
      </c>
      <c r="N16" s="41" t="n">
        <v>60</v>
      </c>
      <c r="O16" s="42" t="n">
        <v>0</v>
      </c>
      <c r="P16" s="43">
        <f>(M16*N16)-((M16*N16)*O16)</f>
        <v/>
      </c>
      <c r="R16" s="26" t="inlineStr">
        <is>
          <t>22/08/2026</t>
        </is>
      </c>
      <c r="S16" s="17" t="n">
        <v>194</v>
      </c>
      <c r="T16" s="27" t="n">
        <v>0.1</v>
      </c>
      <c r="V16" s="39" t="inlineStr">
        <is>
          <t>RESTO NO VISIBLE (albarán tapado, base 833,30)</t>
        </is>
      </c>
      <c r="W16" s="40" t="n">
        <v>1</v>
      </c>
      <c r="X16" s="41" t="n">
        <v>794.8</v>
      </c>
      <c r="Y16" s="42" t="n">
        <v>0</v>
      </c>
      <c r="Z16" s="43">
        <f>(W16*X16)-((W16*X16)*Y16)</f>
        <v/>
      </c>
      <c r="AB16" s="26" t="inlineStr">
        <is>
          <t>10/09/2026</t>
        </is>
      </c>
      <c r="AC16" s="17" t="n">
        <v>530.37</v>
      </c>
      <c r="AD16" s="27" t="n">
        <v>0.1</v>
      </c>
    </row>
    <row r="17">
      <c r="B17" s="25" t="inlineStr">
        <is>
          <t>ZAMBURIÑAS</t>
        </is>
      </c>
      <c r="C17" s="44">
        <f>30+10+10+10+10+10</f>
        <v/>
      </c>
      <c r="D17" s="19" t="n">
        <v>15.5</v>
      </c>
      <c r="E17" s="45" t="n">
        <v>0</v>
      </c>
      <c r="F17" s="17">
        <f>(C17*D17)-((C17*D17)*E17)</f>
        <v/>
      </c>
      <c r="H17" s="26" t="inlineStr">
        <is>
          <t>25/07/2026</t>
        </is>
      </c>
      <c r="I17" s="17" t="n">
        <v>180</v>
      </c>
      <c r="J17" s="27" t="n">
        <v>0.1</v>
      </c>
      <c r="R17" s="26" t="inlineStr">
        <is>
          <t>25/08/2026</t>
        </is>
      </c>
      <c r="S17" s="17" t="n">
        <v>451.45</v>
      </c>
      <c r="T17" s="27" t="n">
        <v>0.1</v>
      </c>
      <c r="V17" s="25" t="inlineStr">
        <is>
          <t>NAVAJA</t>
        </is>
      </c>
      <c r="W17" s="44" t="n">
        <v>2</v>
      </c>
      <c r="X17" s="19" t="n">
        <v>23</v>
      </c>
      <c r="Y17" s="45" t="n">
        <v>0</v>
      </c>
      <c r="Z17" s="17">
        <f>(W17*X17)-((W17*X17)*Y17)</f>
        <v/>
      </c>
      <c r="AB17" s="26" t="inlineStr">
        <is>
          <t>11/09/2026</t>
        </is>
      </c>
      <c r="AC17" s="17" t="n">
        <v>166.1</v>
      </c>
      <c r="AD17" s="27" t="n">
        <v>0.1</v>
      </c>
    </row>
    <row r="18">
      <c r="B18" s="39" t="inlineStr">
        <is>
          <t>NAVAJA</t>
        </is>
      </c>
      <c r="C18" s="40" t="n">
        <v>1</v>
      </c>
      <c r="D18" s="41" t="n">
        <v>29.5</v>
      </c>
      <c r="E18" s="42" t="n">
        <v>0</v>
      </c>
      <c r="F18" s="43">
        <f>(C18*D18)-((C18*D18)*E18)</f>
        <v/>
      </c>
      <c r="H18" s="26" t="inlineStr">
        <is>
          <t>24/07/2026</t>
        </is>
      </c>
      <c r="I18" s="17" t="n">
        <v>456.35</v>
      </c>
      <c r="J18" s="27" t="n">
        <v>0.1</v>
      </c>
      <c r="R18" s="26" t="inlineStr">
        <is>
          <t>26/08/2026</t>
        </is>
      </c>
      <c r="S18" s="17" t="n">
        <v>304.77</v>
      </c>
      <c r="T18" s="27" t="n">
        <v>0.1</v>
      </c>
      <c r="V18" s="39" t="inlineStr">
        <is>
          <t>NAVAJA</t>
        </is>
      </c>
      <c r="W18" s="40">
        <f>1+1</f>
        <v/>
      </c>
      <c r="X18" s="41" t="n">
        <v>24</v>
      </c>
      <c r="Y18" s="42" t="n">
        <v>0</v>
      </c>
      <c r="Z18" s="43">
        <f>(W18*X18)-((W18*X18)*Y18)</f>
        <v/>
      </c>
      <c r="AB18" s="26" t="inlineStr">
        <is>
          <t>12/09/2026</t>
        </is>
      </c>
      <c r="AC18" s="17" t="n">
        <v>303.5</v>
      </c>
      <c r="AD18" s="27" t="n">
        <v>0.1</v>
      </c>
    </row>
    <row r="19">
      <c r="B19" s="25" t="inlineStr">
        <is>
          <t>CIGALA</t>
        </is>
      </c>
      <c r="C19" s="44" t="n">
        <v>1</v>
      </c>
      <c r="D19" s="19" t="n">
        <v>75</v>
      </c>
      <c r="E19" s="45" t="n">
        <v>0</v>
      </c>
      <c r="F19" s="17">
        <f>(C19*D19)-((C19*D19)*E19)</f>
        <v/>
      </c>
      <c r="H19" s="26" t="inlineStr">
        <is>
          <t>23/07/2026</t>
        </is>
      </c>
      <c r="I19" s="17" t="n">
        <v>614.05</v>
      </c>
      <c r="J19" s="27" t="n">
        <v>0.1</v>
      </c>
      <c r="R19" s="26" t="inlineStr">
        <is>
          <t>27/08/2026</t>
        </is>
      </c>
      <c r="S19" s="17" t="n">
        <v>147.35</v>
      </c>
      <c r="T19" s="27" t="n">
        <v>0.1</v>
      </c>
      <c r="V19" s="25" t="inlineStr">
        <is>
          <t>NAVAJA</t>
        </is>
      </c>
      <c r="W19" s="44" t="n">
        <v>2</v>
      </c>
      <c r="X19" s="19" t="n">
        <v>22</v>
      </c>
      <c r="Y19" s="45" t="n">
        <v>0</v>
      </c>
      <c r="Z19" s="17">
        <f>(W19*X19)-((W19*X19)*Y19)</f>
        <v/>
      </c>
      <c r="AB19" s="26" t="inlineStr">
        <is>
          <t>15/09/2026</t>
        </is>
      </c>
      <c r="AC19" s="17" t="n">
        <v>492.1</v>
      </c>
      <c r="AD19" s="27" t="n">
        <v>0.1</v>
      </c>
    </row>
    <row r="20">
      <c r="B20" s="39" t="inlineStr">
        <is>
          <t>PRODUCTO ILEGIBLE (alb. 22/07)</t>
        </is>
      </c>
      <c r="C20" s="40" t="n">
        <v>2.2</v>
      </c>
      <c r="D20" s="41" t="n">
        <v>13</v>
      </c>
      <c r="E20" s="42" t="n">
        <v>0</v>
      </c>
      <c r="F20" s="43">
        <f>(C20*D20)-((C20*D20)*E20)</f>
        <v/>
      </c>
      <c r="H20" s="26" t="inlineStr">
        <is>
          <t>22/07/2026</t>
        </is>
      </c>
      <c r="I20" s="17" t="n">
        <v>346.4</v>
      </c>
      <c r="J20" s="27" t="n">
        <v>0.1</v>
      </c>
      <c r="R20" s="26" t="inlineStr">
        <is>
          <t>28/08/2026</t>
        </is>
      </c>
      <c r="S20" s="17" t="n">
        <v>457.53</v>
      </c>
      <c r="T20" s="27" t="n">
        <v>0.1</v>
      </c>
      <c r="V20" s="39" t="inlineStr">
        <is>
          <t>NAVAJA</t>
        </is>
      </c>
      <c r="W20" s="40">
        <f>1+1+2</f>
        <v/>
      </c>
      <c r="X20" s="41" t="n">
        <v>23.5</v>
      </c>
      <c r="Y20" s="42" t="n">
        <v>0</v>
      </c>
      <c r="Z20" s="43">
        <f>(W20*X20)-((W20*X20)*Y20)</f>
        <v/>
      </c>
      <c r="AB20" s="26" t="inlineStr">
        <is>
          <t>16/09/2026</t>
        </is>
      </c>
      <c r="AC20" s="17" t="n">
        <v>546.13</v>
      </c>
      <c r="AD20" s="27" t="n">
        <v>0.1</v>
      </c>
    </row>
    <row r="21">
      <c r="B21" s="25" t="inlineStr">
        <is>
          <t>QUISQUILLA</t>
        </is>
      </c>
      <c r="C21" s="44" t="n">
        <v>1</v>
      </c>
      <c r="D21" s="19" t="n">
        <v>59</v>
      </c>
      <c r="E21" s="45" t="n">
        <v>0</v>
      </c>
      <c r="F21" s="17">
        <f>(C21*D21)-((C21*D21)*E21)</f>
        <v/>
      </c>
      <c r="H21" s="26" t="inlineStr">
        <is>
          <t>21/07/2026</t>
        </is>
      </c>
      <c r="I21" s="17" t="n">
        <v>440.92</v>
      </c>
      <c r="J21" s="27" t="n">
        <v>0.1</v>
      </c>
      <c r="R21" s="26" t="inlineStr">
        <is>
          <t>29/08/2026</t>
        </is>
      </c>
      <c r="S21" s="17" t="n">
        <v>828.6</v>
      </c>
      <c r="T21" s="27" t="n">
        <v>0.1</v>
      </c>
      <c r="V21" s="25" t="inlineStr">
        <is>
          <t>PERIQUITO (lectura dudosa)</t>
        </is>
      </c>
      <c r="W21" s="44" t="n">
        <v>2.3</v>
      </c>
      <c r="X21" s="19" t="n">
        <v>13.5</v>
      </c>
      <c r="Y21" s="45" t="n">
        <v>0</v>
      </c>
      <c r="Z21" s="17">
        <f>(W21*X21)-((W21*X21)*Y21)</f>
        <v/>
      </c>
      <c r="AB21" s="26" t="inlineStr">
        <is>
          <t>17/09/2026</t>
        </is>
      </c>
      <c r="AC21" s="17" t="n">
        <v>173</v>
      </c>
      <c r="AD21" s="27" t="n">
        <v>0.1</v>
      </c>
    </row>
    <row r="22">
      <c r="H22" s="26" t="inlineStr">
        <is>
          <t>31/07/2026</t>
        </is>
      </c>
      <c r="I22" s="17" t="n">
        <v>301.45</v>
      </c>
      <c r="J22" s="27" t="n">
        <v>0.1</v>
      </c>
      <c r="AB22" s="26" t="inlineStr">
        <is>
          <t>18/09/2026</t>
        </is>
      </c>
      <c r="AC22" s="17" t="n">
        <v>489.2</v>
      </c>
      <c r="AD22" s="27" t="n">
        <v>0.1</v>
      </c>
    </row>
    <row r="23">
      <c r="H23" s="26" t="inlineStr">
        <is>
          <t>30/07/2026</t>
        </is>
      </c>
      <c r="I23" s="17" t="n">
        <v>284</v>
      </c>
      <c r="J23" s="27" t="n">
        <v>0.1</v>
      </c>
      <c r="AB23" s="26" t="inlineStr">
        <is>
          <t>19/09/2026</t>
        </is>
      </c>
      <c r="AC23" s="17" t="n">
        <v>763.23</v>
      </c>
      <c r="AD23" s="27" t="n">
        <v>0.1</v>
      </c>
    </row>
    <row r="24">
      <c r="H24" s="26" t="inlineStr">
        <is>
          <t>29/07/2026</t>
        </is>
      </c>
      <c r="I24" s="17" t="n">
        <v>448</v>
      </c>
      <c r="J24" s="27" t="n">
        <v>0.1</v>
      </c>
      <c r="AB24" s="26" t="inlineStr">
        <is>
          <t>22/09/2026</t>
        </is>
      </c>
      <c r="AC24" s="17" t="n">
        <v>532.9299999999999</v>
      </c>
      <c r="AD24" s="27" t="n">
        <v>0.1</v>
      </c>
    </row>
    <row r="25">
      <c r="H25" s="26" t="inlineStr">
        <is>
          <t>28/07/2026</t>
        </is>
      </c>
      <c r="I25" s="17" t="n">
        <v>562.17</v>
      </c>
      <c r="J25" s="27" t="n">
        <v>0.1</v>
      </c>
      <c r="AB25" s="26" t="inlineStr">
        <is>
          <t>23/09/2026</t>
        </is>
      </c>
      <c r="AC25" s="17" t="n">
        <v>441.24</v>
      </c>
      <c r="AD25" s="27" t="n">
        <v>0.1</v>
      </c>
    </row>
    <row r="26">
      <c r="H26" s="26" t="inlineStr">
        <is>
          <t>18/07/2026</t>
        </is>
      </c>
      <c r="I26" s="17" t="n">
        <v>916.3200000000001</v>
      </c>
      <c r="J26" s="27" t="n">
        <v>0.1</v>
      </c>
      <c r="AB26" s="26" t="inlineStr">
        <is>
          <t>24/09/2026</t>
        </is>
      </c>
      <c r="AC26" s="17" t="n">
        <v>207</v>
      </c>
      <c r="AD26" s="27" t="n">
        <v>0.1</v>
      </c>
    </row>
    <row r="27">
      <c r="H27" s="26" t="inlineStr">
        <is>
          <t>17/07/2026</t>
        </is>
      </c>
      <c r="I27" s="17" t="n">
        <v>110</v>
      </c>
      <c r="J27" s="27" t="n">
        <v>0.1</v>
      </c>
      <c r="AB27" s="26" t="inlineStr">
        <is>
          <t>25/09/2026</t>
        </is>
      </c>
      <c r="AC27" s="17" t="n">
        <v>404.6</v>
      </c>
      <c r="AD27" s="27" t="n">
        <v>0.1</v>
      </c>
    </row>
    <row r="28">
      <c r="H28" s="26" t="inlineStr">
        <is>
          <t>16/07/2026</t>
        </is>
      </c>
      <c r="I28" s="17" t="n">
        <v>401.85</v>
      </c>
      <c r="J28" s="27" t="n">
        <v>0.1</v>
      </c>
      <c r="AB28" s="26" t="inlineStr">
        <is>
          <t>26/09/2026</t>
        </is>
      </c>
      <c r="AC28" s="17" t="n">
        <v>896.8200000000001</v>
      </c>
      <c r="AD28" s="27" t="n">
        <v>0.1</v>
      </c>
    </row>
    <row r="29">
      <c r="H29" s="26" t="inlineStr">
        <is>
          <t>15/07/2026</t>
        </is>
      </c>
      <c r="I29" s="17" t="n">
        <v>671.25</v>
      </c>
      <c r="J29" s="27" t="n">
        <v>0.1</v>
      </c>
      <c r="AB29" s="26" t="inlineStr">
        <is>
          <t>29/09/2026</t>
        </is>
      </c>
      <c r="AC29" s="17" t="n">
        <v>362.05</v>
      </c>
      <c r="AD29" s="27" t="n">
        <v>0.1</v>
      </c>
    </row>
    <row r="30">
      <c r="H30" s="26" t="inlineStr">
        <is>
          <t>14/07/2026</t>
        </is>
      </c>
      <c r="I30" s="17" t="n">
        <v>508.81</v>
      </c>
      <c r="J30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A6A6A6"/>
    <outlinePr summaryBelow="1" summaryRight="1"/>
    <pageSetUpPr/>
  </sheetPr>
  <dimension ref="B2:AD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PINCHO MORUNO DE POLLO</t>
        </is>
      </c>
      <c r="C6" s="40">
        <f>2.08+4.02+3.74+4.02+5.6+3.92+3.68</f>
        <v/>
      </c>
      <c r="D6" s="41" t="n">
        <v>8.9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PINCHO MORUNO DE POLLO</t>
        </is>
      </c>
      <c r="M6" s="40">
        <f>3.64+4.07+2.01+1.9</f>
        <v/>
      </c>
      <c r="N6" s="41" t="n">
        <v>8.9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PINCHO MORUNO DE POLLO</t>
        </is>
      </c>
      <c r="W6" s="40">
        <f>7.08+4.42+5.9+3.78+2.06+2.04+3.82+4.04</f>
        <v/>
      </c>
      <c r="X6" s="41" t="n">
        <v>8.9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PINCHOS MORUNOS</t>
        </is>
      </c>
      <c r="C7" s="44">
        <f>1.98+3.82+1.99+2.05+2.04+3.46+3.86</f>
        <v/>
      </c>
      <c r="D7" s="19" t="n">
        <v>8.9</v>
      </c>
      <c r="E7" s="45" t="n">
        <v>0</v>
      </c>
      <c r="F7" s="17">
        <f>(C7*D7)-((C7*D7)*E7)</f>
        <v/>
      </c>
      <c r="L7" s="25" t="inlineStr">
        <is>
          <t>PINCHOS MORUNOS</t>
        </is>
      </c>
      <c r="M7" s="44">
        <f>1.8+1.84+1.79+1.78</f>
        <v/>
      </c>
      <c r="N7" s="19" t="n">
        <v>8.9</v>
      </c>
      <c r="O7" s="45" t="n">
        <v>0</v>
      </c>
      <c r="P7" s="17">
        <f>(M7*N7)-((M7*N7)*O7)</f>
        <v/>
      </c>
      <c r="V7" s="25" t="inlineStr">
        <is>
          <t>PINCHOS MORUNOS</t>
        </is>
      </c>
      <c r="W7" s="44">
        <f>1.86+4.28+1.98+4.12+2.06+1.9+3.58</f>
        <v/>
      </c>
      <c r="X7" s="19" t="n">
        <v>8.9</v>
      </c>
      <c r="Y7" s="45" t="n">
        <v>0</v>
      </c>
      <c r="Z7" s="17">
        <f>(W7*X7)-((W7*X7)*Y7)</f>
        <v/>
      </c>
    </row>
    <row r="8" ht="15" customHeight="1">
      <c r="B8" s="39" t="inlineStr">
        <is>
          <t>MOLLEJAS DE CORDERO</t>
        </is>
      </c>
      <c r="C8" s="40">
        <f>6.3+8.14+6+8.44+8.2+6.3</f>
        <v/>
      </c>
      <c r="D8" s="41" t="n">
        <v>27.9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MOLLEJAS DE CORDERO</t>
        </is>
      </c>
      <c r="M8" s="40">
        <f>6.32+6.3</f>
        <v/>
      </c>
      <c r="N8" s="41" t="n">
        <v>27.9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MOLLEJAS DE CORDERO</t>
        </is>
      </c>
      <c r="W8" s="40">
        <f>7.96+6.05+5.4+5.7+6.4+7.88+6.02+8</f>
        <v/>
      </c>
      <c r="X8" s="41" t="n">
        <v>27.9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POLLOS ENTEROS</t>
        </is>
      </c>
      <c r="C9" s="44" t="n">
        <v>3.62</v>
      </c>
      <c r="D9" s="19" t="n">
        <v>3.75</v>
      </c>
      <c r="E9" s="45" t="n">
        <v>0</v>
      </c>
      <c r="F9" s="17">
        <f>(C9*D9)-((C9*D9)*E9)</f>
        <v/>
      </c>
      <c r="H9" s="26" t="inlineStr">
        <is>
          <t>11957</t>
        </is>
      </c>
      <c r="I9" s="17" t="n">
        <v>211.9</v>
      </c>
      <c r="J9" s="27" t="n">
        <v>0.1</v>
      </c>
      <c r="R9" s="26" t="inlineStr">
        <is>
          <t>12129</t>
        </is>
      </c>
      <c r="S9" s="17" t="n">
        <v>48.42</v>
      </c>
      <c r="T9" s="27" t="n">
        <v>0.1</v>
      </c>
      <c r="AB9" s="26" t="inlineStr">
        <is>
          <t>12377</t>
        </is>
      </c>
      <c r="AC9" s="17" t="n">
        <v>301.64</v>
      </c>
      <c r="AD9" s="27" t="n">
        <v>0.1</v>
      </c>
    </row>
    <row r="10" ht="15" customHeight="1">
      <c r="H10" s="26" t="inlineStr">
        <is>
          <t>11926</t>
        </is>
      </c>
      <c r="I10" s="17" t="n">
        <v>262.89</v>
      </c>
      <c r="J10" s="27" t="n">
        <v>0.1</v>
      </c>
      <c r="R10" s="26" t="inlineStr">
        <is>
          <t>12269</t>
        </is>
      </c>
      <c r="S10" s="17" t="n">
        <v>228.93</v>
      </c>
      <c r="T10" s="27" t="n">
        <v>0.1</v>
      </c>
      <c r="AB10" s="26" t="inlineStr">
        <is>
          <t>12416</t>
        </is>
      </c>
      <c r="AC10" s="17" t="n">
        <v>246.23</v>
      </c>
      <c r="AD10" s="27" t="n">
        <v>0.1</v>
      </c>
    </row>
    <row r="11" ht="15" customHeight="1">
      <c r="H11" s="26" t="n"/>
      <c r="I11" s="17" t="n">
        <v>67.29000000000001</v>
      </c>
      <c r="J11" s="27" t="n">
        <v>0.1</v>
      </c>
      <c r="R11" s="26" t="inlineStr">
        <is>
          <t>12312</t>
        </is>
      </c>
      <c r="S11" s="17" t="n">
        <v>209.59</v>
      </c>
      <c r="T11" s="27" t="n">
        <v>0.1</v>
      </c>
      <c r="AB11" s="26" t="inlineStr">
        <is>
          <t>12460</t>
        </is>
      </c>
      <c r="AC11" s="17" t="n">
        <v>203.17</v>
      </c>
      <c r="AD11" s="27" t="n">
        <v>0.1</v>
      </c>
    </row>
    <row r="12">
      <c r="H12" s="26" t="inlineStr">
        <is>
          <t>11858</t>
        </is>
      </c>
      <c r="I12" s="17" t="n">
        <v>220.89</v>
      </c>
      <c r="J12" s="27" t="n">
        <v>0.1</v>
      </c>
      <c r="R12" s="26" t="inlineStr">
        <is>
          <t>12339</t>
        </is>
      </c>
      <c r="S12" s="17" t="n">
        <v>32.75</v>
      </c>
      <c r="T12" s="27" t="n">
        <v>0.1</v>
      </c>
      <c r="AB12" s="26" t="inlineStr">
        <is>
          <t>12484</t>
        </is>
      </c>
      <c r="AC12" s="17" t="n">
        <v>210.29</v>
      </c>
      <c r="AD12" s="27" t="n">
        <v>0.1</v>
      </c>
    </row>
    <row r="13">
      <c r="H13" s="26" t="inlineStr">
        <is>
          <t>12056</t>
        </is>
      </c>
      <c r="I13" s="17" t="n">
        <v>303.57</v>
      </c>
      <c r="J13" s="27" t="n">
        <v>0.1</v>
      </c>
      <c r="AB13" s="26" t="inlineStr">
        <is>
          <t>12521</t>
        </is>
      </c>
      <c r="AC13" s="17" t="n">
        <v>55</v>
      </c>
      <c r="AD13" s="27" t="n">
        <v>0.1</v>
      </c>
    </row>
    <row r="14">
      <c r="H14" s="26" t="inlineStr">
        <is>
          <t>12035</t>
        </is>
      </c>
      <c r="I14" s="17" t="n">
        <v>53.05</v>
      </c>
      <c r="J14" s="27" t="n">
        <v>0.1</v>
      </c>
      <c r="AB14" s="26" t="inlineStr">
        <is>
          <t>12558</t>
        </is>
      </c>
      <c r="AC14" s="17" t="n">
        <v>215.05</v>
      </c>
      <c r="AD14" s="27" t="n">
        <v>0.1</v>
      </c>
    </row>
    <row r="15">
      <c r="H15" s="26" t="inlineStr">
        <is>
          <t>12011</t>
        </is>
      </c>
      <c r="I15" s="17" t="n">
        <v>292.32</v>
      </c>
      <c r="J15" s="27" t="n">
        <v>0.1</v>
      </c>
      <c r="AB15" s="26" t="inlineStr">
        <is>
          <t>12600</t>
        </is>
      </c>
      <c r="AC15" s="17" t="n">
        <v>219.85</v>
      </c>
      <c r="AD15" s="27" t="n">
        <v>0.1</v>
      </c>
    </row>
    <row r="16">
      <c r="H16" s="26" t="inlineStr">
        <is>
          <t>12113</t>
        </is>
      </c>
      <c r="I16" s="17" t="n">
        <v>223.7</v>
      </c>
      <c r="J16" s="27" t="n">
        <v>0.1</v>
      </c>
      <c r="AB16" s="26" t="inlineStr">
        <is>
          <t>12631</t>
        </is>
      </c>
      <c r="AC16" s="17" t="n">
        <v>218.87</v>
      </c>
      <c r="AD16" s="27" t="n">
        <v>0.1</v>
      </c>
    </row>
    <row r="17">
      <c r="AB17" s="26" t="inlineStr">
        <is>
          <t>12670</t>
        </is>
      </c>
      <c r="AC17" s="17" t="n">
        <v>291.02</v>
      </c>
      <c r="AD17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A6A6A6"/>
    <outlinePr summaryBelow="1" summaryRight="1"/>
    <pageSetUpPr/>
  </sheetPr>
  <dimension ref="B2:J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36" t="n">
        <v>46266</v>
      </c>
      <c r="C2" s="5" t="n"/>
      <c r="D2" s="5" t="n"/>
      <c r="E2" s="5" t="n"/>
      <c r="F2" s="5" t="n"/>
    </row>
    <row r="3" ht="15" customHeight="1">
      <c r="B3" s="5" t="n"/>
      <c r="C3" s="5" t="n"/>
      <c r="D3" s="5" t="n"/>
      <c r="E3" s="5" t="n"/>
      <c r="F3" s="5" t="n"/>
    </row>
    <row r="4" ht="15" customHeight="1">
      <c r="H4" s="37" t="inlineStr">
        <is>
          <t>TOTAL</t>
        </is>
      </c>
      <c r="I4" s="38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37" t="inlineStr">
        <is>
          <t>ALBARANES</t>
        </is>
      </c>
      <c r="I5" s="38">
        <f>SUM(I9:I300)</f>
        <v/>
      </c>
    </row>
    <row r="6" ht="15" customHeight="1">
      <c r="B6" s="39" t="inlineStr">
        <is>
          <t>CAJA 6 UDS "SELECTO" AOVE 500 ML VIDRIO</t>
        </is>
      </c>
      <c r="C6" s="40">
        <f>1+2</f>
        <v/>
      </c>
      <c r="D6" s="41" t="n">
        <v>69</v>
      </c>
      <c r="E6" s="42" t="n">
        <v>0</v>
      </c>
      <c r="F6" s="43">
        <f>(C6*D6)-((C6*D6)*E6)</f>
        <v/>
      </c>
      <c r="H6" s="37" t="inlineStr">
        <is>
          <t>DIFERENCIA</t>
        </is>
      </c>
      <c r="I6" s="38">
        <f>I5-I4</f>
        <v/>
      </c>
    </row>
    <row r="7" ht="15" customHeight="1">
      <c r="B7" s="25" t="inlineStr">
        <is>
          <t>CAJA 6 UDS BOTELLA 1L "SELECCION DEL CHEF" AOVE</t>
        </is>
      </c>
      <c r="C7" s="44">
        <f>3+4</f>
        <v/>
      </c>
      <c r="D7" s="19" t="n">
        <v>69</v>
      </c>
      <c r="E7" s="45" t="n">
        <v>0</v>
      </c>
      <c r="F7" s="17">
        <f>(C7*D7)-((C7*D7)*E7)</f>
        <v/>
      </c>
    </row>
    <row r="8" ht="15" customHeight="1">
      <c r="H8" s="4" t="inlineStr">
        <is>
          <t>Nº ALBARÁN</t>
        </is>
      </c>
      <c r="I8" s="4" t="inlineStr">
        <is>
          <t>BASE</t>
        </is>
      </c>
      <c r="J8" s="4" t="inlineStr">
        <is>
          <t>% IVA</t>
        </is>
      </c>
    </row>
    <row r="9" ht="15" customHeight="1">
      <c r="H9" s="26" t="inlineStr">
        <is>
          <t>1/000040</t>
        </is>
      </c>
      <c r="I9" s="17" t="n">
        <v>276</v>
      </c>
      <c r="J9" s="27" t="n">
        <v>0.04</v>
      </c>
    </row>
    <row r="10" ht="15" customHeight="1">
      <c r="H10" s="26" t="inlineStr">
        <is>
          <t>1/000041</t>
        </is>
      </c>
      <c r="I10" s="17" t="n">
        <v>414</v>
      </c>
      <c r="J10" s="27" t="n">
        <v>0.04</v>
      </c>
    </row>
    <row r="11" ht="15" customHeight="1"/>
  </sheetData>
  <mergeCells count="1">
    <mergeCell ref="B2:F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00A6A6A6"/>
    <outlinePr summaryBelow="1" summaryRight="1"/>
    <pageSetUpPr/>
  </sheetPr>
  <dimension ref="B2:AD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PRESA 100% IBERICA</t>
        </is>
      </c>
      <c r="C6" s="40">
        <f>10.34+10.84</f>
        <v/>
      </c>
      <c r="D6" s="41" t="n">
        <v>25.2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PRESA 100% IBERICA</t>
        </is>
      </c>
      <c r="M6" s="40" t="n">
        <v>10.46</v>
      </c>
      <c r="N6" s="41" t="n">
        <v>25.2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PORTES</t>
        </is>
      </c>
      <c r="W6" s="40">
        <f>1+1</f>
        <v/>
      </c>
      <c r="X6" s="41" t="n">
        <v>36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L7" s="25" t="inlineStr">
        <is>
          <t>PRESA IBERICA</t>
        </is>
      </c>
      <c r="M7" s="44" t="n">
        <v>15.5</v>
      </c>
      <c r="N7" s="19" t="n">
        <v>25.2</v>
      </c>
      <c r="O7" s="45" t="n">
        <v>0</v>
      </c>
      <c r="P7" s="17">
        <f>(M7*N7)-((M7*N7)*O7)</f>
        <v/>
      </c>
      <c r="V7" s="25" t="inlineStr">
        <is>
          <t>PRESA 100% IBERICA</t>
        </is>
      </c>
      <c r="W7" s="44" t="n">
        <v>15.96</v>
      </c>
      <c r="X7" s="19" t="n">
        <v>25.2</v>
      </c>
      <c r="Y7" s="45" t="n">
        <v>0</v>
      </c>
      <c r="Z7" s="17">
        <f>(W7*X7)-((W7*X7)*Y7)</f>
        <v/>
      </c>
    </row>
    <row r="8" ht="15" customHeight="1"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PRESA IBERICA</t>
        </is>
      </c>
      <c r="W8" s="40">
        <f>6.42+5.44+10.78</f>
        <v/>
      </c>
      <c r="X8" s="41" t="n">
        <v>25.2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H9" s="26" t="inlineStr">
        <is>
          <t>SEC 6207</t>
        </is>
      </c>
      <c r="I9" s="17" t="n">
        <v>260.57</v>
      </c>
      <c r="J9" s="27" t="n">
        <v>0.1</v>
      </c>
      <c r="R9" s="26" t="inlineStr">
        <is>
          <t>SEC 3</t>
        </is>
      </c>
      <c r="S9" s="17" t="n">
        <v>263.59</v>
      </c>
      <c r="T9" s="27" t="n">
        <v>0.1</v>
      </c>
      <c r="AB9" s="26" t="inlineStr">
        <is>
          <t>SEC 518</t>
        </is>
      </c>
      <c r="AC9" s="17" t="n">
        <v>36</v>
      </c>
      <c r="AD9" s="27" t="n">
        <v>0.21</v>
      </c>
    </row>
    <row r="10" ht="15" customHeight="1">
      <c r="H10" s="26" t="inlineStr">
        <is>
          <t>SEC 6082</t>
        </is>
      </c>
      <c r="I10" s="17" t="n">
        <v>273.17</v>
      </c>
      <c r="J10" s="27" t="n">
        <v>0.1</v>
      </c>
      <c r="R10" s="26" t="inlineStr">
        <is>
          <t>SEC 270</t>
        </is>
      </c>
      <c r="S10" s="17" t="n">
        <v>390.6</v>
      </c>
      <c r="T10" s="27" t="n">
        <v>0.1</v>
      </c>
      <c r="AB10" s="26" t="inlineStr">
        <is>
          <t>SEC 518</t>
        </is>
      </c>
      <c r="AC10" s="17" t="n">
        <v>402.19</v>
      </c>
      <c r="AD10" s="27" t="n">
        <v>0.1</v>
      </c>
    </row>
    <row r="11" ht="15" customHeight="1">
      <c r="AB11" s="26" t="inlineStr">
        <is>
          <t>SEC 877</t>
        </is>
      </c>
      <c r="AC11" s="17" t="n">
        <v>36</v>
      </c>
      <c r="AD11" s="27" t="n">
        <v>0.21</v>
      </c>
    </row>
    <row r="12">
      <c r="AB12" s="26" t="inlineStr">
        <is>
          <t>SEC 877</t>
        </is>
      </c>
      <c r="AC12" s="17" t="n">
        <v>570.53</v>
      </c>
      <c r="AD12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00A6A6A6"/>
    <outlinePr summaryBelow="1" summaryRight="1"/>
    <pageSetUpPr/>
  </sheetPr>
  <dimension ref="B2:J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36" t="n">
        <v>46266</v>
      </c>
      <c r="C2" s="5" t="n"/>
      <c r="D2" s="5" t="n"/>
      <c r="E2" s="5" t="n"/>
      <c r="F2" s="5" t="n"/>
    </row>
    <row r="3" ht="15" customHeight="1">
      <c r="B3" s="5" t="n"/>
      <c r="C3" s="5" t="n"/>
      <c r="D3" s="5" t="n"/>
      <c r="E3" s="5" t="n"/>
      <c r="F3" s="5" t="n"/>
    </row>
    <row r="4" ht="15" customHeight="1">
      <c r="H4" s="37" t="inlineStr">
        <is>
          <t>TOTAL</t>
        </is>
      </c>
      <c r="I4" s="38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37" t="inlineStr">
        <is>
          <t>ALBARANES</t>
        </is>
      </c>
      <c r="I5" s="38">
        <f>SUM(I9:I300)</f>
        <v/>
      </c>
    </row>
    <row r="6" ht="15" customHeight="1">
      <c r="B6" s="39" t="inlineStr">
        <is>
          <t>CAJA PAPEL TERMICO 80X80</t>
        </is>
      </c>
      <c r="C6" s="40" t="n">
        <v>2</v>
      </c>
      <c r="D6" s="41" t="n">
        <v>49</v>
      </c>
      <c r="E6" s="42" t="n">
        <v>0</v>
      </c>
      <c r="F6" s="43">
        <f>(C6*D6)-((C6*D6)*E6)</f>
        <v/>
      </c>
      <c r="H6" s="37" t="inlineStr">
        <is>
          <t>DIFERENCIA</t>
        </is>
      </c>
      <c r="I6" s="38">
        <f>I5-I4</f>
        <v/>
      </c>
    </row>
    <row r="7" ht="15" customHeight="1"/>
    <row r="8" ht="15" customHeight="1">
      <c r="H8" s="4" t="inlineStr">
        <is>
          <t>Nº ALBARÁN</t>
        </is>
      </c>
      <c r="I8" s="4" t="inlineStr">
        <is>
          <t>BASE</t>
        </is>
      </c>
      <c r="J8" s="4" t="inlineStr">
        <is>
          <t>% IVA</t>
        </is>
      </c>
    </row>
    <row r="9" ht="15" customHeight="1">
      <c r="H9" s="26" t="inlineStr">
        <is>
          <t>01195</t>
        </is>
      </c>
      <c r="I9" s="17" t="n">
        <v>98</v>
      </c>
      <c r="J9" s="27" t="n">
        <v>0.21</v>
      </c>
    </row>
    <row r="10" ht="15" customHeight="1"/>
    <row r="11" ht="15" customHeight="1"/>
  </sheetData>
  <mergeCells count="1">
    <mergeCell ref="B2:F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00A6A6A6"/>
    <outlinePr summaryBelow="1" summaryRight="1"/>
    <pageSetUpPr/>
  </sheetPr>
  <dimension ref="B2:AD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ABSOLUT 0,70L</t>
        </is>
      </c>
      <c r="C6" s="40" t="n">
        <v>18</v>
      </c>
      <c r="D6" s="41" t="n">
        <v>11.85</v>
      </c>
      <c r="E6" s="42" t="n">
        <v>0.04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GREY GOOSE VODKA 0,70L NR</t>
        </is>
      </c>
      <c r="M6" s="40" t="n">
        <v>2</v>
      </c>
      <c r="N6" s="41" t="n">
        <v>37.45</v>
      </c>
      <c r="O6" s="42" t="n">
        <v>0.04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BEEFEATER 0,70L NR</t>
        </is>
      </c>
      <c r="W6" s="40">
        <f>6+6</f>
        <v/>
      </c>
      <c r="X6" s="41" t="n">
        <v>12.3</v>
      </c>
      <c r="Y6" s="42" t="n">
        <v>0.04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AGT 3L MOS DE PAS</t>
        </is>
      </c>
      <c r="C7" s="44" t="n">
        <v>1</v>
      </c>
      <c r="D7" s="19" t="n">
        <v>19.98</v>
      </c>
      <c r="E7" s="45" t="n">
        <v>0.04</v>
      </c>
      <c r="F7" s="17">
        <f>(C7*D7)-((C7*D7)*E7)</f>
        <v/>
      </c>
      <c r="L7" s="25" t="inlineStr">
        <is>
          <t>MAESTRO DOBEL DIAMANTE REPOSADO 0.70</t>
        </is>
      </c>
      <c r="M7" s="44" t="n">
        <v>2</v>
      </c>
      <c r="N7" s="19" t="n">
        <v>55.17</v>
      </c>
      <c r="O7" s="45" t="n">
        <v>0.04</v>
      </c>
      <c r="P7" s="17">
        <f>(M7*N7)-((M7*N7)*O7)</f>
        <v/>
      </c>
      <c r="V7" s="25" t="inlineStr">
        <is>
          <t>JOSE CUERVO SILVER 0.7</t>
        </is>
      </c>
      <c r="W7" s="44" t="n">
        <v>5</v>
      </c>
      <c r="X7" s="19" t="n">
        <v>12.68</v>
      </c>
      <c r="Y7" s="45" t="n">
        <v>0.04</v>
      </c>
      <c r="Z7" s="17">
        <f>(W7*X7)-((W7*X7)*Y7)</f>
        <v/>
      </c>
    </row>
    <row r="8" ht="15" customHeight="1">
      <c r="B8" s="39" t="inlineStr">
        <is>
          <t>APEROL LITRO</t>
        </is>
      </c>
      <c r="C8" s="40" t="n">
        <v>8</v>
      </c>
      <c r="D8" s="41" t="n">
        <v>11.17</v>
      </c>
      <c r="E8" s="42" t="n">
        <v>0.04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SEAGRAMS 0,0 0,70L</t>
        </is>
      </c>
      <c r="M8" s="40" t="n">
        <v>1</v>
      </c>
      <c r="N8" s="41" t="n">
        <v>12.99</v>
      </c>
      <c r="O8" s="42" t="n">
        <v>0.04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JOSE CUERVO SILVER 0.7 (sin cargo)</t>
        </is>
      </c>
      <c r="W8" s="40" t="n">
        <v>1</v>
      </c>
      <c r="X8" s="41" t="n">
        <v>12.68</v>
      </c>
      <c r="Y8" s="42" t="n">
        <v>1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BALLANTINES 0,70L NR</t>
        </is>
      </c>
      <c r="C9" s="44" t="n">
        <v>4</v>
      </c>
      <c r="D9" s="19" t="n">
        <v>11.55</v>
      </c>
      <c r="E9" s="45" t="n">
        <v>0.04</v>
      </c>
      <c r="F9" s="17">
        <f>(C9*D9)-((C9*D9)*E9)</f>
        <v/>
      </c>
      <c r="H9" s="26" t="inlineStr">
        <is>
          <t>SF 7559</t>
        </is>
      </c>
      <c r="I9" s="17" t="n">
        <v>1389.49</v>
      </c>
      <c r="J9" s="27" t="n">
        <v>0.21</v>
      </c>
      <c r="L9" s="25" t="inlineStr">
        <is>
          <t>TANQUERAY 0,70L</t>
        </is>
      </c>
      <c r="M9" s="44" t="n">
        <v>1</v>
      </c>
      <c r="N9" s="19" t="n">
        <v>12.12</v>
      </c>
      <c r="O9" s="45" t="n">
        <v>0.04</v>
      </c>
      <c r="P9" s="17">
        <f>(M9*N9)-((M9*N9)*O9)</f>
        <v/>
      </c>
      <c r="R9" s="26" t="inlineStr">
        <is>
          <t>SF 8750</t>
        </is>
      </c>
      <c r="S9" s="17" t="n">
        <v>225.69</v>
      </c>
      <c r="T9" s="27" t="n">
        <v>0.21</v>
      </c>
      <c r="V9" s="25" t="inlineStr">
        <is>
          <t>JAGERMEISTER L. HIERB 0,70L</t>
        </is>
      </c>
      <c r="W9" s="44">
        <f>1+2</f>
        <v/>
      </c>
      <c r="X9" s="19" t="n">
        <v>10.7</v>
      </c>
      <c r="Y9" s="45" t="n">
        <v>0.04</v>
      </c>
      <c r="Z9" s="17">
        <f>(W9*X9)-((W9*X9)*Y9)</f>
        <v/>
      </c>
      <c r="AB9" s="26" t="inlineStr">
        <is>
          <t>SF 9684</t>
        </is>
      </c>
      <c r="AC9" s="17" t="n">
        <v>715.48</v>
      </c>
      <c r="AD9" s="27" t="n">
        <v>0.21</v>
      </c>
    </row>
    <row r="10" ht="15" customHeight="1">
      <c r="B10" s="39" t="inlineStr">
        <is>
          <t>BEEFEATER 0,70L NR</t>
        </is>
      </c>
      <c r="C10" s="40" t="n">
        <v>18</v>
      </c>
      <c r="D10" s="41" t="n">
        <v>12.3</v>
      </c>
      <c r="E10" s="42" t="n">
        <v>0.04</v>
      </c>
      <c r="F10" s="43">
        <f>(C10*D10)-((C10*D10)*E10)</f>
        <v/>
      </c>
      <c r="H10" s="26" t="inlineStr">
        <is>
          <t>SF 7806</t>
        </is>
      </c>
      <c r="I10" s="17" t="n">
        <v>963.55</v>
      </c>
      <c r="J10" s="27" t="n">
        <v>0.21</v>
      </c>
      <c r="L10" s="39" t="inlineStr">
        <is>
          <t>ABSOLUT 0,70L</t>
        </is>
      </c>
      <c r="M10" s="40">
        <f>2+3</f>
        <v/>
      </c>
      <c r="N10" s="41" t="n">
        <v>11.85</v>
      </c>
      <c r="O10" s="42" t="n">
        <v>0.04</v>
      </c>
      <c r="P10" s="43">
        <f>(M10*N10)-((M10*N10)*O10)</f>
        <v/>
      </c>
      <c r="R10" s="26" t="inlineStr">
        <is>
          <t>SF 8939</t>
        </is>
      </c>
      <c r="S10" s="17" t="n">
        <v>487.25</v>
      </c>
      <c r="T10" s="27" t="n">
        <v>0.21</v>
      </c>
      <c r="V10" s="39" t="inlineStr">
        <is>
          <t>BOMBAY SAPHIRE 0,70</t>
        </is>
      </c>
      <c r="W10" s="40" t="n">
        <v>4</v>
      </c>
      <c r="X10" s="41" t="n">
        <v>14.2</v>
      </c>
      <c r="Y10" s="42" t="n">
        <v>0.04</v>
      </c>
      <c r="Z10" s="43">
        <f>(W10*X10)-((W10*X10)*Y10)</f>
        <v/>
      </c>
      <c r="AB10" s="26" t="inlineStr">
        <is>
          <t>SF 10093</t>
        </is>
      </c>
      <c r="AC10" s="17" t="n">
        <v>219.51</v>
      </c>
      <c r="AD10" s="27" t="n">
        <v>0.21</v>
      </c>
    </row>
    <row r="11" ht="15" customHeight="1">
      <c r="B11" s="25" t="inlineStr">
        <is>
          <t>BOMBAY SAPHIRE 0,70</t>
        </is>
      </c>
      <c r="C11" s="44" t="n">
        <v>4</v>
      </c>
      <c r="D11" s="19" t="n">
        <v>14.2</v>
      </c>
      <c r="E11" s="45" t="n">
        <v>0.04</v>
      </c>
      <c r="F11" s="17">
        <f>(C11*D11)-((C11*D11)*E11)</f>
        <v/>
      </c>
      <c r="H11" s="26" t="inlineStr">
        <is>
          <t>SF 7780</t>
        </is>
      </c>
      <c r="I11" s="17" t="n">
        <v>152.52</v>
      </c>
      <c r="J11" s="27" t="n">
        <v>0.21</v>
      </c>
      <c r="L11" s="25" t="inlineStr">
        <is>
          <t>SERVICIOS LOGISTICOS</t>
        </is>
      </c>
      <c r="M11" s="44">
        <f>1+1</f>
        <v/>
      </c>
      <c r="N11" s="19" t="n">
        <v>1</v>
      </c>
      <c r="O11" s="45" t="n">
        <v>0</v>
      </c>
      <c r="P11" s="17">
        <f>(M11*N11)-((M11*N11)*O11)</f>
        <v/>
      </c>
      <c r="V11" s="25" t="inlineStr">
        <is>
          <t>BOMBAY SAPHIRE 0,70 (sin cargo)</t>
        </is>
      </c>
      <c r="W11" s="44" t="n">
        <v>1</v>
      </c>
      <c r="X11" s="19" t="n">
        <v>14.2</v>
      </c>
      <c r="Y11" s="45" t="n">
        <v>1</v>
      </c>
      <c r="Z11" s="17">
        <f>(W11*X11)-((W11*X11)*Y11)</f>
        <v/>
      </c>
      <c r="AB11" s="26" t="inlineStr">
        <is>
          <t>SF 10143</t>
        </is>
      </c>
      <c r="AC11" s="17" t="n">
        <v>129.96</v>
      </c>
      <c r="AD11" s="27" t="n">
        <v>0.21</v>
      </c>
    </row>
    <row r="12">
      <c r="B12" s="39" t="inlineStr">
        <is>
          <t>BRUGAL 0,70L NR</t>
        </is>
      </c>
      <c r="C12" s="40" t="n">
        <v>10</v>
      </c>
      <c r="D12" s="41" t="n">
        <v>11.66</v>
      </c>
      <c r="E12" s="42" t="n">
        <v>0.04</v>
      </c>
      <c r="F12" s="43">
        <f>(C12*D12)-((C12*D12)*E12)</f>
        <v/>
      </c>
      <c r="H12" s="26" t="inlineStr">
        <is>
          <t>SF 8070</t>
        </is>
      </c>
      <c r="I12" s="17" t="n">
        <v>456.92</v>
      </c>
      <c r="J12" s="27" t="n">
        <v>0.21</v>
      </c>
      <c r="L12" s="39" t="inlineStr">
        <is>
          <t>GIN NORDÉS 0,70L</t>
        </is>
      </c>
      <c r="M12" s="40" t="n">
        <v>2</v>
      </c>
      <c r="N12" s="41" t="n">
        <v>19.9</v>
      </c>
      <c r="O12" s="42" t="n">
        <v>0.04</v>
      </c>
      <c r="P12" s="43">
        <f>(M12*N12)-((M12*N12)*O12)</f>
        <v/>
      </c>
      <c r="V12" s="39" t="inlineStr">
        <is>
          <t>ABSOLUT 0,70L</t>
        </is>
      </c>
      <c r="W12" s="40" t="n">
        <v>3</v>
      </c>
      <c r="X12" s="41" t="n">
        <v>11.85</v>
      </c>
      <c r="Y12" s="42" t="n">
        <v>0.04</v>
      </c>
      <c r="Z12" s="43">
        <f>(W12*X12)-((W12*X12)*Y12)</f>
        <v/>
      </c>
      <c r="AB12" s="26" t="inlineStr">
        <is>
          <t>SF 10339</t>
        </is>
      </c>
      <c r="AC12" s="17" t="n">
        <v>613.1799999999999</v>
      </c>
      <c r="AD12" s="27" t="n">
        <v>0.21</v>
      </c>
    </row>
    <row r="13">
      <c r="B13" s="25" t="inlineStr">
        <is>
          <t>BULLEIT BOURBON 0,70</t>
        </is>
      </c>
      <c r="C13" s="44" t="n">
        <v>1</v>
      </c>
      <c r="D13" s="19" t="n">
        <v>19.93</v>
      </c>
      <c r="E13" s="45" t="n">
        <v>0.04</v>
      </c>
      <c r="F13" s="17">
        <f>(C13*D13)-((C13*D13)*E13)</f>
        <v/>
      </c>
      <c r="H13" s="26" t="inlineStr">
        <is>
          <t>SF 8308</t>
        </is>
      </c>
      <c r="I13" s="17" t="n">
        <v>328.84</v>
      </c>
      <c r="J13" s="27" t="n">
        <v>0.21</v>
      </c>
      <c r="L13" s="25" t="inlineStr">
        <is>
          <t>HENDRICKS 0,70L</t>
        </is>
      </c>
      <c r="M13" s="44" t="n">
        <v>1</v>
      </c>
      <c r="N13" s="19" t="n">
        <v>24.08</v>
      </c>
      <c r="O13" s="45" t="n">
        <v>0.04</v>
      </c>
      <c r="P13" s="17">
        <f>(M13*N13)-((M13*N13)*O13)</f>
        <v/>
      </c>
      <c r="V13" s="25" t="inlineStr">
        <is>
          <t>CAMPARI 1L</t>
        </is>
      </c>
      <c r="W13" s="44" t="n">
        <v>2</v>
      </c>
      <c r="X13" s="19" t="n">
        <v>14.6</v>
      </c>
      <c r="Y13" s="45" t="n">
        <v>0.04</v>
      </c>
      <c r="Z13" s="17">
        <f>(W13*X13)-((W13*X13)*Y13)</f>
        <v/>
      </c>
    </row>
    <row r="14">
      <c r="B14" s="39" t="inlineStr">
        <is>
          <t>CHIVAS 12 AÑOS 0,7L NR</t>
        </is>
      </c>
      <c r="C14" s="40" t="n">
        <v>2</v>
      </c>
      <c r="D14" s="41" t="n">
        <v>23.03</v>
      </c>
      <c r="E14" s="42" t="n">
        <v>0.04</v>
      </c>
      <c r="F14" s="43">
        <f>(C14*D14)-((C14*D14)*E14)</f>
        <v/>
      </c>
      <c r="L14" s="39" t="inlineStr">
        <is>
          <t>LARIOS 1L NR</t>
        </is>
      </c>
      <c r="M14" s="40" t="n">
        <v>1</v>
      </c>
      <c r="N14" s="41" t="n">
        <v>10.32</v>
      </c>
      <c r="O14" s="42" t="n">
        <v>0.04</v>
      </c>
      <c r="P14" s="43">
        <f>(M14*N14)-((M14*N14)*O14)</f>
        <v/>
      </c>
      <c r="V14" s="39" t="inlineStr">
        <is>
          <t>ZACAPA 23 AÑOS 0,70L</t>
        </is>
      </c>
      <c r="W14" s="40" t="n">
        <v>2</v>
      </c>
      <c r="X14" s="41" t="n">
        <v>29.81</v>
      </c>
      <c r="Y14" s="42" t="n">
        <v>0.04</v>
      </c>
      <c r="Z14" s="43">
        <f>(W14*X14)-((W14*X14)*Y14)</f>
        <v/>
      </c>
    </row>
    <row r="15">
      <c r="B15" s="25" t="inlineStr">
        <is>
          <t>CINZANO PROSECCO SPRITZ</t>
        </is>
      </c>
      <c r="C15" s="44" t="n">
        <v>12</v>
      </c>
      <c r="D15" s="19" t="n">
        <v>5.03</v>
      </c>
      <c r="E15" s="45" t="n">
        <v>0.04</v>
      </c>
      <c r="F15" s="17">
        <f>(C15*D15)-((C15*D15)*E15)</f>
        <v/>
      </c>
      <c r="L15" s="25" t="inlineStr">
        <is>
          <t>WHITE LABEL 0,70L NR</t>
        </is>
      </c>
      <c r="M15" s="44" t="n">
        <v>7</v>
      </c>
      <c r="N15" s="19" t="n">
        <v>11.09</v>
      </c>
      <c r="O15" s="45" t="n">
        <v>0.04</v>
      </c>
      <c r="P15" s="17">
        <f>(M15*N15)-((M15*N15)*O15)</f>
        <v/>
      </c>
      <c r="V15" s="25" t="inlineStr">
        <is>
          <t>ZACAPA X.O.</t>
        </is>
      </c>
      <c r="W15" s="44" t="n">
        <v>1</v>
      </c>
      <c r="X15" s="19" t="n">
        <v>132.94</v>
      </c>
      <c r="Y15" s="45" t="n">
        <v>0.04</v>
      </c>
      <c r="Z15" s="17">
        <f>(W15*X15)-((W15*X15)*Y15)</f>
        <v/>
      </c>
    </row>
    <row r="16">
      <c r="B16" s="39" t="inlineStr">
        <is>
          <t>CREMA ORUJO 3L MOS DE PAS</t>
        </is>
      </c>
      <c r="C16" s="40" t="n">
        <v>3</v>
      </c>
      <c r="D16" s="41" t="n">
        <v>15.6</v>
      </c>
      <c r="E16" s="42" t="n">
        <v>0.04</v>
      </c>
      <c r="F16" s="43">
        <f>(C16*D16)-((C16*D16)*E16)</f>
        <v/>
      </c>
      <c r="L16" s="39" t="inlineStr">
        <is>
          <t>JAMESON 0,70L</t>
        </is>
      </c>
      <c r="M16" s="40" t="n">
        <v>2</v>
      </c>
      <c r="N16" s="41" t="n">
        <v>14.48</v>
      </c>
      <c r="O16" s="42" t="n">
        <v>0.04</v>
      </c>
      <c r="P16" s="43">
        <f>(M16*N16)-((M16*N16)*O16)</f>
        <v/>
      </c>
      <c r="V16" s="39" t="inlineStr">
        <is>
          <t>MARTINI BLANCO 1L</t>
        </is>
      </c>
      <c r="W16" s="40" t="n">
        <v>2</v>
      </c>
      <c r="X16" s="41" t="n">
        <v>8.359999999999999</v>
      </c>
      <c r="Y16" s="42" t="n">
        <v>0.04</v>
      </c>
      <c r="Z16" s="43">
        <f>(W16*X16)-((W16*X16)*Y16)</f>
        <v/>
      </c>
    </row>
    <row r="17">
      <c r="B17" s="25" t="inlineStr">
        <is>
          <t>DYC 1L</t>
        </is>
      </c>
      <c r="C17" s="44" t="n">
        <v>2</v>
      </c>
      <c r="D17" s="19" t="n">
        <v>11.13</v>
      </c>
      <c r="E17" s="45" t="n">
        <v>0.04</v>
      </c>
      <c r="F17" s="17">
        <f>(C17*D17)-((C17*D17)*E17)</f>
        <v/>
      </c>
      <c r="L17" s="25" t="inlineStr">
        <is>
          <t>APEROL LITRO</t>
        </is>
      </c>
      <c r="M17" s="44" t="n">
        <v>3</v>
      </c>
      <c r="N17" s="19" t="n">
        <v>11.17</v>
      </c>
      <c r="O17" s="45" t="n">
        <v>0.04</v>
      </c>
      <c r="P17" s="17">
        <f>(M17*N17)-((M17*N17)*O17)</f>
        <v/>
      </c>
      <c r="V17" s="25" t="inlineStr">
        <is>
          <t>TEQUILA DON JULIO 70 TH</t>
        </is>
      </c>
      <c r="W17" s="44" t="n">
        <v>1</v>
      </c>
      <c r="X17" s="19" t="n">
        <v>61.45</v>
      </c>
      <c r="Y17" s="45" t="n">
        <v>0.04</v>
      </c>
      <c r="Z17" s="17">
        <f>(W17*X17)-((W17*X17)*Y17)</f>
        <v/>
      </c>
    </row>
    <row r="18">
      <c r="B18" s="39" t="inlineStr">
        <is>
          <t>GIN NORDÉS 0,70L</t>
        </is>
      </c>
      <c r="C18" s="40" t="n">
        <v>3</v>
      </c>
      <c r="D18" s="41" t="n">
        <v>19.9</v>
      </c>
      <c r="E18" s="42" t="n">
        <v>0.04</v>
      </c>
      <c r="F18" s="43">
        <f>(C18*D18)-((C18*D18)*E18)</f>
        <v/>
      </c>
      <c r="L18" s="39" t="inlineStr">
        <is>
          <t>MARTINI ROJO 1L</t>
        </is>
      </c>
      <c r="M18" s="40" t="n">
        <v>3</v>
      </c>
      <c r="N18" s="41" t="n">
        <v>8.359999999999999</v>
      </c>
      <c r="O18" s="42" t="n">
        <v>0.04</v>
      </c>
      <c r="P18" s="43">
        <f>(M18*N18)-((M18*N18)*O18)</f>
        <v/>
      </c>
      <c r="V18" s="39" t="inlineStr">
        <is>
          <t>FERNET BRANCA 0,70L</t>
        </is>
      </c>
      <c r="W18" s="40">
        <f>1+2</f>
        <v/>
      </c>
      <c r="X18" s="41" t="n">
        <v>14.64</v>
      </c>
      <c r="Y18" s="42" t="n">
        <v>0.04</v>
      </c>
      <c r="Z18" s="43">
        <f>(W18*X18)-((W18*X18)*Y18)</f>
        <v/>
      </c>
    </row>
    <row r="19">
      <c r="B19" s="25" t="inlineStr">
        <is>
          <t>GIN PUERTO INDIAS FRESA 0,70</t>
        </is>
      </c>
      <c r="C19" s="44" t="n">
        <v>3</v>
      </c>
      <c r="D19" s="19" t="n">
        <v>13.73</v>
      </c>
      <c r="E19" s="45" t="n">
        <v>0.04</v>
      </c>
      <c r="F19" s="17">
        <f>(C19*D19)-((C19*D19)*E19)</f>
        <v/>
      </c>
      <c r="L19" s="25" t="inlineStr">
        <is>
          <t>MARTINI ROJO 1L (regalo)</t>
        </is>
      </c>
      <c r="M19" s="44" t="n">
        <v>1</v>
      </c>
      <c r="N19" s="19" t="n">
        <v>8.359999999999999</v>
      </c>
      <c r="O19" s="45" t="n">
        <v>1</v>
      </c>
      <c r="P19" s="17">
        <f>(M19*N19)-((M19*N19)*O19)</f>
        <v/>
      </c>
      <c r="V19" s="25" t="inlineStr">
        <is>
          <t>SAINT GERMAIN</t>
        </is>
      </c>
      <c r="W19" s="44" t="n">
        <v>1</v>
      </c>
      <c r="X19" s="19" t="n">
        <v>23.93</v>
      </c>
      <c r="Y19" s="45" t="n">
        <v>0.04</v>
      </c>
      <c r="Z19" s="17">
        <f>(W19*X19)-((W19*X19)*Y19)</f>
        <v/>
      </c>
    </row>
    <row r="20">
      <c r="B20" s="39" t="inlineStr">
        <is>
          <t>HAVANA 7 AÑOS NR</t>
        </is>
      </c>
      <c r="C20" s="40" t="n">
        <v>6</v>
      </c>
      <c r="D20" s="41" t="n">
        <v>18.81</v>
      </c>
      <c r="E20" s="42" t="n">
        <v>0.04</v>
      </c>
      <c r="F20" s="43">
        <f>(C20*D20)-((C20*D20)*E20)</f>
        <v/>
      </c>
      <c r="L20" s="39" t="inlineStr">
        <is>
          <t>MARTINI BLANCO 1L</t>
        </is>
      </c>
      <c r="M20" s="40" t="n">
        <v>2</v>
      </c>
      <c r="N20" s="41" t="n">
        <v>8.359999999999999</v>
      </c>
      <c r="O20" s="42" t="n">
        <v>0.04</v>
      </c>
      <c r="P20" s="43">
        <f>(M20*N20)-((M20*N20)*O20)</f>
        <v/>
      </c>
      <c r="V20" s="39" t="inlineStr">
        <is>
          <t>MAESTRO DOBEL DIAMANTE REPOSADO 0.70</t>
        </is>
      </c>
      <c r="W20" s="40" t="n">
        <v>3</v>
      </c>
      <c r="X20" s="41" t="n">
        <v>55.17</v>
      </c>
      <c r="Y20" s="42" t="n">
        <v>0.04</v>
      </c>
      <c r="Z20" s="43">
        <f>(W20*X20)-((W20*X20)*Y20)</f>
        <v/>
      </c>
    </row>
    <row r="21">
      <c r="B21" s="25" t="inlineStr">
        <is>
          <t>HIERBAS 3 LITROS BEREMOT</t>
        </is>
      </c>
      <c r="C21" s="44" t="n">
        <v>1</v>
      </c>
      <c r="D21" s="19" t="n">
        <v>15.1</v>
      </c>
      <c r="E21" s="45" t="n">
        <v>0.04</v>
      </c>
      <c r="F21" s="17">
        <f>(C21*D21)-((C21*D21)*E21)</f>
        <v/>
      </c>
      <c r="L21" s="25" t="inlineStr">
        <is>
          <t>CREMA ORUJO 3L MOS DE PAS</t>
        </is>
      </c>
      <c r="M21" s="44" t="n">
        <v>1</v>
      </c>
      <c r="N21" s="19" t="n">
        <v>15.6</v>
      </c>
      <c r="O21" s="45" t="n">
        <v>0.04</v>
      </c>
      <c r="P21" s="17">
        <f>(M21*N21)-((M21*N21)*O21)</f>
        <v/>
      </c>
      <c r="V21" s="25" t="inlineStr">
        <is>
          <t>SERVICIOS LOGISTICOS</t>
        </is>
      </c>
      <c r="W21" s="44">
        <f>1+1+1</f>
        <v/>
      </c>
      <c r="X21" s="19" t="n">
        <v>1</v>
      </c>
      <c r="Y21" s="45" t="n">
        <v>0</v>
      </c>
      <c r="Z21" s="17">
        <f>(W21*X21)-((W21*X21)*Y21)</f>
        <v/>
      </c>
    </row>
    <row r="22">
      <c r="B22" s="39" t="inlineStr">
        <is>
          <t>J. WALKER NEGRA 0,70L NR</t>
        </is>
      </c>
      <c r="C22" s="40" t="n">
        <v>12</v>
      </c>
      <c r="D22" s="41" t="n">
        <v>22.31</v>
      </c>
      <c r="E22" s="42" t="n">
        <v>0.04</v>
      </c>
      <c r="F22" s="43">
        <f>(C22*D22)-((C22*D22)*E22)</f>
        <v/>
      </c>
      <c r="L22" s="39" t="inlineStr">
        <is>
          <t>PACHARAN 3L MOS DE PAS</t>
        </is>
      </c>
      <c r="M22" s="40" t="n">
        <v>1</v>
      </c>
      <c r="N22" s="41" t="n">
        <v>14.57</v>
      </c>
      <c r="O22" s="42" t="n">
        <v>0.04</v>
      </c>
      <c r="P22" s="43">
        <f>(M22*N22)-((M22*N22)*O22)</f>
        <v/>
      </c>
      <c r="V22" s="39" t="inlineStr">
        <is>
          <t>RED BULL SANDIA 24U (sin cargo)</t>
        </is>
      </c>
      <c r="W22" s="40" t="n">
        <v>1</v>
      </c>
      <c r="X22" s="41" t="n">
        <v>38.4</v>
      </c>
      <c r="Y22" s="42" t="n">
        <v>1</v>
      </c>
      <c r="Z22" s="43">
        <f>(W22*X22)-((W22*X22)*Y22)</f>
        <v/>
      </c>
    </row>
    <row r="23">
      <c r="B23" s="25" t="inlineStr">
        <is>
          <t>J. WALKER RED 0,70L NR</t>
        </is>
      </c>
      <c r="C23" s="44" t="n">
        <v>21</v>
      </c>
      <c r="D23" s="19" t="n">
        <v>11.96</v>
      </c>
      <c r="E23" s="45" t="n">
        <v>0.04</v>
      </c>
      <c r="F23" s="17">
        <f>(C23*D23)-((C23*D23)*E23)</f>
        <v/>
      </c>
      <c r="L23" s="25" t="inlineStr">
        <is>
          <t>HIERBAS 3L MOS DE PAS</t>
        </is>
      </c>
      <c r="M23" s="44" t="n">
        <v>1</v>
      </c>
      <c r="N23" s="19" t="n">
        <v>15.1</v>
      </c>
      <c r="O23" s="45" t="n">
        <v>0.04</v>
      </c>
      <c r="P23" s="17">
        <f>(M23*N23)-((M23*N23)*O23)</f>
        <v/>
      </c>
      <c r="V23" s="25" t="inlineStr">
        <is>
          <t>RED BULL 24U</t>
        </is>
      </c>
      <c r="W23" s="44" t="n">
        <v>2</v>
      </c>
      <c r="X23" s="19" t="n">
        <v>38.4</v>
      </c>
      <c r="Y23" s="45" t="n">
        <v>0.04</v>
      </c>
      <c r="Z23" s="17">
        <f>(W23*X23)-((W23*X23)*Y23)</f>
        <v/>
      </c>
    </row>
    <row r="24">
      <c r="B24" s="39" t="inlineStr">
        <is>
          <t>JOSE CUERVO ESPECIAL 0,7L NR</t>
        </is>
      </c>
      <c r="C24" s="40" t="n">
        <v>5</v>
      </c>
      <c r="D24" s="41" t="n">
        <v>13.66</v>
      </c>
      <c r="E24" s="42" t="n">
        <v>0.04</v>
      </c>
      <c r="F24" s="43">
        <f>(C24*D24)-((C24*D24)*E24)</f>
        <v/>
      </c>
      <c r="L24" s="39" t="inlineStr">
        <is>
          <t>LIMONCELO DE 3L BEREMOT</t>
        </is>
      </c>
      <c r="M24" s="40" t="n">
        <v>1</v>
      </c>
      <c r="N24" s="41" t="n">
        <v>15.96</v>
      </c>
      <c r="O24" s="42" t="n">
        <v>0.04</v>
      </c>
      <c r="P24" s="43">
        <f>(M24*N24)-((M24*N24)*O24)</f>
        <v/>
      </c>
      <c r="V24" s="39" t="inlineStr">
        <is>
          <t>FIREBALL 0.70</t>
        </is>
      </c>
      <c r="W24" s="40" t="n">
        <v>2</v>
      </c>
      <c r="X24" s="41" t="n">
        <v>10.82</v>
      </c>
      <c r="Y24" s="42" t="n">
        <v>0.04</v>
      </c>
      <c r="Z24" s="43">
        <f>(W24*X24)-((W24*X24)*Y24)</f>
        <v/>
      </c>
    </row>
    <row r="25">
      <c r="B25" s="25" t="inlineStr">
        <is>
          <t>JOSE CUERVO SILVER 0.7</t>
        </is>
      </c>
      <c r="C25" s="44" t="n">
        <v>5</v>
      </c>
      <c r="D25" s="19" t="n">
        <v>12.68</v>
      </c>
      <c r="E25" s="45" t="n">
        <v>0.04</v>
      </c>
      <c r="F25" s="17">
        <f>(C25*D25)-((C25*D25)*E25)</f>
        <v/>
      </c>
      <c r="L25" s="25" t="inlineStr">
        <is>
          <t>RED BULL 24U</t>
        </is>
      </c>
      <c r="M25" s="44" t="n">
        <v>2</v>
      </c>
      <c r="N25" s="19" t="n">
        <v>38.4</v>
      </c>
      <c r="O25" s="45" t="n">
        <v>0.04</v>
      </c>
      <c r="P25" s="17">
        <f>(M25*N25)-((M25*N25)*O25)</f>
        <v/>
      </c>
      <c r="V25" s="25" t="inlineStr">
        <is>
          <t>SEAGRAMS 0,0 0,70L</t>
        </is>
      </c>
      <c r="W25" s="44" t="n">
        <v>2</v>
      </c>
      <c r="X25" s="19" t="n">
        <v>12.99</v>
      </c>
      <c r="Y25" s="45" t="n">
        <v>0.04</v>
      </c>
      <c r="Z25" s="17">
        <f>(W25*X25)-((W25*X25)*Y25)</f>
        <v/>
      </c>
    </row>
    <row r="26">
      <c r="B26" s="39" t="inlineStr">
        <is>
          <t>LARIOS 1L NR</t>
        </is>
      </c>
      <c r="C26" s="40" t="n">
        <v>2</v>
      </c>
      <c r="D26" s="41" t="n">
        <v>10.32</v>
      </c>
      <c r="E26" s="42" t="n">
        <v>0.04</v>
      </c>
      <c r="F26" s="43">
        <f>(C26*D26)-((C26*D26)*E26)</f>
        <v/>
      </c>
      <c r="L26" s="39" t="inlineStr">
        <is>
          <t>RED BULL 24U (regalo)</t>
        </is>
      </c>
      <c r="M26" s="40" t="n">
        <v>1</v>
      </c>
      <c r="N26" s="41" t="n">
        <v>38.4</v>
      </c>
      <c r="O26" s="42" t="n">
        <v>1</v>
      </c>
      <c r="P26" s="43">
        <f>(M26*N26)-((M26*N26)*O26)</f>
        <v/>
      </c>
      <c r="V26" s="39" t="inlineStr">
        <is>
          <t>APEROL LITRO</t>
        </is>
      </c>
      <c r="W26" s="40" t="n">
        <v>2</v>
      </c>
      <c r="X26" s="41" t="n">
        <v>11.17</v>
      </c>
      <c r="Y26" s="42" t="n">
        <v>0.04</v>
      </c>
      <c r="Z26" s="43">
        <f>(W26*X26)-((W26*X26)*Y26)</f>
        <v/>
      </c>
    </row>
    <row r="27">
      <c r="B27" s="25" t="inlineStr">
        <is>
          <t>LARIOS ESPECIAL 12 NR</t>
        </is>
      </c>
      <c r="C27" s="44" t="n">
        <v>6</v>
      </c>
      <c r="D27" s="19" t="n">
        <v>12.12</v>
      </c>
      <c r="E27" s="45" t="n">
        <v>0.04</v>
      </c>
      <c r="F27" s="17">
        <f>(C27*D27)-((C27*D27)*E27)</f>
        <v/>
      </c>
      <c r="L27" s="25" t="inlineStr">
        <is>
          <t>RED BULL LIGHT 24U</t>
        </is>
      </c>
      <c r="M27" s="44" t="n">
        <v>2</v>
      </c>
      <c r="N27" s="19" t="n">
        <v>38.4</v>
      </c>
      <c r="O27" s="45" t="n">
        <v>0.04</v>
      </c>
      <c r="P27" s="17">
        <f>(M27*N27)-((M27*N27)*O27)</f>
        <v/>
      </c>
      <c r="V27" s="25" t="inlineStr">
        <is>
          <t>CINZANO PROSECCO SPRITZ</t>
        </is>
      </c>
      <c r="W27" s="44">
        <f>6+6</f>
        <v/>
      </c>
      <c r="X27" s="19" t="n">
        <v>5.03</v>
      </c>
      <c r="Y27" s="45" t="n">
        <v>0.04</v>
      </c>
      <c r="Z27" s="17">
        <f>(W27*X27)-((W27*X27)*Y27)</f>
        <v/>
      </c>
    </row>
    <row r="28">
      <c r="B28" s="39" t="inlineStr">
        <is>
          <t>LICOR CAFÉ QUEMEIRAS 3L</t>
        </is>
      </c>
      <c r="C28" s="40" t="n">
        <v>1</v>
      </c>
      <c r="D28" s="41" t="n">
        <v>14.57</v>
      </c>
      <c r="E28" s="42" t="n">
        <v>0.04</v>
      </c>
      <c r="F28" s="43">
        <f>(C28*D28)-((C28*D28)*E28)</f>
        <v/>
      </c>
      <c r="L28" s="39" t="inlineStr">
        <is>
          <t>RED BULL LIGHT 24U (regalo)</t>
        </is>
      </c>
      <c r="M28" s="40" t="n">
        <v>1</v>
      </c>
      <c r="N28" s="41" t="n">
        <v>38.4</v>
      </c>
      <c r="O28" s="42" t="n">
        <v>1</v>
      </c>
      <c r="P28" s="43">
        <f>(M28*N28)-((M28*N28)*O28)</f>
        <v/>
      </c>
      <c r="V28" s="39" t="inlineStr">
        <is>
          <t>CREMA ORUJO 3L MOS DE PAS</t>
        </is>
      </c>
      <c r="W28" s="40">
        <f>2+1</f>
        <v/>
      </c>
      <c r="X28" s="41" t="n">
        <v>15.6</v>
      </c>
      <c r="Y28" s="42" t="n">
        <v>0.04</v>
      </c>
      <c r="Z28" s="43">
        <f>(W28*X28)-((W28*X28)*Y28)</f>
        <v/>
      </c>
    </row>
    <row r="29">
      <c r="B29" s="25" t="inlineStr">
        <is>
          <t>MACALLAN 12</t>
        </is>
      </c>
      <c r="C29" s="44" t="n">
        <v>3</v>
      </c>
      <c r="D29" s="19" t="n">
        <v>56.01</v>
      </c>
      <c r="E29" s="45" t="n">
        <v>0.04</v>
      </c>
      <c r="F29" s="17">
        <f>(C29*D29)-((C29*D29)*E29)</f>
        <v/>
      </c>
      <c r="V29" s="25" t="inlineStr">
        <is>
          <t>BACARDI 1L NR</t>
        </is>
      </c>
      <c r="W29" s="44" t="n">
        <v>2</v>
      </c>
      <c r="X29" s="19" t="n">
        <v>13.69</v>
      </c>
      <c r="Y29" s="45" t="n">
        <v>0.04</v>
      </c>
      <c r="Z29" s="17">
        <f>(W29*X29)-((W29*X29)*Y29)</f>
        <v/>
      </c>
    </row>
    <row r="30">
      <c r="B30" s="39" t="inlineStr">
        <is>
          <t>MAESTRO DOBEL DIAMANTE REPOSADO 0.70</t>
        </is>
      </c>
      <c r="C30" s="40" t="n">
        <v>2</v>
      </c>
      <c r="D30" s="41" t="n">
        <v>55.17</v>
      </c>
      <c r="E30" s="42" t="n">
        <v>0.04</v>
      </c>
      <c r="F30" s="43">
        <f>(C30*D30)-((C30*D30)*E30)</f>
        <v/>
      </c>
      <c r="V30" s="39" t="inlineStr">
        <is>
          <t>RED BULL SANDIA 24U</t>
        </is>
      </c>
      <c r="W30" s="40" t="n">
        <v>2</v>
      </c>
      <c r="X30" s="41" t="n">
        <v>38.4</v>
      </c>
      <c r="Y30" s="42" t="n">
        <v>0.04</v>
      </c>
      <c r="Z30" s="43">
        <f>(W30*X30)-((W30*X30)*Y30)</f>
        <v/>
      </c>
    </row>
    <row r="31">
      <c r="B31" s="25" t="inlineStr">
        <is>
          <t>RON BARCELO 0,70L NR</t>
        </is>
      </c>
      <c r="C31" s="44" t="n">
        <v>12</v>
      </c>
      <c r="D31" s="19" t="n">
        <v>12.1</v>
      </c>
      <c r="E31" s="45" t="n">
        <v>0.04</v>
      </c>
      <c r="F31" s="17">
        <f>(C31*D31)-((C31*D31)*E31)</f>
        <v/>
      </c>
      <c r="V31" s="25" t="inlineStr">
        <is>
          <t>SEAGRAMS 0,70L NR</t>
        </is>
      </c>
      <c r="W31" s="44" t="n">
        <v>18</v>
      </c>
      <c r="X31" s="19" t="n">
        <v>13.38</v>
      </c>
      <c r="Y31" s="45" t="n">
        <v>0.04</v>
      </c>
      <c r="Z31" s="17">
        <f>(W31*X31)-((W31*X31)*Y31)</f>
        <v/>
      </c>
    </row>
    <row r="32">
      <c r="B32" s="39" t="inlineStr">
        <is>
          <t>RUINART BLANC DE BLANC 0,75</t>
        </is>
      </c>
      <c r="C32" s="40" t="n">
        <v>6</v>
      </c>
      <c r="D32" s="41" t="n">
        <v>72.48</v>
      </c>
      <c r="E32" s="42" t="n">
        <v>0.04</v>
      </c>
      <c r="F32" s="43">
        <f>(C32*D32)-((C32*D32)*E32)</f>
        <v/>
      </c>
      <c r="V32" s="39" t="inlineStr">
        <is>
          <t>PETRONI APERITIVO 1L (sin cargo)</t>
        </is>
      </c>
      <c r="W32" s="40" t="n">
        <v>1</v>
      </c>
      <c r="X32" s="41" t="n">
        <v>10.3</v>
      </c>
      <c r="Y32" s="42" t="n">
        <v>1</v>
      </c>
      <c r="Z32" s="43">
        <f>(W32*X32)-((W32*X32)*Y32)</f>
        <v/>
      </c>
    </row>
    <row r="33">
      <c r="B33" s="25" t="inlineStr">
        <is>
          <t>SANTA TERESA G.RVA 0,70L</t>
        </is>
      </c>
      <c r="C33" s="44" t="n">
        <v>3</v>
      </c>
      <c r="D33" s="19" t="n">
        <v>11.35</v>
      </c>
      <c r="E33" s="45" t="n">
        <v>0.04</v>
      </c>
      <c r="F33" s="17">
        <f>(C33*D33)-((C33*D33)*E33)</f>
        <v/>
      </c>
      <c r="V33" s="25" t="inlineStr">
        <is>
          <t>TEQUILA OLMECA REPOSADO 0.70 (sin cargo)</t>
        </is>
      </c>
      <c r="W33" s="44" t="n">
        <v>1</v>
      </c>
      <c r="X33" s="19" t="n">
        <v>10.42</v>
      </c>
      <c r="Y33" s="45" t="n">
        <v>1</v>
      </c>
      <c r="Z33" s="17">
        <f>(W33*X33)-((W33*X33)*Y33)</f>
        <v/>
      </c>
    </row>
    <row r="34">
      <c r="B34" s="39" t="inlineStr">
        <is>
          <t>SEAGRAMS 0,70L NR</t>
        </is>
      </c>
      <c r="C34" s="40">
        <f>24+12</f>
        <v/>
      </c>
      <c r="D34" s="41" t="n">
        <v>13.38</v>
      </c>
      <c r="E34" s="42" t="n">
        <v>0.04</v>
      </c>
      <c r="F34" s="43">
        <f>(C34*D34)-((C34*D34)*E34)</f>
        <v/>
      </c>
      <c r="V34" s="39" t="inlineStr">
        <is>
          <t>HAVANA ORIGEN 0.70 (sin cargo)</t>
        </is>
      </c>
      <c r="W34" s="40" t="n">
        <v>1</v>
      </c>
      <c r="X34" s="41" t="n">
        <v>10.45</v>
      </c>
      <c r="Y34" s="42" t="n">
        <v>1</v>
      </c>
      <c r="Z34" s="43">
        <f>(W34*X34)-((W34*X34)*Y34)</f>
        <v/>
      </c>
    </row>
    <row r="35">
      <c r="B35" s="25" t="inlineStr">
        <is>
          <t>SERVICIOS LOGISTICOS</t>
        </is>
      </c>
      <c r="C35" s="44" t="n">
        <v>5</v>
      </c>
      <c r="D35" s="19" t="n">
        <v>1</v>
      </c>
      <c r="E35" s="45" t="n">
        <v>0</v>
      </c>
      <c r="F35" s="17">
        <f>(C35*D35)-((C35*D35)*E35)</f>
        <v/>
      </c>
      <c r="V35" s="25" t="inlineStr">
        <is>
          <t>RON BARCELO 0,70L NR</t>
        </is>
      </c>
      <c r="W35" s="44" t="n">
        <v>12</v>
      </c>
      <c r="X35" s="19" t="n">
        <v>12.6</v>
      </c>
      <c r="Y35" s="45" t="n">
        <v>0.04</v>
      </c>
      <c r="Z35" s="17">
        <f>(W35*X35)-((W35*X35)*Y35)</f>
        <v/>
      </c>
    </row>
    <row r="36">
      <c r="B36" s="39" t="inlineStr">
        <is>
          <t>LIMONCELO DE 3L BEREMOT</t>
        </is>
      </c>
      <c r="C36" s="40" t="n">
        <v>2</v>
      </c>
      <c r="D36" s="41" t="n">
        <v>15.96</v>
      </c>
      <c r="E36" s="42" t="n">
        <v>0.04</v>
      </c>
      <c r="F36" s="43">
        <f>(C36*D36)-((C36*D36)*E36)</f>
        <v/>
      </c>
      <c r="V36" s="39" t="inlineStr">
        <is>
          <t>GIN NORDÉS 0,70L</t>
        </is>
      </c>
      <c r="W36" s="40" t="n">
        <v>2</v>
      </c>
      <c r="X36" s="41" t="n">
        <v>19.9</v>
      </c>
      <c r="Y36" s="42" t="n">
        <v>0.04</v>
      </c>
      <c r="Z36" s="43">
        <f>(W36*X36)-((W36*X36)*Y36)</f>
        <v/>
      </c>
    </row>
    <row r="37">
      <c r="B37" s="25" t="inlineStr">
        <is>
          <t>MARTINI ROJO 1L</t>
        </is>
      </c>
      <c r="C37" s="44" t="n">
        <v>2</v>
      </c>
      <c r="D37" s="19" t="n">
        <v>8.359999999999999</v>
      </c>
      <c r="E37" s="45" t="n">
        <v>0.04</v>
      </c>
      <c r="F37" s="17">
        <f>(C37*D37)-((C37*D37)*E37)</f>
        <v/>
      </c>
      <c r="V37" s="25" t="inlineStr">
        <is>
          <t>JAMESON 0,70L</t>
        </is>
      </c>
      <c r="W37" s="44" t="n">
        <v>2</v>
      </c>
      <c r="X37" s="19" t="n">
        <v>14.48</v>
      </c>
      <c r="Y37" s="45" t="n">
        <v>0.04</v>
      </c>
      <c r="Z37" s="17">
        <f>(W37*X37)-((W37*X37)*Y37)</f>
        <v/>
      </c>
    </row>
    <row r="38">
      <c r="B38" s="39" t="inlineStr">
        <is>
          <t>RON BARCELO IMPERIAL 0,70L</t>
        </is>
      </c>
      <c r="C38" s="40" t="n">
        <v>1</v>
      </c>
      <c r="D38" s="41" t="n">
        <v>24</v>
      </c>
      <c r="E38" s="42" t="n">
        <v>0.04</v>
      </c>
      <c r="F38" s="43">
        <f>(C38*D38)-((C38*D38)*E38)</f>
        <v/>
      </c>
      <c r="V38" s="39" t="inlineStr">
        <is>
          <t>GIN MARTIN MILLERS 0,70L</t>
        </is>
      </c>
      <c r="W38" s="40" t="n">
        <v>2</v>
      </c>
      <c r="X38" s="41" t="n">
        <v>18.66</v>
      </c>
      <c r="Y38" s="42" t="n">
        <v>0.04</v>
      </c>
      <c r="Z38" s="43">
        <f>(W38*X38)-((W38*X38)*Y38)</f>
        <v/>
      </c>
    </row>
    <row r="39">
      <c r="B39" s="25" t="inlineStr">
        <is>
          <t>RED BULL 24U</t>
        </is>
      </c>
      <c r="C39" s="44" t="n">
        <v>1</v>
      </c>
      <c r="D39" s="19" t="n">
        <v>38.4</v>
      </c>
      <c r="E39" s="45" t="n">
        <v>0.25</v>
      </c>
      <c r="F39" s="17">
        <f>(C39*D39)-((C39*D39)*E39)</f>
        <v/>
      </c>
      <c r="V39" s="25" t="inlineStr">
        <is>
          <t>AGT 3L MOS DE PAS</t>
        </is>
      </c>
      <c r="W39" s="44" t="n">
        <v>1</v>
      </c>
      <c r="X39" s="19" t="n">
        <v>19.98</v>
      </c>
      <c r="Y39" s="45" t="n">
        <v>0.04</v>
      </c>
      <c r="Z39" s="17">
        <f>(W39*X39)-((W39*X39)*Y39)</f>
        <v/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00A6A6A6"/>
    <outlinePr summaryBelow="1" summaryRight="1"/>
    <pageSetUpPr/>
  </sheetPr>
  <dimension ref="B2:AD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RAF IBERICO</t>
        </is>
      </c>
      <c r="C6" s="40">
        <f>6+10.5+6.085+10+10.075+6+6.53+6.035+6+6+6.2+6+6+6.07</f>
        <v/>
      </c>
      <c r="D6" s="41" t="n">
        <v>6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RAF IBERICO</t>
        </is>
      </c>
      <c r="M6" s="40">
        <f>11.025+8.085</f>
        <v/>
      </c>
      <c r="N6" s="41" t="n">
        <v>6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RAF IBERICO</t>
        </is>
      </c>
      <c r="W6" s="40">
        <f>6.1+8.1+6.3+7+6.2+6.2+6.6+6.2+6.2+6.6+10.2+6.3+6+12.7+6.2</f>
        <v/>
      </c>
      <c r="X6" s="41" t="n">
        <v>6.5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L7" s="25" t="inlineStr">
        <is>
          <t>RAF IBERICO</t>
        </is>
      </c>
      <c r="M7" s="44">
        <f>8.16+3.13+8+6+6.3</f>
        <v/>
      </c>
      <c r="N7" s="19" t="n">
        <v>6.5</v>
      </c>
      <c r="O7" s="45" t="n">
        <v>0</v>
      </c>
      <c r="P7" s="17">
        <f>(M7*N7)-((M7*N7)*O7)</f>
        <v/>
      </c>
      <c r="V7" s="25" t="inlineStr">
        <is>
          <t>TOMATE MAR AZUL</t>
        </is>
      </c>
      <c r="W7" s="44" t="n">
        <v>8.199999999999999</v>
      </c>
      <c r="X7" s="19" t="n">
        <v>6.5</v>
      </c>
      <c r="Y7" s="45" t="n">
        <v>0</v>
      </c>
      <c r="Z7" s="17">
        <f>(W7*X7)-((W7*X7)*Y7)</f>
        <v/>
      </c>
    </row>
    <row r="8" ht="15" customHeight="1"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H9" s="26" t="inlineStr">
        <is>
          <t>11/07/2026</t>
        </is>
      </c>
      <c r="I9" s="17" t="n">
        <v>36</v>
      </c>
      <c r="J9" s="27" t="n">
        <v>0.04</v>
      </c>
      <c r="R9" s="26" t="inlineStr">
        <is>
          <t>01/08/2026</t>
        </is>
      </c>
      <c r="S9" s="17" t="n">
        <v>66.15000000000001</v>
      </c>
      <c r="T9" s="27" t="n">
        <v>0.04</v>
      </c>
      <c r="AB9" s="26" t="inlineStr">
        <is>
          <t>01/09/2026</t>
        </is>
      </c>
      <c r="AC9" s="17" t="n">
        <v>39.65</v>
      </c>
      <c r="AD9" s="27" t="n">
        <v>0.04</v>
      </c>
    </row>
    <row r="10" ht="15" customHeight="1">
      <c r="H10" s="26" t="inlineStr">
        <is>
          <t>09/07/2026</t>
        </is>
      </c>
      <c r="I10" s="17" t="n">
        <v>63</v>
      </c>
      <c r="J10" s="27" t="n">
        <v>0.04</v>
      </c>
      <c r="R10" s="26" t="inlineStr">
        <is>
          <t>05/08/2026</t>
        </is>
      </c>
      <c r="S10" s="17" t="n">
        <v>48.51</v>
      </c>
      <c r="T10" s="27" t="n">
        <v>0.04</v>
      </c>
      <c r="AB10" s="26" t="inlineStr">
        <is>
          <t>04/09/2026</t>
        </is>
      </c>
      <c r="AC10" s="17" t="n">
        <v>52.65</v>
      </c>
      <c r="AD10" s="27" t="n">
        <v>0.04</v>
      </c>
    </row>
    <row r="11" ht="15" customHeight="1">
      <c r="H11" s="26" t="inlineStr">
        <is>
          <t>08/07/2026</t>
        </is>
      </c>
      <c r="I11" s="17" t="n">
        <v>36.51</v>
      </c>
      <c r="J11" s="27" t="n">
        <v>0.04</v>
      </c>
      <c r="R11" s="26" t="inlineStr">
        <is>
          <t>18/08/2026</t>
        </is>
      </c>
      <c r="S11" s="17" t="n">
        <v>53.04</v>
      </c>
      <c r="T11" s="27" t="n">
        <v>0.04</v>
      </c>
      <c r="AB11" s="26" t="inlineStr">
        <is>
          <t>05/09/2026</t>
        </is>
      </c>
      <c r="AC11" s="17" t="n">
        <v>40.95</v>
      </c>
      <c r="AD11" s="27" t="n">
        <v>0.04</v>
      </c>
    </row>
    <row r="12">
      <c r="H12" s="26" t="inlineStr">
        <is>
          <t>04/07/2026</t>
        </is>
      </c>
      <c r="I12" s="17" t="n">
        <v>60</v>
      </c>
      <c r="J12" s="27" t="n">
        <v>0.04</v>
      </c>
      <c r="R12" s="26" t="inlineStr">
        <is>
          <t>24/08/2026</t>
        </is>
      </c>
      <c r="S12" s="17" t="n">
        <v>20.35</v>
      </c>
      <c r="T12" s="27" t="n">
        <v>0.04</v>
      </c>
      <c r="AB12" s="26" t="inlineStr">
        <is>
          <t>08/09/2026</t>
        </is>
      </c>
      <c r="AC12" s="17" t="n">
        <v>45.5</v>
      </c>
      <c r="AD12" s="27" t="n">
        <v>0.04</v>
      </c>
    </row>
    <row r="13">
      <c r="H13" s="26" t="inlineStr">
        <is>
          <t>03/07/2026</t>
        </is>
      </c>
      <c r="I13" s="17" t="n">
        <v>60.45</v>
      </c>
      <c r="J13" s="27" t="n">
        <v>0.04</v>
      </c>
      <c r="R13" s="26" t="inlineStr">
        <is>
          <t>25/08/2026</t>
        </is>
      </c>
      <c r="S13" s="17" t="n">
        <v>52</v>
      </c>
      <c r="T13" s="27" t="n">
        <v>0.04</v>
      </c>
      <c r="AB13" s="26" t="inlineStr">
        <is>
          <t>10/09/2026</t>
        </is>
      </c>
      <c r="AC13" s="17" t="n">
        <v>40.3</v>
      </c>
      <c r="AD13" s="27" t="n">
        <v>0.04</v>
      </c>
    </row>
    <row r="14">
      <c r="H14" s="26" t="inlineStr">
        <is>
          <t>19/07/1902</t>
        </is>
      </c>
      <c r="I14" s="17" t="n">
        <v>36</v>
      </c>
      <c r="J14" s="27" t="n">
        <v>0.04</v>
      </c>
      <c r="R14" s="26" t="inlineStr">
        <is>
          <t>27/08/2026</t>
        </is>
      </c>
      <c r="S14" s="17" t="n">
        <v>39</v>
      </c>
      <c r="T14" s="27" t="n">
        <v>0.04</v>
      </c>
      <c r="AB14" s="26" t="inlineStr">
        <is>
          <t>11/09/2026</t>
        </is>
      </c>
      <c r="AC14" s="17" t="n">
        <v>40.3</v>
      </c>
      <c r="AD14" s="27" t="n">
        <v>0.04</v>
      </c>
    </row>
    <row r="15">
      <c r="H15" s="26" t="inlineStr">
        <is>
          <t>24/07/2026</t>
        </is>
      </c>
      <c r="I15" s="17" t="n">
        <v>39.18</v>
      </c>
      <c r="J15" s="27" t="n">
        <v>0.04</v>
      </c>
      <c r="R15" s="26" t="inlineStr">
        <is>
          <t>29/08/2026</t>
        </is>
      </c>
      <c r="S15" s="17" t="n">
        <v>40.95</v>
      </c>
      <c r="T15" s="27" t="n">
        <v>0.04</v>
      </c>
      <c r="AB15" s="26" t="inlineStr">
        <is>
          <t>12/09/2026</t>
        </is>
      </c>
      <c r="AC15" s="17" t="n">
        <v>42.9</v>
      </c>
      <c r="AD15" s="27" t="n">
        <v>0.04</v>
      </c>
    </row>
    <row r="16">
      <c r="H16" s="26" t="inlineStr">
        <is>
          <t>23/07/2026</t>
        </is>
      </c>
      <c r="I16" s="17" t="n">
        <v>36.21</v>
      </c>
      <c r="J16" s="27" t="n">
        <v>0.04</v>
      </c>
      <c r="AB16" s="26" t="inlineStr">
        <is>
          <t>16/09/2026</t>
        </is>
      </c>
      <c r="AC16" s="17" t="n">
        <v>40.3</v>
      </c>
      <c r="AD16" s="27" t="n">
        <v>0.04</v>
      </c>
    </row>
    <row r="17">
      <c r="H17" s="26" t="inlineStr">
        <is>
          <t>21/07/2026</t>
        </is>
      </c>
      <c r="I17" s="17" t="n">
        <v>36</v>
      </c>
      <c r="J17" s="27" t="n">
        <v>0.04</v>
      </c>
      <c r="AB17" s="26" t="inlineStr">
        <is>
          <t>17/09/2026</t>
        </is>
      </c>
      <c r="AC17" s="17" t="n">
        <v>40.3</v>
      </c>
      <c r="AD17" s="27" t="n">
        <v>0.04</v>
      </c>
    </row>
    <row r="18">
      <c r="H18" s="26" t="inlineStr">
        <is>
          <t>18/07/2026</t>
        </is>
      </c>
      <c r="I18" s="17" t="n">
        <v>36</v>
      </c>
      <c r="J18" s="27" t="n">
        <v>0.04</v>
      </c>
      <c r="AB18" s="26" t="inlineStr">
        <is>
          <t>18/09/2026</t>
        </is>
      </c>
      <c r="AC18" s="17" t="n">
        <v>42.9</v>
      </c>
      <c r="AD18" s="27" t="n">
        <v>0.04</v>
      </c>
    </row>
    <row r="19">
      <c r="H19" s="26" t="inlineStr">
        <is>
          <t>16/07/2026</t>
        </is>
      </c>
      <c r="I19" s="17" t="n">
        <v>37.2</v>
      </c>
      <c r="J19" s="27" t="n">
        <v>0.04</v>
      </c>
      <c r="AB19" s="26" t="inlineStr">
        <is>
          <t>19/09/2026</t>
        </is>
      </c>
      <c r="AC19" s="17" t="n">
        <v>66.3</v>
      </c>
      <c r="AD19" s="27" t="n">
        <v>0.04</v>
      </c>
    </row>
    <row r="20">
      <c r="H20" s="26" t="inlineStr">
        <is>
          <t>15/07/2026</t>
        </is>
      </c>
      <c r="I20" s="17" t="n">
        <v>36</v>
      </c>
      <c r="J20" s="27" t="n">
        <v>0.04</v>
      </c>
      <c r="AB20" s="26" t="inlineStr">
        <is>
          <t>21/09/2026</t>
        </is>
      </c>
      <c r="AC20" s="17" t="n">
        <v>40.95</v>
      </c>
      <c r="AD20" s="27" t="n">
        <v>0.04</v>
      </c>
    </row>
    <row r="21">
      <c r="H21" s="26" t="inlineStr">
        <is>
          <t>14/07/2026</t>
        </is>
      </c>
      <c r="I21" s="17" t="n">
        <v>36</v>
      </c>
      <c r="J21" s="27" t="n">
        <v>0.04</v>
      </c>
      <c r="AB21" s="26" t="inlineStr">
        <is>
          <t>22/09/2026</t>
        </is>
      </c>
      <c r="AC21" s="17" t="n">
        <v>39</v>
      </c>
      <c r="AD21" s="27" t="n">
        <v>0.04</v>
      </c>
    </row>
    <row r="22">
      <c r="H22" s="26" t="inlineStr">
        <is>
          <t>30/07/2026</t>
        </is>
      </c>
      <c r="I22" s="17" t="n">
        <v>36.42</v>
      </c>
      <c r="J22" s="27" t="n">
        <v>0.04</v>
      </c>
      <c r="AB22" s="26" t="inlineStr">
        <is>
          <t>26/09/2026</t>
        </is>
      </c>
      <c r="AC22" s="17" t="n">
        <v>82.55</v>
      </c>
      <c r="AD22" s="27" t="n">
        <v>0.04</v>
      </c>
    </row>
    <row r="23">
      <c r="AB23" s="26" t="inlineStr">
        <is>
          <t>28/09/2026</t>
        </is>
      </c>
      <c r="AC23" s="17" t="n">
        <v>40.3</v>
      </c>
      <c r="AD23" s="27" t="n">
        <v>0.04</v>
      </c>
    </row>
    <row r="24">
      <c r="AB24" s="26" t="inlineStr">
        <is>
          <t>30/09/2026</t>
        </is>
      </c>
      <c r="AC24" s="17" t="n">
        <v>53.3</v>
      </c>
      <c r="AD24" s="27" t="n">
        <v>0.04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00A6A6A6"/>
    <outlinePr summaryBelow="1" summaryRight="1"/>
    <pageSetUpPr/>
  </sheetPr>
  <dimension ref="B2:AD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LOMO VACA VENERO CLARO C/H</t>
        </is>
      </c>
      <c r="C6" s="40" t="n">
        <v>10.4</v>
      </c>
      <c r="D6" s="41" t="n">
        <v>26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LOMO VACA VENERO CLARO C/H</t>
        </is>
      </c>
      <c r="M6" s="40" t="n">
        <v>10.43</v>
      </c>
      <c r="N6" s="41" t="n">
        <v>26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LOMO VACA VENERO CLARO C/H</t>
        </is>
      </c>
      <c r="W6" s="40">
        <f>11.05+10.55+15.16</f>
        <v/>
      </c>
      <c r="X6" s="41" t="n">
        <v>26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/>
    <row r="8" ht="15" customHeight="1"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H9" s="26" t="inlineStr">
        <is>
          <t>26VC-1657</t>
        </is>
      </c>
      <c r="I9" s="17" t="n">
        <v>270.4</v>
      </c>
      <c r="J9" s="27" t="n">
        <v>0.1</v>
      </c>
      <c r="R9" s="26" t="inlineStr">
        <is>
          <t>26VC-1939</t>
        </is>
      </c>
      <c r="S9" s="17" t="n">
        <v>271.18</v>
      </c>
      <c r="T9" s="27" t="n">
        <v>0.1</v>
      </c>
      <c r="AB9" s="26" t="inlineStr">
        <is>
          <t>26VC-2005</t>
        </is>
      </c>
      <c r="AC9" s="17" t="n">
        <v>287.3</v>
      </c>
      <c r="AD9" s="27" t="n">
        <v>0.1</v>
      </c>
    </row>
    <row r="10" ht="15" customHeight="1">
      <c r="AB10" s="26" t="inlineStr">
        <is>
          <t>26VC-2175</t>
        </is>
      </c>
      <c r="AC10" s="17" t="n">
        <v>274.3</v>
      </c>
      <c r="AD10" s="27" t="n">
        <v>0.1</v>
      </c>
    </row>
    <row r="11" ht="15" customHeight="1">
      <c r="AB11" s="26" t="inlineStr">
        <is>
          <t>26VC-2279</t>
        </is>
      </c>
      <c r="AC11" s="17" t="n">
        <v>394.16</v>
      </c>
      <c r="AD11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00A6A6A6"/>
    <outlinePr summaryBelow="1" summaryRight="1"/>
    <pageSetUpPr/>
  </sheetPr>
  <dimension ref="B2:T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</cols>
  <sheetData>
    <row r="2" ht="15" customHeight="1">
      <c r="B2" s="46" t="n">
        <v>46204</v>
      </c>
      <c r="C2" s="47" t="n"/>
      <c r="D2" s="47" t="n"/>
      <c r="E2" s="47" t="n"/>
      <c r="F2" s="47" t="n"/>
      <c r="L2" s="36" t="n">
        <v>46266</v>
      </c>
      <c r="M2" s="5" t="n"/>
      <c r="N2" s="5" t="n"/>
      <c r="O2" s="5" t="n"/>
      <c r="P2" s="5" t="n"/>
    </row>
    <row r="3" ht="15" customHeight="1">
      <c r="B3" s="47" t="n"/>
      <c r="C3" s="47" t="n"/>
      <c r="D3" s="47" t="n"/>
      <c r="E3" s="47" t="n"/>
      <c r="F3" s="47" t="n"/>
      <c r="L3" s="5" t="n"/>
      <c r="M3" s="5" t="n"/>
      <c r="N3" s="5" t="n"/>
      <c r="O3" s="5" t="n"/>
      <c r="P3" s="5" t="n"/>
    </row>
    <row r="4" ht="15" customHeight="1">
      <c r="H4" s="50" t="inlineStr">
        <is>
          <t>TOTAL</t>
        </is>
      </c>
      <c r="I4" s="51">
        <f>SUM(F6:F300)</f>
        <v/>
      </c>
      <c r="R4" s="37" t="inlineStr">
        <is>
          <t>TOTAL</t>
        </is>
      </c>
      <c r="S4" s="38">
        <f>SUM(P6:P300)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37" t="inlineStr">
        <is>
          <t>ALBARANES</t>
        </is>
      </c>
      <c r="S5" s="38">
        <f>SUM(S9:S300)</f>
        <v/>
      </c>
    </row>
    <row r="6" ht="15" customHeight="1">
      <c r="B6" s="39" t="inlineStr">
        <is>
          <t>CANTALAPIEDRA CHIVIRITERO 2024</t>
        </is>
      </c>
      <c r="C6" s="40" t="n">
        <v>12</v>
      </c>
      <c r="D6" s="41" t="n">
        <v>16.9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CHAMPAGNE CHAVOST BLANC D'ASSEMBLAGE BRUT NATURE</t>
        </is>
      </c>
      <c r="M6" s="40" t="n">
        <v>12</v>
      </c>
      <c r="N6" s="41" t="n">
        <v>30.9</v>
      </c>
      <c r="O6" s="42" t="n">
        <v>0.08</v>
      </c>
      <c r="P6" s="43">
        <f>(M6*N6)-((M6*N6)*O6)</f>
        <v/>
      </c>
      <c r="R6" s="37" t="inlineStr">
        <is>
          <t>DIFERENCIA</t>
        </is>
      </c>
      <c r="S6" s="38">
        <f>S5-S4</f>
        <v/>
      </c>
    </row>
    <row r="7" ht="15" customHeight="1">
      <c r="L7" s="25" t="inlineStr">
        <is>
          <t>CANTALAPIEDRA CHIVIRITERO 2024</t>
        </is>
      </c>
      <c r="M7" s="44" t="n">
        <v>12</v>
      </c>
      <c r="N7" s="19" t="n">
        <v>16.9</v>
      </c>
      <c r="O7" s="45" t="n">
        <v>0.08</v>
      </c>
      <c r="P7" s="17">
        <f>(M7*N7)-((M7*N7)*O7)</f>
        <v/>
      </c>
    </row>
    <row r="8" ht="15" customHeight="1"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4" t="inlineStr">
        <is>
          <t>Nº ALBARÁN</t>
        </is>
      </c>
      <c r="S8" s="4" t="inlineStr">
        <is>
          <t>BASE</t>
        </is>
      </c>
      <c r="T8" s="4" t="inlineStr">
        <is>
          <t>% IVA</t>
        </is>
      </c>
    </row>
    <row r="9" ht="15" customHeight="1">
      <c r="H9" s="26" t="inlineStr">
        <is>
          <t>A262464</t>
        </is>
      </c>
      <c r="I9" s="17" t="n">
        <v>202.8</v>
      </c>
      <c r="J9" s="27" t="n">
        <v>0.21</v>
      </c>
      <c r="R9" s="26" t="inlineStr">
        <is>
          <t>A262984</t>
        </is>
      </c>
      <c r="S9" s="17" t="n">
        <v>527.72</v>
      </c>
      <c r="T9" s="27" t="n">
        <v>0.21</v>
      </c>
    </row>
    <row r="10" ht="15" customHeight="1"/>
    <row r="11" ht="15" customHeight="1"/>
  </sheetData>
  <mergeCells count="2">
    <mergeCell ref="B2:F3"/>
    <mergeCell ref="L2:P3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00A6A6A6"/>
    <outlinePr summaryBelow="1" summaryRight="1"/>
    <pageSetUpPr/>
  </sheetPr>
  <dimension ref="B2:AD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AGUA CON GAS SOLAN DE CABRAS VIDRIO RNR 33CL</t>
        </is>
      </c>
      <c r="C6" s="40" t="n">
        <v>41</v>
      </c>
      <c r="D6" s="41" t="n">
        <v>26.81</v>
      </c>
      <c r="E6" s="42" t="n">
        <v>0.4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TICKET VOLDIS 25/08 (detalle ilegible) base 10%</t>
        </is>
      </c>
      <c r="M6" s="40" t="n">
        <v>1</v>
      </c>
      <c r="N6" s="41" t="n">
        <v>4.38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AGUA CON GAS SOLAN DE CABRAS VIDRIO RNR 33CL</t>
        </is>
      </c>
      <c r="W6" s="40">
        <f>7+6+6+7+6+7</f>
        <v/>
      </c>
      <c r="X6" s="41" t="n">
        <v>26.81</v>
      </c>
      <c r="Y6" s="42" t="n">
        <v>0.4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AGUA SOLAN DE CABRAS VIDRIO RET 50CL 20U</t>
        </is>
      </c>
      <c r="C7" s="44" t="n">
        <v>49</v>
      </c>
      <c r="D7" s="19" t="n">
        <v>12.3</v>
      </c>
      <c r="E7" s="45" t="n">
        <v>0.4</v>
      </c>
      <c r="F7" s="17">
        <f>(C7*D7)-((C7*D7)*E7)</f>
        <v/>
      </c>
      <c r="L7" s="25" t="inlineStr">
        <is>
          <t>TICKET VOLDIS 25/08 (detalle ilegible) base 21%</t>
        </is>
      </c>
      <c r="M7" s="44" t="n">
        <v>1</v>
      </c>
      <c r="N7" s="19" t="n">
        <v>484.47</v>
      </c>
      <c r="O7" s="45" t="n">
        <v>0</v>
      </c>
      <c r="P7" s="17">
        <f>(M7*N7)-((M7*N7)*O7)</f>
        <v/>
      </c>
      <c r="V7" s="25" t="inlineStr">
        <is>
          <t>AGUA SOLAN DE CABRAS VIDRIO RET 50CL 20U</t>
        </is>
      </c>
      <c r="W7" s="44">
        <f>7+6+5+7+10+8</f>
        <v/>
      </c>
      <c r="X7" s="19" t="n">
        <v>12.3</v>
      </c>
      <c r="Y7" s="45" t="n">
        <v>0.4</v>
      </c>
      <c r="Z7" s="17">
        <f>(W7*X7)-((W7*X7)*Y7)</f>
        <v/>
      </c>
    </row>
    <row r="8" ht="15" customHeight="1">
      <c r="B8" s="39" t="inlineStr">
        <is>
          <t>ALHAMBRA RESERVA 1925 VIDRIO NR 33CL</t>
        </is>
      </c>
      <c r="C8" s="40" t="n">
        <v>14</v>
      </c>
      <c r="D8" s="41" t="n">
        <v>41.92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TICKET VOLDIS 19/08 (detalle ilegible) base 10%</t>
        </is>
      </c>
      <c r="M8" s="40" t="n">
        <v>1</v>
      </c>
      <c r="N8" s="41" t="n">
        <v>29.52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ALHAMBRA RESERVA 1925 VIDRIO NR 33CL</t>
        </is>
      </c>
      <c r="W8" s="40">
        <f>3+3+2+2</f>
        <v/>
      </c>
      <c r="X8" s="41" t="n">
        <v>41.92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AQUARADE ZERO LIMON VIDRIO RET 35CL</t>
        </is>
      </c>
      <c r="C9" s="44" t="n">
        <v>3</v>
      </c>
      <c r="D9" s="19" t="n">
        <v>33.54</v>
      </c>
      <c r="E9" s="45" t="n">
        <v>0</v>
      </c>
      <c r="F9" s="17">
        <f>(C9*D9)-((C9*D9)*E9)</f>
        <v/>
      </c>
      <c r="H9" s="26" t="inlineStr">
        <is>
          <t>26184</t>
        </is>
      </c>
      <c r="I9" s="17" t="n">
        <v>75.45</v>
      </c>
      <c r="J9" s="27" t="n">
        <v>0.1</v>
      </c>
      <c r="L9" s="25" t="inlineStr">
        <is>
          <t>TICKET VOLDIS 19/08 (detalle ilegible) base 21%</t>
        </is>
      </c>
      <c r="M9" s="44" t="n">
        <v>1</v>
      </c>
      <c r="N9" s="19" t="n">
        <v>262.5</v>
      </c>
      <c r="O9" s="45" t="n">
        <v>0</v>
      </c>
      <c r="P9" s="17">
        <f>(M9*N9)-((M9*N9)*O9)</f>
        <v/>
      </c>
      <c r="R9" s="26" t="inlineStr">
        <is>
          <t>AP26-? (25/08)</t>
        </is>
      </c>
      <c r="S9" s="17" t="n">
        <v>4.38</v>
      </c>
      <c r="T9" s="27" t="n">
        <v>0.1</v>
      </c>
      <c r="V9" s="25" t="inlineStr">
        <is>
          <t>AQUARADE ZERO LIMON VIDRIO RET 35CL</t>
        </is>
      </c>
      <c r="W9" s="44">
        <f>1+2+1</f>
        <v/>
      </c>
      <c r="X9" s="19" t="n">
        <v>33.84</v>
      </c>
      <c r="Y9" s="45" t="n">
        <v>0</v>
      </c>
      <c r="Z9" s="17">
        <f>(W9*X9)-((W9*X9)*Y9)</f>
        <v/>
      </c>
      <c r="AB9" s="26" t="inlineStr">
        <is>
          <t>AP26-030095</t>
        </is>
      </c>
      <c r="AC9" s="17" t="n">
        <v>164.26</v>
      </c>
      <c r="AD9" s="27" t="n">
        <v>0.1</v>
      </c>
    </row>
    <row r="10" ht="15" customHeight="1">
      <c r="B10" s="39" t="inlineStr">
        <is>
          <t>AQUARADE ZERO NARANJA VIDRIO RET 35CL</t>
        </is>
      </c>
      <c r="C10" s="40" t="n">
        <v>2</v>
      </c>
      <c r="D10" s="41" t="n">
        <v>33.84</v>
      </c>
      <c r="E10" s="42" t="n">
        <v>0</v>
      </c>
      <c r="F10" s="43">
        <f>(C10*D10)-((C10*D10)*E10)</f>
        <v/>
      </c>
      <c r="H10" s="26" t="inlineStr">
        <is>
          <t>26184</t>
        </is>
      </c>
      <c r="I10" s="17" t="n">
        <v>68.41</v>
      </c>
      <c r="J10" s="27" t="n">
        <v>0.21</v>
      </c>
      <c r="R10" s="26" t="inlineStr">
        <is>
          <t>AP26-? (25/08)</t>
        </is>
      </c>
      <c r="S10" s="17" t="n">
        <v>484.47</v>
      </c>
      <c r="T10" s="27" t="n">
        <v>0.21</v>
      </c>
      <c r="V10" s="39" t="inlineStr">
        <is>
          <t>AQUARADE ZERO NARANJA VIDRIO RET 35CL</t>
        </is>
      </c>
      <c r="W10" s="40" t="n">
        <v>1</v>
      </c>
      <c r="X10" s="41" t="n">
        <v>33.84</v>
      </c>
      <c r="Y10" s="42" t="n">
        <v>0</v>
      </c>
      <c r="Z10" s="43">
        <f>(W10*X10)-((W10*X10)*Y10)</f>
        <v/>
      </c>
      <c r="AB10" s="26" t="inlineStr">
        <is>
          <t>AP26-030095</t>
        </is>
      </c>
      <c r="AC10" s="17" t="n">
        <v>1085.51</v>
      </c>
      <c r="AD10" s="27" t="n">
        <v>0.21</v>
      </c>
    </row>
    <row r="11" ht="15" customHeight="1">
      <c r="B11" s="25" t="inlineStr">
        <is>
          <t>ENVASES MAHOU CAJA RET 33CL 24U</t>
        </is>
      </c>
      <c r="C11" s="44" t="n">
        <v>-6</v>
      </c>
      <c r="D11" s="19" t="n">
        <v>1</v>
      </c>
      <c r="E11" s="45" t="n">
        <v>0</v>
      </c>
      <c r="F11" s="17">
        <f>(C11*D11)-((C11*D11)*E11)</f>
        <v/>
      </c>
      <c r="H11" s="26" t="inlineStr">
        <is>
          <t>23129</t>
        </is>
      </c>
      <c r="I11" s="17" t="n">
        <v>156.75</v>
      </c>
      <c r="J11" s="27" t="n">
        <v>0.1</v>
      </c>
      <c r="R11" s="26" t="inlineStr">
        <is>
          <t>AP26-? (19/08)</t>
        </is>
      </c>
      <c r="S11" s="17" t="n">
        <v>29.52</v>
      </c>
      <c r="T11" s="27" t="n">
        <v>0.1</v>
      </c>
      <c r="V11" s="25" t="inlineStr">
        <is>
          <t>LIPTON ZERO LIMON VIDRIO RET 35CL CAJA 24U</t>
        </is>
      </c>
      <c r="W11" s="44">
        <f>1+2+1</f>
        <v/>
      </c>
      <c r="X11" s="19" t="n">
        <v>32.88</v>
      </c>
      <c r="Y11" s="45" t="n">
        <v>0</v>
      </c>
      <c r="Z11" s="17">
        <f>(W11*X11)-((W11*X11)*Y11)</f>
        <v/>
      </c>
      <c r="AB11" s="26" t="inlineStr">
        <is>
          <t>AP26-030104 (ABONO)</t>
        </is>
      </c>
      <c r="AC11" s="17" t="n">
        <v>-30</v>
      </c>
      <c r="AD11" s="27" t="n">
        <v>0.21</v>
      </c>
    </row>
    <row r="12">
      <c r="B12" s="39" t="inlineStr">
        <is>
          <t>ENVASES MAHOU VIDRIO RET 33CL</t>
        </is>
      </c>
      <c r="C12" s="40" t="n">
        <v>-144</v>
      </c>
      <c r="D12" s="41" t="n">
        <v>0.0708333333333333</v>
      </c>
      <c r="E12" s="42" t="n">
        <v>0</v>
      </c>
      <c r="F12" s="43">
        <f>(C12*D12)-((C12*D12)*E12)</f>
        <v/>
      </c>
      <c r="H12" s="26" t="inlineStr">
        <is>
          <t>23129</t>
        </is>
      </c>
      <c r="I12" s="17" t="n">
        <v>598.88</v>
      </c>
      <c r="J12" s="27" t="n">
        <v>0.21</v>
      </c>
      <c r="R12" s="26" t="inlineStr">
        <is>
          <t>AP26-? (19/08)</t>
        </is>
      </c>
      <c r="S12" s="17" t="n">
        <v>262.5</v>
      </c>
      <c r="T12" s="27" t="n">
        <v>0.21</v>
      </c>
      <c r="V12" s="39" t="inlineStr">
        <is>
          <t>MAHOU 5 ESTRELLAS VIDRIO RET 33CL CAJA 24U</t>
        </is>
      </c>
      <c r="W12" s="40">
        <f>4+3+4+3</f>
        <v/>
      </c>
      <c r="X12" s="41" t="n">
        <v>31.27</v>
      </c>
      <c r="Y12" s="42" t="n">
        <v>0</v>
      </c>
      <c r="Z12" s="43">
        <f>(W12*X12)-((W12*X12)*Y12)</f>
        <v/>
      </c>
      <c r="AB12" s="26" t="inlineStr">
        <is>
          <t>AP26-030112</t>
        </is>
      </c>
      <c r="AC12" s="17" t="n">
        <v>98.44</v>
      </c>
      <c r="AD12" s="27" t="n">
        <v>0.21</v>
      </c>
    </row>
    <row r="13">
      <c r="B13" s="25" t="inlineStr">
        <is>
          <t>ENVASES MSM TANQUETA RET 10L</t>
        </is>
      </c>
      <c r="C13" s="44" t="n">
        <v>3</v>
      </c>
      <c r="D13" s="19" t="n">
        <v>20</v>
      </c>
      <c r="E13" s="45" t="n">
        <v>0</v>
      </c>
      <c r="F13" s="17">
        <f>(C13*D13)-((C13*D13)*E13)</f>
        <v/>
      </c>
      <c r="H13" s="26" t="inlineStr">
        <is>
          <t>24440</t>
        </is>
      </c>
      <c r="I13" s="17" t="n">
        <v>184.27</v>
      </c>
      <c r="J13" s="27" t="n">
        <v>0.21</v>
      </c>
      <c r="V13" s="25" t="inlineStr">
        <is>
          <t>MAHOU SIN BARRIL RET 10L</t>
        </is>
      </c>
      <c r="W13" s="44">
        <f>5+2+3+3</f>
        <v/>
      </c>
      <c r="X13" s="19" t="n">
        <v>46.21</v>
      </c>
      <c r="Y13" s="45" t="n">
        <v>0</v>
      </c>
      <c r="Z13" s="17">
        <f>(W13*X13)-((W13*X13)*Y13)</f>
        <v/>
      </c>
      <c r="AB13" s="26" t="inlineStr">
        <is>
          <t>AP26-030577</t>
        </is>
      </c>
      <c r="AC13" s="17" t="n">
        <v>140.8</v>
      </c>
      <c r="AD13" s="27" t="n">
        <v>0.1</v>
      </c>
    </row>
    <row r="14">
      <c r="B14" s="39" t="inlineStr">
        <is>
          <t>ENVASES PEPSI KAS CAJA RET 35CL 24U</t>
        </is>
      </c>
      <c r="C14" s="40" t="n">
        <v>-8</v>
      </c>
      <c r="D14" s="41" t="n">
        <v>3.14</v>
      </c>
      <c r="E14" s="42" t="n">
        <v>0</v>
      </c>
      <c r="F14" s="43">
        <f>(C14*D14)-((C14*D14)*E14)</f>
        <v/>
      </c>
      <c r="H14" s="26" t="inlineStr">
        <is>
          <t>24355</t>
        </is>
      </c>
      <c r="I14" s="17" t="n">
        <v>180.34</v>
      </c>
      <c r="J14" s="27" t="n">
        <v>0.1</v>
      </c>
      <c r="V14" s="39" t="inlineStr">
        <is>
          <t>SCHWEPPES SELECTION GINGER BEER VIDRIO NR 20CL</t>
        </is>
      </c>
      <c r="W14" s="40">
        <f>1+1</f>
        <v/>
      </c>
      <c r="X14" s="41" t="n">
        <v>23.28</v>
      </c>
      <c r="Y14" s="42" t="n">
        <v>0</v>
      </c>
      <c r="Z14" s="43">
        <f>(W14*X14)-((W14*X14)*Y14)</f>
        <v/>
      </c>
      <c r="AB14" s="26" t="inlineStr">
        <is>
          <t>AP26-030577</t>
        </is>
      </c>
      <c r="AC14" s="17" t="n">
        <v>345.47</v>
      </c>
      <c r="AD14" s="27" t="n">
        <v>0.21</v>
      </c>
    </row>
    <row r="15">
      <c r="B15" s="25" t="inlineStr">
        <is>
          <t>ENVASES PEPSI KAS VIDRIO RET 35CL</t>
        </is>
      </c>
      <c r="C15" s="44">
        <f>-72-72-48</f>
        <v/>
      </c>
      <c r="D15" s="19" t="n">
        <v>0.14</v>
      </c>
      <c r="E15" s="45" t="n">
        <v>0</v>
      </c>
      <c r="F15" s="17">
        <f>(C15*D15)-((C15*D15)*E15)</f>
        <v/>
      </c>
      <c r="H15" s="26" t="inlineStr">
        <is>
          <t>24355</t>
        </is>
      </c>
      <c r="I15" s="17" t="n">
        <v>1256.82</v>
      </c>
      <c r="J15" s="27" t="n">
        <v>0.21</v>
      </c>
      <c r="V15" s="25" t="inlineStr">
        <is>
          <t>SCHWEPPES TONICA VIDRIO RET 20CL CAJA 28U</t>
        </is>
      </c>
      <c r="W15" s="44">
        <f>10+6+7</f>
        <v/>
      </c>
      <c r="X15" s="19" t="n">
        <v>31.92</v>
      </c>
      <c r="Y15" s="45" t="n">
        <v>0</v>
      </c>
      <c r="Z15" s="17">
        <f>(W15*X15)-((W15*X15)*Y15)</f>
        <v/>
      </c>
      <c r="AB15" s="26" t="inlineStr">
        <is>
          <t>AP26-030879</t>
        </is>
      </c>
      <c r="AC15" s="17" t="n">
        <v>133.42</v>
      </c>
      <c r="AD15" s="27" t="n">
        <v>0.1</v>
      </c>
    </row>
    <row r="16">
      <c r="B16" s="39" t="inlineStr">
        <is>
          <t>ENVASES SCH CAJA RET 20CL 28U</t>
        </is>
      </c>
      <c r="C16" s="40" t="n">
        <v>-4</v>
      </c>
      <c r="D16" s="41" t="n">
        <v>2.4</v>
      </c>
      <c r="E16" s="42" t="n">
        <v>0</v>
      </c>
      <c r="F16" s="43">
        <f>(C16*D16)-((C16*D16)*E16)</f>
        <v/>
      </c>
      <c r="H16" s="26" t="inlineStr">
        <is>
          <t>24723</t>
        </is>
      </c>
      <c r="I16" s="17" t="n">
        <v>26.52</v>
      </c>
      <c r="J16" s="27" t="n">
        <v>0.1</v>
      </c>
      <c r="V16" s="39" t="inlineStr">
        <is>
          <t>SEVEN UP ZERO AXL VIDRIO RET 20CL</t>
        </is>
      </c>
      <c r="W16" s="40">
        <f>5+4</f>
        <v/>
      </c>
      <c r="X16" s="41" t="n">
        <v>23.28</v>
      </c>
      <c r="Y16" s="42" t="n">
        <v>0</v>
      </c>
      <c r="Z16" s="43">
        <f>(W16*X16)-((W16*X16)*Y16)</f>
        <v/>
      </c>
      <c r="AB16" s="26" t="inlineStr">
        <is>
          <t>AP26-030879</t>
        </is>
      </c>
      <c r="AC16" s="17" t="n">
        <v>744.67</v>
      </c>
      <c r="AD16" s="27" t="n">
        <v>0.21</v>
      </c>
    </row>
    <row r="17">
      <c r="B17" s="25" t="inlineStr">
        <is>
          <t>ENVASES SCHWEPPES VIDRIO RET 20CL</t>
        </is>
      </c>
      <c r="C17" s="44">
        <f>-224+56-56+112</f>
        <v/>
      </c>
      <c r="D17" s="19">
        <f>0.1</f>
        <v/>
      </c>
      <c r="E17" s="45" t="n">
        <v>0</v>
      </c>
      <c r="F17" s="17">
        <f>(C17*D17)-((C17*D17)*E17)</f>
        <v/>
      </c>
      <c r="H17" s="26" t="inlineStr">
        <is>
          <t>24723</t>
        </is>
      </c>
      <c r="I17" s="17" t="n">
        <v>547.04</v>
      </c>
      <c r="J17" s="27" t="n">
        <v>0.21</v>
      </c>
      <c r="V17" s="25" t="inlineStr">
        <is>
          <t>SCHWEPPES LIMON LOW CAL VIDRIO RET 20CL</t>
        </is>
      </c>
      <c r="W17" s="44" t="n">
        <v>2</v>
      </c>
      <c r="X17" s="19" t="n">
        <v>26.04</v>
      </c>
      <c r="Y17" s="45" t="n">
        <v>0</v>
      </c>
      <c r="Z17" s="17">
        <f>(W17*X17)-((W17*X17)*Y17)</f>
        <v/>
      </c>
      <c r="AB17" s="26" t="inlineStr">
        <is>
          <t>AP26-031592</t>
        </is>
      </c>
      <c r="AC17" s="17" t="n">
        <v>194.17</v>
      </c>
      <c r="AD17" s="27" t="n">
        <v>0.1</v>
      </c>
    </row>
    <row r="18">
      <c r="B18" s="39" t="inlineStr">
        <is>
          <t>ENVASES SEVEN UP CAJA RET 20CL</t>
        </is>
      </c>
      <c r="C18" s="40" t="n">
        <v>0</v>
      </c>
      <c r="D18" s="41" t="n">
        <v>2.4</v>
      </c>
      <c r="E18" s="42" t="n">
        <v>0</v>
      </c>
      <c r="F18" s="43">
        <f>(C18*D18)-((C18*D18)*E18)</f>
        <v/>
      </c>
      <c r="H18" s="26" t="inlineStr">
        <is>
          <t>25203</t>
        </is>
      </c>
      <c r="I18" s="17" t="n">
        <v>148.18</v>
      </c>
      <c r="J18" s="27" t="n">
        <v>0.1</v>
      </c>
      <c r="V18" s="39" t="inlineStr">
        <is>
          <t>ENVASES SCHWEPPES VIDRIO RET 20CL</t>
        </is>
      </c>
      <c r="W18" s="40">
        <f>-56+-168+-84</f>
        <v/>
      </c>
      <c r="X18" s="41" t="n">
        <v>0.1</v>
      </c>
      <c r="Y18" s="42" t="n">
        <v>0</v>
      </c>
      <c r="Z18" s="43">
        <f>(W18*X18)-((W18*X18)*Y18)</f>
        <v/>
      </c>
      <c r="AB18" s="26" t="inlineStr">
        <is>
          <t>AP26-031592</t>
        </is>
      </c>
      <c r="AC18" s="17" t="n">
        <v>924.39</v>
      </c>
      <c r="AD18" s="27" t="n">
        <v>0.21</v>
      </c>
    </row>
    <row r="19">
      <c r="B19" s="25" t="inlineStr">
        <is>
          <t>ENVASES SEVEN UP VIDRIO RET 30CL</t>
        </is>
      </c>
      <c r="C19" s="44" t="n">
        <v>0</v>
      </c>
      <c r="D19" s="19" t="n">
        <v>0.1</v>
      </c>
      <c r="E19" s="45" t="n">
        <v>0</v>
      </c>
      <c r="F19" s="17">
        <f>(C19*D19)-((C19*D19)*E19)</f>
        <v/>
      </c>
      <c r="H19" s="26" t="inlineStr">
        <is>
          <t>25203</t>
        </is>
      </c>
      <c r="I19" s="17" t="n">
        <v>994.47</v>
      </c>
      <c r="J19" s="27" t="n">
        <v>0.21</v>
      </c>
      <c r="V19" s="25" t="inlineStr">
        <is>
          <t>ENVASES SCH CAJA RET 20CL 28U</t>
        </is>
      </c>
      <c r="W19" s="44">
        <f>-2+-6+-3</f>
        <v/>
      </c>
      <c r="X19" s="19" t="n">
        <v>2.4</v>
      </c>
      <c r="Y19" s="45" t="n">
        <v>0</v>
      </c>
      <c r="Z19" s="17">
        <f>(W19*X19)-((W19*X19)*Y19)</f>
        <v/>
      </c>
      <c r="AB19" s="26" t="inlineStr">
        <is>
          <t>AP26-032005</t>
        </is>
      </c>
      <c r="AC19" s="17" t="n">
        <v>251.41</v>
      </c>
      <c r="AD19" s="27" t="n">
        <v>0.1</v>
      </c>
    </row>
    <row r="20">
      <c r="B20" s="39" t="inlineStr">
        <is>
          <t>ENVASES SOLAN DE CABRAS CAJA RET 50CL</t>
        </is>
      </c>
      <c r="C20" s="40" t="n">
        <v>-7</v>
      </c>
      <c r="D20" s="41" t="n">
        <v>3.31</v>
      </c>
      <c r="E20" s="42" t="n">
        <v>0</v>
      </c>
      <c r="F20" s="43">
        <f>(C20*D20)-((C20*D20)*E20)</f>
        <v/>
      </c>
      <c r="H20" s="26" t="inlineStr">
        <is>
          <t>23640</t>
        </is>
      </c>
      <c r="I20" s="17" t="n">
        <v>202.48</v>
      </c>
      <c r="J20" s="27" t="n">
        <v>0.1</v>
      </c>
      <c r="V20" s="39" t="inlineStr">
        <is>
          <t>CARGO LOGISTICO (CLA)</t>
        </is>
      </c>
      <c r="W20" s="40">
        <f>1+1</f>
        <v/>
      </c>
      <c r="X20" s="41" t="n">
        <v>2.5</v>
      </c>
      <c r="Y20" s="42" t="n">
        <v>0</v>
      </c>
      <c r="Z20" s="43">
        <f>(W20*X20)-((W20*X20)*Y20)</f>
        <v/>
      </c>
      <c r="AB20" s="26" t="inlineStr">
        <is>
          <t>AP26-032005</t>
        </is>
      </c>
      <c r="AC20" s="17" t="n">
        <v>380.47</v>
      </c>
      <c r="AD20" s="27" t="n">
        <v>0.21</v>
      </c>
    </row>
    <row r="21">
      <c r="B21" s="25" t="inlineStr">
        <is>
          <t>ENVASES SOLAN DE CABRAS VIDRIO RET 50CL</t>
        </is>
      </c>
      <c r="C21" s="44" t="n">
        <v>-140</v>
      </c>
      <c r="D21" s="19" t="n">
        <v>0.24</v>
      </c>
      <c r="E21" s="45" t="n">
        <v>0</v>
      </c>
      <c r="F21" s="17">
        <f>(C21*D21)-((C21*D21)*E21)</f>
        <v/>
      </c>
      <c r="H21" s="26" t="inlineStr">
        <is>
          <t>23640</t>
        </is>
      </c>
      <c r="I21" s="17" t="n">
        <v>677.79</v>
      </c>
      <c r="J21" s="27" t="n">
        <v>0.21</v>
      </c>
      <c r="V21" s="25" t="inlineStr">
        <is>
          <t>ENVASES MSM BARRIL RET 50L (devolución)</t>
        </is>
      </c>
      <c r="W21" s="44" t="n">
        <v>-1</v>
      </c>
      <c r="X21" s="19" t="n">
        <v>30</v>
      </c>
      <c r="Y21" s="45" t="n">
        <v>0</v>
      </c>
      <c r="Z21" s="17">
        <f>(W21*X21)-((W21*X21)*Y21)</f>
        <v/>
      </c>
      <c r="AB21" s="26" t="inlineStr">
        <is>
          <t>AP26-032600</t>
        </is>
      </c>
      <c r="AC21" s="17" t="n">
        <v>144.78</v>
      </c>
      <c r="AD21" s="27" t="n">
        <v>0.1</v>
      </c>
    </row>
    <row r="22">
      <c r="B22" s="39" t="inlineStr">
        <is>
          <t>LA CASERA GASEOSA PET 1L CAJA 12U</t>
        </is>
      </c>
      <c r="C22" s="40" t="n">
        <v>3</v>
      </c>
      <c r="D22" s="41" t="n">
        <v>21.48</v>
      </c>
      <c r="E22" s="42" t="n">
        <v>0</v>
      </c>
      <c r="F22" s="43">
        <f>(C22*D22)-((C22*D22)*E22)</f>
        <v/>
      </c>
      <c r="H22" s="26" t="inlineStr">
        <is>
          <t>25801</t>
        </is>
      </c>
      <c r="I22" s="17" t="n">
        <v>171.64</v>
      </c>
      <c r="J22" s="27" t="n">
        <v>0.1</v>
      </c>
      <c r="V22" s="39" t="inlineStr">
        <is>
          <t>LA CASERA LIMON PET 1L CAJA 12U</t>
        </is>
      </c>
      <c r="W22" s="40">
        <f>4+3+3+2+2+3</f>
        <v/>
      </c>
      <c r="X22" s="41" t="n">
        <v>24.61</v>
      </c>
      <c r="Y22" s="42" t="n">
        <v>0</v>
      </c>
      <c r="Z22" s="43">
        <f>(W22*X22)-((W22*X22)*Y22)</f>
        <v/>
      </c>
      <c r="AB22" s="26" t="inlineStr">
        <is>
          <t>AP26-032600</t>
        </is>
      </c>
      <c r="AC22" s="17" t="n">
        <v>864.27</v>
      </c>
      <c r="AD22" s="27" t="n">
        <v>0.21</v>
      </c>
    </row>
    <row r="23">
      <c r="B23" s="25" t="inlineStr">
        <is>
          <t>LA CASERA LIMON PET 1L CAJA 12U</t>
        </is>
      </c>
      <c r="C23" s="44" t="n">
        <v>17</v>
      </c>
      <c r="D23" s="19" t="n">
        <v>24.61</v>
      </c>
      <c r="E23" s="45" t="n">
        <v>0</v>
      </c>
      <c r="F23" s="17">
        <f>(C23*D23)-((C23*D23)*E23)</f>
        <v/>
      </c>
      <c r="H23" s="26" t="inlineStr">
        <is>
          <t>25801</t>
        </is>
      </c>
      <c r="I23" s="17" t="n">
        <v>1257.42</v>
      </c>
      <c r="J23" s="27" t="n">
        <v>0.21</v>
      </c>
      <c r="V23" s="25" t="inlineStr">
        <is>
          <t>LA CASERA GASEOSA PET 50CL CAJA 12U</t>
        </is>
      </c>
      <c r="W23" s="44">
        <f>1+3+2+3</f>
        <v/>
      </c>
      <c r="X23" s="19" t="n">
        <v>15.96</v>
      </c>
      <c r="Y23" s="45" t="n">
        <v>0</v>
      </c>
      <c r="Z23" s="17">
        <f>(W23*X23)-((W23*X23)*Y23)</f>
        <v/>
      </c>
    </row>
    <row r="24">
      <c r="B24" s="39" t="inlineStr">
        <is>
          <t>LIPTON ZERO LIMON VIDRIO RET 35CL CAJA 24U</t>
        </is>
      </c>
      <c r="C24" s="40" t="n">
        <v>5</v>
      </c>
      <c r="D24" s="41" t="n">
        <v>32.88</v>
      </c>
      <c r="E24" s="42" t="n">
        <v>0</v>
      </c>
      <c r="F24" s="43">
        <f>(C24*D24)-((C24*D24)*E24)</f>
        <v/>
      </c>
      <c r="V24" s="39" t="inlineStr">
        <is>
          <t>MAHOU 0,0 TOSTADA VIDRIO RET 33CL</t>
        </is>
      </c>
      <c r="W24" s="40">
        <f>3+2+2+2</f>
        <v/>
      </c>
      <c r="X24" s="41" t="n">
        <v>38.3</v>
      </c>
      <c r="Y24" s="42" t="n">
        <v>0</v>
      </c>
      <c r="Z24" s="43">
        <f>(W24*X24)-((W24*X24)*Y24)</f>
        <v/>
      </c>
    </row>
    <row r="25">
      <c r="B25" s="25" t="inlineStr">
        <is>
          <t>MAHOU 0,0 TOSTADA VIDRIO RET 33CL</t>
        </is>
      </c>
      <c r="C25" s="44" t="n">
        <v>9</v>
      </c>
      <c r="D25" s="19" t="n">
        <v>38.3</v>
      </c>
      <c r="E25" s="45" t="n">
        <v>0</v>
      </c>
      <c r="F25" s="17">
        <f>(C25*D25)-((C25*D25)*E25)</f>
        <v/>
      </c>
      <c r="V25" s="25" t="inlineStr">
        <is>
          <t>MAHOU 5 ESTRELLAS SIN GLUTEN VIDRIO NR 33CL</t>
        </is>
      </c>
      <c r="W25" s="44">
        <f>3+4+4+3</f>
        <v/>
      </c>
      <c r="X25" s="19" t="n">
        <v>45.52</v>
      </c>
      <c r="Y25" s="45" t="n">
        <v>0</v>
      </c>
      <c r="Z25" s="17">
        <f>(W25*X25)-((W25*X25)*Y25)</f>
        <v/>
      </c>
    </row>
    <row r="26">
      <c r="B26" s="39" t="inlineStr">
        <is>
          <t>MAHOU 5 ESTRELLAS SIN GLUTEN VIDRIO NR 33CL</t>
        </is>
      </c>
      <c r="C26" s="40" t="n">
        <v>21</v>
      </c>
      <c r="D26" s="41" t="n">
        <v>45.52</v>
      </c>
      <c r="E26" s="42" t="n">
        <v>0</v>
      </c>
      <c r="F26" s="43">
        <f>(C26*D26)-((C26*D26)*E26)</f>
        <v/>
      </c>
      <c r="V26" s="39" t="inlineStr">
        <is>
          <t>SCHWEPPES GINGER ALE LOW CAL VIDRIO RET 20CL CAJA 28 U</t>
        </is>
      </c>
      <c r="W26" s="40" t="n">
        <v>1</v>
      </c>
      <c r="X26" s="41" t="n">
        <v>31.92</v>
      </c>
      <c r="Y26" s="42" t="n">
        <v>0</v>
      </c>
      <c r="Z26" s="43">
        <f>(W26*X26)-((W26*X26)*Y26)</f>
        <v/>
      </c>
    </row>
    <row r="27">
      <c r="B27" s="25" t="inlineStr">
        <is>
          <t>MAHOU 5 ESTRELLAS VIDRIO RET 33CL CAJA 24U</t>
        </is>
      </c>
      <c r="C27" s="44" t="n">
        <v>20</v>
      </c>
      <c r="D27" s="19" t="n">
        <v>31.26</v>
      </c>
      <c r="E27" s="45" t="n">
        <v>0</v>
      </c>
      <c r="F27" s="17">
        <f>(C27*D27)-((C27*D27)*E27)</f>
        <v/>
      </c>
      <c r="V27" s="25" t="inlineStr">
        <is>
          <t>CARGO LOGISTICO (CLA)</t>
        </is>
      </c>
      <c r="W27" s="44">
        <f>1+1+1+1</f>
        <v/>
      </c>
      <c r="X27" s="19" t="n">
        <v>3.5</v>
      </c>
      <c r="Y27" s="45" t="n">
        <v>0</v>
      </c>
      <c r="Z27" s="17">
        <f>(W27*X27)-((W27*X27)*Y27)</f>
        <v/>
      </c>
    </row>
    <row r="28">
      <c r="B28" s="39" t="inlineStr">
        <is>
          <t>MAHOU SIN BARRIL RET 10L</t>
        </is>
      </c>
      <c r="C28" s="40" t="n">
        <v>15</v>
      </c>
      <c r="D28" s="41" t="n">
        <v>46.21</v>
      </c>
      <c r="E28" s="42" t="n">
        <v>0</v>
      </c>
      <c r="F28" s="43">
        <f>(C28*D28)-((C28*D28)*E28)</f>
        <v/>
      </c>
      <c r="V28" s="39" t="inlineStr">
        <is>
          <t>ZUMO VIDA MELOCOTON VIDRIO NR 20CL</t>
        </is>
      </c>
      <c r="W28" s="40" t="n">
        <v>1</v>
      </c>
      <c r="X28" s="41" t="n">
        <v>29.91</v>
      </c>
      <c r="Y28" s="42" t="n">
        <v>0</v>
      </c>
      <c r="Z28" s="43">
        <f>(W28*X28)-((W28*X28)*Y28)</f>
        <v/>
      </c>
    </row>
    <row r="29">
      <c r="B29" s="25" t="inlineStr">
        <is>
          <t>SCHWEPPES LIMON LOW CAL VIDRIO RET 20CL</t>
        </is>
      </c>
      <c r="C29" s="44" t="n">
        <v>7</v>
      </c>
      <c r="D29" s="19" t="n">
        <v>26.04</v>
      </c>
      <c r="E29" s="45" t="n">
        <v>0</v>
      </c>
      <c r="F29" s="17">
        <f>(C29*D29)-((C29*D29)*E29)</f>
        <v/>
      </c>
      <c r="V29" s="25" t="inlineStr">
        <is>
          <t>ZUMO VIDA TOMATE VIDRIO NR 20CL</t>
        </is>
      </c>
      <c r="W29" s="44">
        <f>1+1</f>
        <v/>
      </c>
      <c r="X29" s="19" t="n">
        <v>29.91</v>
      </c>
      <c r="Y29" s="45" t="n">
        <v>0</v>
      </c>
      <c r="Z29" s="17">
        <f>(W29*X29)-((W29*X29)*Y29)</f>
        <v/>
      </c>
    </row>
    <row r="30">
      <c r="B30" s="39" t="inlineStr">
        <is>
          <t>SCHWEPPES NARANJA LOW CAL VIDRIO RET 20CL</t>
        </is>
      </c>
      <c r="C30" s="40" t="n">
        <v>1</v>
      </c>
      <c r="D30" s="41" t="n">
        <v>26.04</v>
      </c>
      <c r="E30" s="42" t="n">
        <v>0</v>
      </c>
      <c r="F30" s="43">
        <f>(C30*D30)-((C30*D30)*E30)</f>
        <v/>
      </c>
      <c r="V30" s="39" t="inlineStr">
        <is>
          <t>SCHWEPPES NARANJA LOW CAL VIDRIO RET 20CL</t>
        </is>
      </c>
      <c r="W30" s="40" t="n">
        <v>1</v>
      </c>
      <c r="X30" s="41" t="n">
        <v>26.04</v>
      </c>
      <c r="Y30" s="42" t="n">
        <v>0</v>
      </c>
      <c r="Z30" s="43">
        <f>(W30*X30)-((W30*X30)*Y30)</f>
        <v/>
      </c>
    </row>
    <row r="31">
      <c r="B31" s="25" t="inlineStr">
        <is>
          <t>SCHWEPPES TONICA VIDRIO RET 20CL CAJA 28U</t>
        </is>
      </c>
      <c r="C31" s="44" t="n">
        <v>31</v>
      </c>
      <c r="D31" s="19" t="n">
        <v>31.92</v>
      </c>
      <c r="E31" s="45" t="n">
        <v>0</v>
      </c>
      <c r="F31" s="17">
        <f>(C31*D31)-((C31*D31)*E31)</f>
        <v/>
      </c>
      <c r="V31" s="25" t="inlineStr">
        <is>
          <t>ENVASES SOLAN DE CABRAS VIDRIO RET 50CL</t>
        </is>
      </c>
      <c r="W31" s="44">
        <f>200+-140</f>
        <v/>
      </c>
      <c r="X31" s="19" t="n">
        <v>0.24</v>
      </c>
      <c r="Y31" s="45" t="n">
        <v>0</v>
      </c>
      <c r="Z31" s="17">
        <f>(W31*X31)-((W31*X31)*Y31)</f>
        <v/>
      </c>
    </row>
    <row r="32">
      <c r="B32" s="39" t="inlineStr">
        <is>
          <t>SEVEN UP ZERO AXL VIDRIO RET 20CL</t>
        </is>
      </c>
      <c r="C32" s="40" t="n">
        <v>12</v>
      </c>
      <c r="D32" s="41" t="n">
        <v>23.28</v>
      </c>
      <c r="E32" s="42" t="n">
        <v>0</v>
      </c>
      <c r="F32" s="43">
        <f>(C32*D32)-((C32*D32)*E32)</f>
        <v/>
      </c>
      <c r="V32" s="39" t="inlineStr">
        <is>
          <t>ENVASES SOLAN DE CABRAS CAJA RET 50CL</t>
        </is>
      </c>
      <c r="W32" s="40">
        <f>10+-7</f>
        <v/>
      </c>
      <c r="X32" s="41" t="n">
        <v>3.3067</v>
      </c>
      <c r="Y32" s="42" t="n">
        <v>0</v>
      </c>
      <c r="Z32" s="43">
        <f>(W32*X32)-((W32*X32)*Y32)</f>
        <v/>
      </c>
    </row>
    <row r="33">
      <c r="B33" s="25" t="inlineStr">
        <is>
          <t>ZUMO VIDA PIÑA VIDRIO NR 20CL</t>
        </is>
      </c>
      <c r="C33" s="44" t="n">
        <v>1</v>
      </c>
      <c r="D33" s="19" t="n">
        <v>29.91</v>
      </c>
      <c r="E33" s="45" t="n">
        <v>0</v>
      </c>
      <c r="F33" s="17">
        <f>(C33*D33)-((C33*D33)*E33)</f>
        <v/>
      </c>
      <c r="V33" s="25" t="inlineStr">
        <is>
          <t>ZUMO VIDA NARANJA VIDRIO NR 20CL</t>
        </is>
      </c>
      <c r="W33" s="44" t="n">
        <v>1</v>
      </c>
      <c r="X33" s="19" t="n">
        <v>29.91</v>
      </c>
      <c r="Y33" s="45" t="n">
        <v>0</v>
      </c>
      <c r="Z33" s="17">
        <f>(W33*X33)-((W33*X33)*Y33)</f>
        <v/>
      </c>
    </row>
    <row r="34">
      <c r="B34" s="39" t="inlineStr">
        <is>
          <t>ZUMO VIDA RARANJA VIDRIO NR 20CL</t>
        </is>
      </c>
      <c r="C34" s="40" t="n">
        <v>1</v>
      </c>
      <c r="D34" s="41" t="n">
        <v>29.91</v>
      </c>
      <c r="E34" s="42" t="n">
        <v>0</v>
      </c>
      <c r="F34" s="43">
        <f>(C34*D34)-((C34*D34)*E34)</f>
        <v/>
      </c>
      <c r="V34" s="39" t="inlineStr">
        <is>
          <t>ENVASES MAHOU VIDRIO RET 33CL</t>
        </is>
      </c>
      <c r="W34" s="40" t="n">
        <v>48</v>
      </c>
      <c r="X34" s="41" t="n">
        <v>0.0708</v>
      </c>
      <c r="Y34" s="42" t="n">
        <v>0</v>
      </c>
      <c r="Z34" s="43">
        <f>(W34*X34)-((W34*X34)*Y34)</f>
        <v/>
      </c>
    </row>
    <row r="35">
      <c r="B35" s="25" t="inlineStr">
        <is>
          <t>SCHWEPPES GINGER ALE LOW CAL VIDRIO RET 20CL CAJA 28 U</t>
        </is>
      </c>
      <c r="C35" s="44" t="n">
        <v>1</v>
      </c>
      <c r="D35" s="19" t="n">
        <v>31.92</v>
      </c>
      <c r="E35" s="45" t="n">
        <v>0</v>
      </c>
      <c r="F35" s="17">
        <f>(C35*D35)-((C35*D35)*E35)</f>
        <v/>
      </c>
      <c r="V35" s="25" t="inlineStr">
        <is>
          <t>ENVASES MAHOU CAJA RET 33CL 24U</t>
        </is>
      </c>
      <c r="W35" s="44" t="n">
        <v>2</v>
      </c>
      <c r="X35" s="19" t="n">
        <v>1</v>
      </c>
      <c r="Y35" s="45" t="n">
        <v>0</v>
      </c>
      <c r="Z35" s="17">
        <f>(W35*X35)-((W35*X35)*Y35)</f>
        <v/>
      </c>
    </row>
    <row r="36">
      <c r="B36" s="39" t="inlineStr">
        <is>
          <t>IMPORTES SUELTOS SIN DESCRIPCIÓN (venían así en la hoja)</t>
        </is>
      </c>
      <c r="C36" s="40" t="n">
        <v>1</v>
      </c>
      <c r="D36" s="41">
        <f>2.95+2.04+3.95+2.98-0.38+3.31+2.95+2.98</f>
        <v/>
      </c>
      <c r="E36" s="42" t="n">
        <v>0</v>
      </c>
      <c r="F36" s="43">
        <f>(C36*D36)-((C36*D36)*E36)</f>
        <v/>
      </c>
      <c r="V36" s="39" t="inlineStr">
        <is>
          <t>ENVASES MSM TANQUETA RET 10L</t>
        </is>
      </c>
      <c r="W36" s="40" t="n">
        <v>1</v>
      </c>
      <c r="X36" s="41" t="n">
        <v>20</v>
      </c>
      <c r="Y36" s="42" t="n">
        <v>0</v>
      </c>
      <c r="Z36" s="43">
        <f>(W36*X36)-((W36*X36)*Y36)</f>
        <v/>
      </c>
    </row>
    <row r="37">
      <c r="V37" s="25" t="inlineStr">
        <is>
          <t>ENVASES PEPSI KAS VIDRIO RET 35CL</t>
        </is>
      </c>
      <c r="W37" s="44" t="n">
        <v>-24</v>
      </c>
      <c r="X37" s="19" t="n">
        <v>0.14</v>
      </c>
      <c r="Y37" s="45" t="n">
        <v>0</v>
      </c>
      <c r="Z37" s="17">
        <f>(W37*X37)-((W37*X37)*Y37)</f>
        <v/>
      </c>
    </row>
    <row r="38">
      <c r="V38" s="39" t="inlineStr">
        <is>
          <t>ENVASES PEPSI KAS CAJA RET 35CL 24U</t>
        </is>
      </c>
      <c r="W38" s="40" t="n">
        <v>-1</v>
      </c>
      <c r="X38" s="41" t="n">
        <v>3.14</v>
      </c>
      <c r="Y38" s="42" t="n">
        <v>0</v>
      </c>
      <c r="Z38" s="43">
        <f>(W38*X38)-((W38*X38)*Y38)</f>
        <v/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2026-10-07T12:26:37Z</dcterms:created>
  <dcterms:modified xmlns:dcterms="http://purl.org/dc/terms/" xmlns:xsi="http://www.w3.org/2001/XMLSchema-instance" xsi:type="dcterms:W3CDTF">2026-10-07T12:26:37Z</dcterms:modified>
</cp:coreProperties>
</file>
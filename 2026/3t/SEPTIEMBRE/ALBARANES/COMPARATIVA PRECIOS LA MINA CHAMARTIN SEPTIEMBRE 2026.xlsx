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 PRECIOS" sheetId="1" state="visible" r:id="rId1"/>
  </sheets>
  <definedNames>
    <definedName name="_xlnm._FilterDatabase" localSheetId="0" hidden="1">'COMPARATIVA PRECIOS'!$A$55:$K$364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##&quot; €&quot;;[RED]\-#,##0.00##&quot; €&quot;"/>
    <numFmt numFmtId="165" formatCode="0.0%;[RED]\-0.0%;0.0%"/>
  </numFmts>
  <fonts count="10">
    <font>
      <name val="Calibri"/>
      <family val="2"/>
      <color theme="1"/>
      <sz val="11"/>
      <scheme val="minor"/>
    </font>
    <font>
      <name val="Cambria"/>
      <b val="1"/>
      <color rgb="001F3864"/>
      <sz val="14"/>
    </font>
    <font>
      <name val="Cambria"/>
      <i val="1"/>
      <color rgb="00595959"/>
      <sz val="11"/>
    </font>
    <font>
      <name val="Cambria"/>
      <b val="1"/>
      <sz val="11"/>
    </font>
    <font>
      <name val="Calibri"/>
      <sz val="11"/>
    </font>
    <font>
      <name val="Cambria"/>
      <b val="1"/>
      <color rgb="009C0006"/>
      <sz val="11"/>
    </font>
    <font>
      <name val="Cambria"/>
      <b val="1"/>
      <color rgb="00006100"/>
      <sz val="11"/>
    </font>
    <font>
      <name val="Cambria"/>
      <b val="1"/>
      <color rgb="00FFFFFF"/>
      <sz val="11"/>
    </font>
    <font>
      <name val="Cambria"/>
      <b val="1"/>
      <color rgb="009C5700"/>
      <sz val="11"/>
    </font>
    <font>
      <name val="Cambria"/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5" fillId="3" borderId="0" pivotButton="0" quotePrefix="0" xfId="0"/>
    <xf numFmtId="0" fontId="6" fillId="4" borderId="0" pivotButton="0" quotePrefix="0" xfId="0"/>
    <xf numFmtId="0" fontId="7" fillId="5" borderId="0" applyAlignment="1" pivotButton="0" quotePrefix="0" xfId="0">
      <alignment horizontal="center" vertical="center" wrapText="1"/>
    </xf>
    <xf numFmtId="164" fontId="4" fillId="0" borderId="0" pivotButton="0" quotePrefix="0" xfId="0"/>
    <xf numFmtId="165" fontId="5" fillId="0" borderId="0" pivotButton="0" quotePrefix="0" xfId="0"/>
    <xf numFmtId="165" fontId="6" fillId="0" borderId="0" pivotButton="0" quotePrefix="0" xfId="0"/>
    <xf numFmtId="0" fontId="8" fillId="6" borderId="0" pivotButton="0" quotePrefix="0" xfId="0"/>
    <xf numFmtId="165" fontId="8" fillId="0" borderId="0" pivotButton="0" quotePrefix="0" xfId="0"/>
    <xf numFmtId="0" fontId="9" fillId="0" borderId="0" pivotButton="0" quotePrefix="0" xfId="0"/>
    <xf numFmtId="165" fontId="4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dxfs count="6">
    <dxf>
      <font>
        <color rgb="009C0006"/>
      </font>
      <fill>
        <patternFill patternType="solid">
          <bgColor rgb="00FFC7CE"/>
        </patternFill>
      </fill>
    </dxf>
    <dxf>
      <font>
        <color rgb="00006100"/>
      </font>
      <fill>
        <patternFill patternType="solid">
          <bgColor rgb="00C6EFCE"/>
        </patternFill>
      </fill>
    </dxf>
    <dxf>
      <font>
        <color rgb="009C5700"/>
      </font>
      <fill>
        <patternFill patternType="solid">
          <bgColor rgb="00FFEB9C"/>
        </patternFill>
      </fill>
    </dxf>
    <dxf>
      <font>
        <color rgb="00808080"/>
      </font>
    </dxf>
    <dxf>
      <font>
        <color rgb="009C0006"/>
      </font>
    </dxf>
    <dxf>
      <font>
        <color rgb="000061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K364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13" customWidth="1" min="3" max="3"/>
    <col width="13" customWidth="1" min="4" max="4"/>
    <col width="14" customWidth="1" min="5" max="5"/>
    <col width="14" customWidth="1" min="6" max="6"/>
    <col width="19" customWidth="1" min="7" max="7"/>
    <col width="21" customWidth="1" min="8" max="8"/>
    <col width="14" customWidth="1" min="9" max="9"/>
    <col width="12" customWidth="1" min="10" max="10"/>
    <col width="60" customWidth="1" min="11" max="11"/>
  </cols>
  <sheetData>
    <row r="1" ht="17.35" customHeight="1">
      <c r="A1" s="1" t="inlineStr">
        <is>
          <t>COMPARATIVA DE PRECIOS JULIO · AGOSTO · SEPTIEMBRE 2026 — LA MINA DE CHAMARTÍN</t>
        </is>
      </c>
    </row>
    <row r="2" ht="45" customHeight="1">
      <c r="A2" s="2" t="inlineStr">
        <is>
          <t>Últimos 3 meses con albaranes. Precios netos por unidad de albarán (ya descontado el dto. de la línea). Precio del mes = el más alto si hubo varios (se indica en OBSERVACIONES y en el bloque de variaciones dentro del mes). "Último precio anterior" = agosto, o julio si en agosto no se compró. Diferencias de 1 céntimo por redondeo (menos del 0,5 %) cuentan como IGUAL.</t>
        </is>
      </c>
    </row>
    <row r="4">
      <c r="A4" s="3" t="inlineStr">
        <is>
          <t>RESUMEN SEPTIEMBRE</t>
        </is>
      </c>
      <c r="B4" s="4" t="n"/>
      <c r="C4" s="4" t="n"/>
    </row>
    <row r="5">
      <c r="A5" s="5" t="inlineStr">
        <is>
          <t>Productos que SUBEN en septiembre</t>
        </is>
      </c>
      <c r="C5" s="6">
        <f>COUNTIF($I$56:$I$364,"SUBE")</f>
        <v/>
      </c>
      <c r="E5" s="5" t="inlineStr">
        <is>
          <t>Productos con más de un precio dentro de septiembre</t>
        </is>
      </c>
      <c r="I5" s="7" t="n">
        <v>20</v>
      </c>
    </row>
    <row r="6">
      <c r="A6" s="5" t="inlineStr">
        <is>
          <t>Productos que BAJAN en septiembre</t>
        </is>
      </c>
      <c r="C6" s="6">
        <f>COUNTIF($I$56:$I$364,"BAJA")</f>
        <v/>
      </c>
    </row>
    <row r="7">
      <c r="A7" s="5" t="inlineStr">
        <is>
          <t>Productos con el MISMO precio</t>
        </is>
      </c>
      <c r="C7" s="6">
        <f>COUNTIF($I$56:$I$364,"IGUAL")</f>
        <v/>
      </c>
    </row>
    <row r="8">
      <c r="A8" s="5" t="inlineStr">
        <is>
          <t>Productos NUEVOS en septiembre (sin precio anterior)</t>
        </is>
      </c>
      <c r="C8" s="6">
        <f>COUNTIF($I$56:$I$364,"NUEVO")</f>
        <v/>
      </c>
    </row>
    <row r="9">
      <c r="A9" s="5" t="inlineStr">
        <is>
          <t>Productos sin compra en septiembre</t>
        </is>
      </c>
      <c r="C9" s="6">
        <f>COUNTIF($I$56:$I$364,"SIN COMPRA")</f>
        <v/>
      </c>
    </row>
    <row r="11">
      <c r="A11" s="8" t="inlineStr">
        <is>
          <t>SUBIDAS DE SEPTIEMBRE (de mayor a menor %)</t>
        </is>
      </c>
      <c r="G11" s="9" t="inlineStr">
        <is>
          <t>BAJADAS DE SEPTIEMBRE</t>
        </is>
      </c>
    </row>
    <row r="12">
      <c r="A12" s="10" t="inlineStr">
        <is>
          <t>PROVEEDOR</t>
        </is>
      </c>
      <c r="B12" s="10" t="inlineStr">
        <is>
          <t>PRODUCTO</t>
        </is>
      </c>
      <c r="C12" s="10" t="inlineStr">
        <is>
          <t>ANTES</t>
        </is>
      </c>
      <c r="D12" s="10" t="inlineStr">
        <is>
          <t>SEPTIEMBRE</t>
        </is>
      </c>
      <c r="E12" s="10" t="inlineStr">
        <is>
          <t>DIF. %</t>
        </is>
      </c>
      <c r="G12" s="10" t="inlineStr">
        <is>
          <t>PROVEEDOR</t>
        </is>
      </c>
      <c r="H12" s="10" t="inlineStr">
        <is>
          <t>PRODUCTO</t>
        </is>
      </c>
      <c r="I12" s="10" t="inlineStr">
        <is>
          <t>ANTES</t>
        </is>
      </c>
      <c r="J12" s="10" t="inlineStr">
        <is>
          <t>SEPTIEMBRE</t>
        </is>
      </c>
      <c r="K12" s="10" t="inlineStr">
        <is>
          <t>DIF. %</t>
        </is>
      </c>
    </row>
    <row r="13">
      <c r="A13" s="5">
        <f>A211</f>
        <v/>
      </c>
      <c r="B13" s="5">
        <f>B211</f>
        <v/>
      </c>
      <c r="C13" s="11">
        <f>F211</f>
        <v/>
      </c>
      <c r="D13" s="11">
        <f>E211</f>
        <v/>
      </c>
      <c r="E13" s="12">
        <f>H211</f>
        <v/>
      </c>
      <c r="G13" s="5">
        <f>A65</f>
        <v/>
      </c>
      <c r="H13" s="5">
        <f>B65</f>
        <v/>
      </c>
      <c r="I13" s="11">
        <f>F65</f>
        <v/>
      </c>
      <c r="J13" s="11">
        <f>E65</f>
        <v/>
      </c>
      <c r="K13" s="13">
        <f>H65</f>
        <v/>
      </c>
    </row>
    <row r="14">
      <c r="A14" s="5">
        <f>A182</f>
        <v/>
      </c>
      <c r="B14" s="5">
        <f>B182</f>
        <v/>
      </c>
      <c r="C14" s="11">
        <f>F182</f>
        <v/>
      </c>
      <c r="D14" s="11">
        <f>E182</f>
        <v/>
      </c>
      <c r="E14" s="12">
        <f>H182</f>
        <v/>
      </c>
      <c r="G14" s="5">
        <f>A198</f>
        <v/>
      </c>
      <c r="H14" s="5">
        <f>B198</f>
        <v/>
      </c>
      <c r="I14" s="11">
        <f>F198</f>
        <v/>
      </c>
      <c r="J14" s="11">
        <f>E198</f>
        <v/>
      </c>
      <c r="K14" s="13">
        <f>H198</f>
        <v/>
      </c>
    </row>
    <row r="15">
      <c r="A15" s="5">
        <f>A202</f>
        <v/>
      </c>
      <c r="B15" s="5">
        <f>B202</f>
        <v/>
      </c>
      <c r="C15" s="11">
        <f>F202</f>
        <v/>
      </c>
      <c r="D15" s="11">
        <f>E202</f>
        <v/>
      </c>
      <c r="E15" s="12">
        <f>H202</f>
        <v/>
      </c>
      <c r="G15" s="5">
        <f>A161</f>
        <v/>
      </c>
      <c r="H15" s="5">
        <f>B161</f>
        <v/>
      </c>
      <c r="I15" s="11">
        <f>F161</f>
        <v/>
      </c>
      <c r="J15" s="11">
        <f>E161</f>
        <v/>
      </c>
      <c r="K15" s="13">
        <f>H161</f>
        <v/>
      </c>
    </row>
    <row r="16">
      <c r="A16" s="5">
        <f>A262</f>
        <v/>
      </c>
      <c r="B16" s="5">
        <f>B262</f>
        <v/>
      </c>
      <c r="C16" s="11">
        <f>F262</f>
        <v/>
      </c>
      <c r="D16" s="11">
        <f>E262</f>
        <v/>
      </c>
      <c r="E16" s="12">
        <f>H262</f>
        <v/>
      </c>
      <c r="G16" s="5">
        <f>A237</f>
        <v/>
      </c>
      <c r="H16" s="5">
        <f>B237</f>
        <v/>
      </c>
      <c r="I16" s="11">
        <f>F237</f>
        <v/>
      </c>
      <c r="J16" s="11">
        <f>E237</f>
        <v/>
      </c>
      <c r="K16" s="13">
        <f>H237</f>
        <v/>
      </c>
    </row>
    <row r="17">
      <c r="A17" s="5">
        <f>A179</f>
        <v/>
      </c>
      <c r="B17" s="5">
        <f>B179</f>
        <v/>
      </c>
      <c r="C17" s="11">
        <f>F179</f>
        <v/>
      </c>
      <c r="D17" s="11">
        <f>E179</f>
        <v/>
      </c>
      <c r="E17" s="12">
        <f>H179</f>
        <v/>
      </c>
      <c r="G17" s="5">
        <f>A340</f>
        <v/>
      </c>
      <c r="H17" s="5">
        <f>B340</f>
        <v/>
      </c>
      <c r="I17" s="11">
        <f>F340</f>
        <v/>
      </c>
      <c r="J17" s="11">
        <f>E340</f>
        <v/>
      </c>
      <c r="K17" s="13">
        <f>H340</f>
        <v/>
      </c>
    </row>
    <row r="18">
      <c r="A18" s="5">
        <f>A110</f>
        <v/>
      </c>
      <c r="B18" s="5">
        <f>B110</f>
        <v/>
      </c>
      <c r="C18" s="11">
        <f>F110</f>
        <v/>
      </c>
      <c r="D18" s="11">
        <f>E110</f>
        <v/>
      </c>
      <c r="E18" s="12">
        <f>H110</f>
        <v/>
      </c>
      <c r="G18" s="5">
        <f>A233</f>
        <v/>
      </c>
      <c r="H18" s="5">
        <f>B233</f>
        <v/>
      </c>
      <c r="I18" s="11">
        <f>F233</f>
        <v/>
      </c>
      <c r="J18" s="11">
        <f>E233</f>
        <v/>
      </c>
      <c r="K18" s="13">
        <f>H233</f>
        <v/>
      </c>
    </row>
    <row r="19">
      <c r="A19" s="5">
        <f>A66</f>
        <v/>
      </c>
      <c r="B19" s="5">
        <f>B66</f>
        <v/>
      </c>
      <c r="C19" s="11">
        <f>F66</f>
        <v/>
      </c>
      <c r="D19" s="11">
        <f>E66</f>
        <v/>
      </c>
      <c r="E19" s="12">
        <f>H66</f>
        <v/>
      </c>
      <c r="G19" s="5">
        <f>A165</f>
        <v/>
      </c>
      <c r="H19" s="5">
        <f>B165</f>
        <v/>
      </c>
      <c r="I19" s="11">
        <f>F165</f>
        <v/>
      </c>
      <c r="J19" s="11">
        <f>E165</f>
        <v/>
      </c>
      <c r="K19" s="13">
        <f>H165</f>
        <v/>
      </c>
    </row>
    <row r="20">
      <c r="A20" s="5">
        <f>A200</f>
        <v/>
      </c>
      <c r="B20" s="5">
        <f>B200</f>
        <v/>
      </c>
      <c r="C20" s="11">
        <f>F200</f>
        <v/>
      </c>
      <c r="D20" s="11">
        <f>E200</f>
        <v/>
      </c>
      <c r="E20" s="12">
        <f>H200</f>
        <v/>
      </c>
    </row>
    <row r="21">
      <c r="A21" s="5">
        <f>A89</f>
        <v/>
      </c>
      <c r="B21" s="5">
        <f>B89</f>
        <v/>
      </c>
      <c r="C21" s="11">
        <f>F89</f>
        <v/>
      </c>
      <c r="D21" s="11">
        <f>E89</f>
        <v/>
      </c>
      <c r="E21" s="12">
        <f>H89</f>
        <v/>
      </c>
    </row>
    <row r="22">
      <c r="A22" s="5">
        <f>A325</f>
        <v/>
      </c>
      <c r="B22" s="5">
        <f>B325</f>
        <v/>
      </c>
      <c r="C22" s="11">
        <f>F325</f>
        <v/>
      </c>
      <c r="D22" s="11">
        <f>E325</f>
        <v/>
      </c>
      <c r="E22" s="12">
        <f>H325</f>
        <v/>
      </c>
    </row>
    <row r="23">
      <c r="A23" s="5">
        <f>A263</f>
        <v/>
      </c>
      <c r="B23" s="5">
        <f>B263</f>
        <v/>
      </c>
      <c r="C23" s="11">
        <f>F263</f>
        <v/>
      </c>
      <c r="D23" s="11">
        <f>E263</f>
        <v/>
      </c>
      <c r="E23" s="12">
        <f>H263</f>
        <v/>
      </c>
    </row>
    <row r="24">
      <c r="A24" s="5">
        <f>A112</f>
        <v/>
      </c>
      <c r="B24" s="5">
        <f>B112</f>
        <v/>
      </c>
      <c r="C24" s="11">
        <f>F112</f>
        <v/>
      </c>
      <c r="D24" s="11">
        <f>E112</f>
        <v/>
      </c>
      <c r="E24" s="12">
        <f>H112</f>
        <v/>
      </c>
    </row>
    <row r="25">
      <c r="A25" s="5">
        <f>A162</f>
        <v/>
      </c>
      <c r="B25" s="5">
        <f>B162</f>
        <v/>
      </c>
      <c r="C25" s="11">
        <f>F162</f>
        <v/>
      </c>
      <c r="D25" s="11">
        <f>E162</f>
        <v/>
      </c>
      <c r="E25" s="12">
        <f>H162</f>
        <v/>
      </c>
    </row>
    <row r="26">
      <c r="A26" s="5">
        <f>A164</f>
        <v/>
      </c>
      <c r="B26" s="5">
        <f>B164</f>
        <v/>
      </c>
      <c r="C26" s="11">
        <f>F164</f>
        <v/>
      </c>
      <c r="D26" s="11">
        <f>E164</f>
        <v/>
      </c>
      <c r="E26" s="12">
        <f>H164</f>
        <v/>
      </c>
    </row>
    <row r="27">
      <c r="A27" s="5">
        <f>A345</f>
        <v/>
      </c>
      <c r="B27" s="5">
        <f>B345</f>
        <v/>
      </c>
      <c r="C27" s="11">
        <f>F345</f>
        <v/>
      </c>
      <c r="D27" s="11">
        <f>E345</f>
        <v/>
      </c>
      <c r="E27" s="12">
        <f>H345</f>
        <v/>
      </c>
    </row>
    <row r="30">
      <c r="A30" s="14" t="inlineStr">
        <is>
          <t>VARIACIONES DENTRO DE SEPTIEMBRE (mismo producto con más de un precio en el mes, de mayor a menor diferencia)</t>
        </is>
      </c>
    </row>
    <row r="31">
      <c r="A31" s="10" t="inlineStr">
        <is>
          <t>PROVEEDOR</t>
        </is>
      </c>
      <c r="B31" s="10" t="inlineStr">
        <is>
          <t>PRODUCTO</t>
        </is>
      </c>
      <c r="C31" s="10" t="inlineStr">
        <is>
          <t>PRECIO MÍN.</t>
        </is>
      </c>
      <c r="D31" s="10" t="inlineStr">
        <is>
          <t>PRECIO MÁX.</t>
        </is>
      </c>
      <c r="E31" s="10" t="inlineStr">
        <is>
          <t>DIF. %</t>
        </is>
      </c>
      <c r="G31" s="10" t="inlineStr">
        <is>
          <t>PRECIOS POR FECHA DE ALBARÁN</t>
        </is>
      </c>
    </row>
    <row r="32">
      <c r="A32" s="5" t="inlineStr">
        <is>
          <t>MAKRO</t>
        </is>
      </c>
      <c r="B32" s="5" t="inlineStr">
        <is>
          <t>TOMATE C-GG MAD2/3 BJ</t>
        </is>
      </c>
      <c r="C32" s="11" t="n">
        <v>3.51</v>
      </c>
      <c r="D32" s="11" t="n">
        <v>6.59</v>
      </c>
      <c r="E32" s="15">
        <f>IF(C32=0,"",D32/C32-1)</f>
        <v/>
      </c>
      <c r="G32" s="5" t="inlineStr">
        <is>
          <t>3,51 € (03/09) → 5,12 € (09/09) → 6,59 € (18/09, 21/09)</t>
        </is>
      </c>
    </row>
    <row r="33">
      <c r="A33" s="5" t="inlineStr">
        <is>
          <t>MAKRO</t>
        </is>
      </c>
      <c r="B33" s="5" t="inlineStr">
        <is>
          <t>PIMIENTO LAMYO VDE ARO CJ 4,5/5KG</t>
        </is>
      </c>
      <c r="C33" s="11" t="n">
        <v>10.07</v>
      </c>
      <c r="D33" s="11" t="n">
        <v>14.73</v>
      </c>
      <c r="E33" s="15">
        <f>IF(C33=0,"",D33/C33-1)</f>
        <v/>
      </c>
      <c r="G33" s="5" t="inlineStr">
        <is>
          <t>10,07 € (03/09, 05/09, 07/09) → 10,33 € (09/09) → 14,29 € (12/09, 17/09, 21/09) → 14,73 € (23/09, 28/09, 29/09)</t>
        </is>
      </c>
    </row>
    <row r="34">
      <c r="A34" s="5" t="inlineStr">
        <is>
          <t>MAKRO</t>
        </is>
      </c>
      <c r="B34" s="5" t="inlineStr">
        <is>
          <t>CEBOLLA GUISOS MC SC 5KG</t>
        </is>
      </c>
      <c r="C34" s="11" t="n">
        <v>4.13</v>
      </c>
      <c r="D34" s="11" t="n">
        <v>5.67</v>
      </c>
      <c r="E34" s="15">
        <f>IF(C34=0,"",D34/C34-1)</f>
        <v/>
      </c>
      <c r="G34" s="5" t="inlineStr">
        <is>
          <t>4,13 € (03/09) → 4,72 € (05/09, 07/09, 09/09, 12/09, 14/09, 16/09, 17/09, 18/09, 21/09, 22/09) → 5,67 € (23/09) → 4,83 € (28/09, 29/09)</t>
        </is>
      </c>
    </row>
    <row r="35">
      <c r="A35" s="5" t="inlineStr">
        <is>
          <t>MAKRO</t>
        </is>
      </c>
      <c r="B35" s="5" t="inlineStr">
        <is>
          <t>CEBOLLINO MC MJ 125G</t>
        </is>
      </c>
      <c r="C35" s="11" t="n">
        <v>2.81</v>
      </c>
      <c r="D35" s="11" t="n">
        <v>3.73</v>
      </c>
      <c r="E35" s="15">
        <f>IF(C35=0,"",D35/C35-1)</f>
        <v/>
      </c>
      <c r="G35" s="5" t="inlineStr">
        <is>
          <t>2,81 € (03/09, 05/09, 07/09, 09/09) → 3,62 € (12/09, 14/09, 16/09, 17/09, 18/09, 23/09, 24/09) → 3,73 € (28/09, 29/09)</t>
        </is>
      </c>
    </row>
    <row r="36">
      <c r="A36" s="5" t="inlineStr">
        <is>
          <t>MAKRO</t>
        </is>
      </c>
      <c r="B36" s="5" t="inlineStr">
        <is>
          <t>NARANJA ZUMO MC SC 5KG</t>
        </is>
      </c>
      <c r="C36" s="11" t="n">
        <v>7.55</v>
      </c>
      <c r="D36" s="11" t="n">
        <v>9.52</v>
      </c>
      <c r="E36" s="15">
        <f>IF(C36=0,"",D36/C36-1)</f>
        <v/>
      </c>
      <c r="G36" s="5" t="inlineStr">
        <is>
          <t>8,13 € (05/09, 21/09) → 9,52 € (09/09, 14/09, 17/09) → 7,55 € (24/09, 28/09)</t>
        </is>
      </c>
    </row>
    <row r="37">
      <c r="A37" s="5" t="inlineStr">
        <is>
          <t>MAKRO</t>
        </is>
      </c>
      <c r="B37" s="5" t="inlineStr">
        <is>
          <t>LIMON 2A CJ 9KG</t>
        </is>
      </c>
      <c r="C37" s="11" t="n">
        <v>12.31</v>
      </c>
      <c r="D37" s="11" t="n">
        <v>15.24</v>
      </c>
      <c r="E37" s="15">
        <f>IF(C37=0,"",D37/C37-1)</f>
        <v/>
      </c>
      <c r="G37" s="5" t="inlineStr">
        <is>
          <t>12,97 € (03/09) → 12,31 € (05/09, 07/09) → 15,24 € (12/09, 14/09, 16/09) → 13,41 € (18/09, 21/09, 23/09) → 13,70 € (28/09)</t>
        </is>
      </c>
    </row>
    <row r="38">
      <c r="A38" s="5" t="inlineStr">
        <is>
          <t>CRUSTAPESCA</t>
        </is>
      </c>
      <c r="B38" s="5" t="inlineStr">
        <is>
          <t>VENTRESCA</t>
        </is>
      </c>
      <c r="C38" s="11" t="n">
        <v>52</v>
      </c>
      <c r="D38" s="11" t="n">
        <v>62</v>
      </c>
      <c r="E38" s="15">
        <f>IF(C38=0,"",D38/C38-1)</f>
        <v/>
      </c>
      <c r="G38" s="5" t="inlineStr">
        <is>
          <t>52,00 € (04/09, 15/09) → 62,00 € (24/09)</t>
        </is>
      </c>
    </row>
    <row r="39">
      <c r="A39" s="5" t="inlineStr">
        <is>
          <t>MAKRO</t>
        </is>
      </c>
      <c r="B39" s="5" t="inlineStr">
        <is>
          <t>PIMIENTO LAMYO RJ ARO CJ 4,5/5KG</t>
        </is>
      </c>
      <c r="C39" s="11" t="n">
        <v>11.54</v>
      </c>
      <c r="D39" s="11" t="n">
        <v>13.3</v>
      </c>
      <c r="E39" s="15">
        <f>IF(C39=0,"",D39/C39-1)</f>
        <v/>
      </c>
      <c r="G39" s="5" t="inlineStr">
        <is>
          <t>13,30 € (03/09, 05/09, 07/09) → 12,75 € (12/09, 14/09) → 12,86 € (16/09, 18/09, 21/09) → 11,54 € (23/09, 28/09, 29/09)</t>
        </is>
      </c>
    </row>
    <row r="40">
      <c r="A40" s="5" t="inlineStr">
        <is>
          <t>PESCARUM</t>
        </is>
      </c>
      <c r="B40" s="5" t="inlineStr">
        <is>
          <t>NAVAJA</t>
        </is>
      </c>
      <c r="C40" s="11" t="n">
        <v>22</v>
      </c>
      <c r="D40" s="11" t="n">
        <v>25</v>
      </c>
      <c r="E40" s="15">
        <f>IF(C40=0,"",D40/C40-1)</f>
        <v/>
      </c>
      <c r="G40" s="5" t="inlineStr">
        <is>
          <t>25,00 € (01/09, 03/09, 11/09) → 23,00 € (08/09) → 24,00 € (12/09, 18/09) → 22,00 € (17/09) → 23,50 € (19/09, 23/09, 29/09)</t>
        </is>
      </c>
    </row>
    <row r="41">
      <c r="A41" s="5" t="inlineStr">
        <is>
          <t>MAKRO</t>
        </is>
      </c>
      <c r="B41" s="5" t="inlineStr">
        <is>
          <t>ZANAHORIA MC 5KG</t>
        </is>
      </c>
      <c r="C41" s="11" t="n">
        <v>5.25</v>
      </c>
      <c r="D41" s="11" t="n">
        <v>5.82</v>
      </c>
      <c r="E41" s="15">
        <f>IF(C41=0,"",D41/C41-1)</f>
        <v/>
      </c>
      <c r="G41" s="5" t="inlineStr">
        <is>
          <t>5,49 € (03/09, 05/09) → 5,82 € (12/09, 14/09, 18/09) → 5,25 € (23/09, 28/09)</t>
        </is>
      </c>
    </row>
    <row r="42">
      <c r="A42" s="5" t="inlineStr">
        <is>
          <t>CRUSTAPESCA</t>
        </is>
      </c>
      <c r="B42" s="5" t="inlineStr">
        <is>
          <t>COLA G</t>
        </is>
      </c>
      <c r="C42" s="11" t="n">
        <v>20</v>
      </c>
      <c r="D42" s="11" t="n">
        <v>22</v>
      </c>
      <c r="E42" s="15">
        <f>IF(C42=0,"",D42/C42-1)</f>
        <v/>
      </c>
      <c r="G42" s="5" t="inlineStr">
        <is>
          <t>20,00 € (17/09) → 22,00 € (24/09)</t>
        </is>
      </c>
    </row>
    <row r="43">
      <c r="A43" s="5" t="inlineStr">
        <is>
          <t>JOSE ROMERO PLAZA</t>
        </is>
      </c>
      <c r="B43" s="5" t="inlineStr">
        <is>
          <t>BOQUERON GORDO</t>
        </is>
      </c>
      <c r="C43" s="11" t="n">
        <v>10</v>
      </c>
      <c r="D43" s="11" t="n">
        <v>11</v>
      </c>
      <c r="E43" s="15">
        <f>IF(C43=0,"",D43/C43-1)</f>
        <v/>
      </c>
      <c r="G43" s="5" t="inlineStr">
        <is>
          <t>10,00 € (09/09, 11/09, 12/09, 17/09, 19/09, 22/09, 23/09, 25/09) → 11,00 € (26/09)</t>
        </is>
      </c>
    </row>
    <row r="44">
      <c r="A44" s="5" t="inlineStr">
        <is>
          <t>AGMASFOOD</t>
        </is>
      </c>
      <c r="B44" s="5" t="inlineStr">
        <is>
          <t>GAMBA ROJA ALISTADA 15-20P</t>
        </is>
      </c>
      <c r="C44" s="11" t="n">
        <v>89</v>
      </c>
      <c r="D44" s="11" t="n">
        <v>95</v>
      </c>
      <c r="E44" s="15">
        <f>IF(C44=0,"",D44/C44-1)</f>
        <v/>
      </c>
      <c r="G44" s="5" t="inlineStr">
        <is>
          <t>89,00 € (03/09, 05/09, 11/09, 14/09) → 95,00 € (22/09, 26/09, 28/09)</t>
        </is>
      </c>
    </row>
    <row r="45">
      <c r="A45" s="5" t="inlineStr">
        <is>
          <t>MAKRO</t>
        </is>
      </c>
      <c r="B45" s="5" t="inlineStr">
        <is>
          <t>SAL MALDON 1.4 KG</t>
        </is>
      </c>
      <c r="C45" s="11" t="n">
        <v>22.19</v>
      </c>
      <c r="D45" s="11" t="n">
        <v>23.64</v>
      </c>
      <c r="E45" s="15">
        <f>IF(C45=0,"",D45/C45-1)</f>
        <v/>
      </c>
      <c r="G45" s="5" t="inlineStr">
        <is>
          <t>23,64 € (07/09, 21/09) → 22,19 € (28/09)</t>
        </is>
      </c>
    </row>
    <row r="46">
      <c r="A46" s="5" t="inlineStr">
        <is>
          <t>MAKRO</t>
        </is>
      </c>
      <c r="B46" s="5" t="inlineStr">
        <is>
          <t>LIMON MC C-3/4 CJ 6KG</t>
        </is>
      </c>
      <c r="C46" s="11" t="n">
        <v>10.73</v>
      </c>
      <c r="D46" s="11" t="n">
        <v>11.43</v>
      </c>
      <c r="E46" s="15">
        <f>IF(C46=0,"",D46/C46-1)</f>
        <v/>
      </c>
      <c r="G46" s="5" t="inlineStr">
        <is>
          <t>11,43 € (05/09, 09/09) → 11,17 € (18/09) → 10,73 € (29/09)</t>
        </is>
      </c>
    </row>
    <row r="47">
      <c r="A47" s="5" t="inlineStr">
        <is>
          <t>MAKRO</t>
        </is>
      </c>
      <c r="B47" s="5" t="inlineStr">
        <is>
          <t>AJO BLANCO PELADO MC BL 1KG</t>
        </is>
      </c>
      <c r="C47" s="11" t="n">
        <v>5.07</v>
      </c>
      <c r="D47" s="11" t="n">
        <v>5.39</v>
      </c>
      <c r="E47" s="15">
        <f>IF(C47=0,"",D47/C47-1)</f>
        <v/>
      </c>
      <c r="G47" s="5" t="inlineStr">
        <is>
          <t>5,39 € (05/09, 07/09, 12/09, 14/09, 16/09, 23/09) → 5,07 € (28/09)</t>
        </is>
      </c>
    </row>
    <row r="48">
      <c r="A48" s="5" t="inlineStr">
        <is>
          <t>MAGOASE</t>
        </is>
      </c>
      <c r="B48" s="5" t="inlineStr">
        <is>
          <t>BID. PET A.GIRASOL ALTO OLEICO</t>
        </is>
      </c>
      <c r="C48" s="11" t="n">
        <v>44.95</v>
      </c>
      <c r="D48" s="11" t="n">
        <v>46.95</v>
      </c>
      <c r="E48" s="15">
        <f>IF(C48=0,"",D48/C48-1)</f>
        <v/>
      </c>
      <c r="G48" s="5" t="inlineStr">
        <is>
          <t>44,95 € (01/09, 02/09, 06/09, 13/09) → 46,95 € (16/09)</t>
        </is>
      </c>
    </row>
    <row r="49">
      <c r="A49" s="5" t="inlineStr">
        <is>
          <t>MAKRO</t>
        </is>
      </c>
      <c r="B49" s="5" t="inlineStr">
        <is>
          <t>AGUACATE PREMADURO MC C-12/16 4KG</t>
        </is>
      </c>
      <c r="C49" s="11" t="n">
        <v>21.77</v>
      </c>
      <c r="D49" s="11" t="n">
        <v>22.72</v>
      </c>
      <c r="E49" s="15">
        <f>IF(C49=0,"",D49/C49-1)</f>
        <v/>
      </c>
      <c r="G49" s="5" t="inlineStr">
        <is>
          <t>21,77 € (03/09) → 22,72 € (09/09, 14/09, 18/09, 24/09)</t>
        </is>
      </c>
    </row>
    <row r="50">
      <c r="A50" s="5" t="inlineStr">
        <is>
          <t>CARNICAS MEAT</t>
        </is>
      </c>
      <c r="B50" s="5" t="inlineStr">
        <is>
          <t>SOLOMILLO VACA</t>
        </is>
      </c>
      <c r="C50" s="11" t="n">
        <v>34.55</v>
      </c>
      <c r="D50" s="11" t="n">
        <v>35</v>
      </c>
      <c r="E50" s="15">
        <f>IF(C50=0,"",D50/C50-1)</f>
        <v/>
      </c>
      <c r="G50" s="5" t="inlineStr">
        <is>
          <t>35,00 € (05/09, 15/09) → 34,55 € (30/09)</t>
        </is>
      </c>
    </row>
    <row r="51">
      <c r="A51" s="5" t="inlineStr">
        <is>
          <t>MARTIN CANEDA</t>
        </is>
      </c>
      <c r="B51" s="5" t="inlineStr">
        <is>
          <t>CAMARON</t>
        </is>
      </c>
      <c r="C51" s="11" t="n">
        <v>97</v>
      </c>
      <c r="D51" s="11" t="n">
        <v>98</v>
      </c>
      <c r="E51" s="15">
        <f>IF(C51=0,"",D51/C51-1)</f>
        <v/>
      </c>
      <c r="G51" s="5" t="inlineStr">
        <is>
          <t>97,00 € (04/09, 09/09) → 98,00 € (19/09, 23/09, 25/09, 29/09)</t>
        </is>
      </c>
    </row>
    <row r="54">
      <c r="A54" s="16" t="inlineStr">
        <is>
          <t>DETALLE POR PRODUCTO</t>
        </is>
      </c>
    </row>
    <row r="55" ht="30" customHeight="1">
      <c r="A55" s="10" t="inlineStr">
        <is>
          <t>PROVEEDOR</t>
        </is>
      </c>
      <c r="B55" s="10" t="inlineStr">
        <is>
          <t>PRODUCTO</t>
        </is>
      </c>
      <c r="C55" s="10" t="inlineStr">
        <is>
          <t>PRECIO JULIO</t>
        </is>
      </c>
      <c r="D55" s="10" t="inlineStr">
        <is>
          <t>PRECIO AGOSTO</t>
        </is>
      </c>
      <c r="E55" s="10" t="inlineStr">
        <is>
          <t>PRECIO SEPTIEMBRE</t>
        </is>
      </c>
      <c r="F55" s="10" t="inlineStr">
        <is>
          <t>ÚLTIMO PRECIO ANTERIOR</t>
        </is>
      </c>
      <c r="G55" s="10" t="inlineStr">
        <is>
          <t>DIF. € SEPTIEMBRE</t>
        </is>
      </c>
      <c r="H55" s="10" t="inlineStr">
        <is>
          <t>DIF. % SEPTIEMBRE</t>
        </is>
      </c>
      <c r="I55" s="10" t="inlineStr">
        <is>
          <t>ESTADO SEPTIEMBRE</t>
        </is>
      </c>
      <c r="J55" s="10" t="inlineStr">
        <is>
          <t>VAR. % AGOSTO vs JULIO</t>
        </is>
      </c>
      <c r="K55" s="10" t="inlineStr">
        <is>
          <t>OBSERVACIONES</t>
        </is>
      </c>
    </row>
    <row r="56">
      <c r="A56" s="5" t="inlineStr">
        <is>
          <t>ACEITE Y SAL</t>
        </is>
      </c>
      <c r="B56" s="5" t="inlineStr">
        <is>
          <t>ACEITUNA MANZANILLA (200) (1CUX4,3KG)</t>
        </is>
      </c>
      <c r="C56" s="11" t="n"/>
      <c r="D56" s="11" t="n"/>
      <c r="E56" s="11" t="n">
        <v>16.76</v>
      </c>
      <c r="F56" s="11">
        <f>IF(D56&lt;&gt;"",D56,IF(C56&lt;&gt;"",C56,""))</f>
        <v/>
      </c>
      <c r="G56" s="11">
        <f>IF(AND(E56&lt;&gt;"",F56&lt;&gt;""),E56-F56,"")</f>
        <v/>
      </c>
      <c r="H56" s="17">
        <f>IF(G56="","",IF(F56=0,"",G56/F56))</f>
        <v/>
      </c>
      <c r="I56" s="18">
        <f>IF(E56="","SIN COMPRA",IF(F56="","NUEVO",IF(AND(ABS(G56)&lt;0.015,ABS(G56)&lt;F56*0.005),"IGUAL",IF(G56&gt;0,"SUBE","BAJA"))))</f>
        <v/>
      </c>
      <c r="J56" s="17">
        <f>IF(AND(C56&lt;&gt;"",D56&lt;&gt;""),IF(C56=0,"",D56/C56-1),"")</f>
        <v/>
      </c>
      <c r="K56" s="5" t="inlineStr">
        <is>
          <t>Precio neto: tarifa 17,10 € con 2 % de dto</t>
        </is>
      </c>
    </row>
    <row r="57">
      <c r="A57" s="5" t="inlineStr">
        <is>
          <t>ACEITE Y SAL</t>
        </is>
      </c>
      <c r="B57" s="5" t="inlineStr">
        <is>
          <t>ACEITUNA RELL. ANCHOA 160/180 (1BOTEX2K)</t>
        </is>
      </c>
      <c r="C57" s="11" t="n"/>
      <c r="D57" s="11" t="n"/>
      <c r="E57" s="11" t="n">
        <v>15.39</v>
      </c>
      <c r="F57" s="11">
        <f>IF(D57&lt;&gt;"",D57,IF(C57&lt;&gt;"",C57,""))</f>
        <v/>
      </c>
      <c r="G57" s="11">
        <f>IF(AND(E57&lt;&gt;"",F57&lt;&gt;""),E57-F57,"")</f>
        <v/>
      </c>
      <c r="H57" s="17">
        <f>IF(G57="","",IF(F57=0,"",G57/F57))</f>
        <v/>
      </c>
      <c r="I57" s="18">
        <f>IF(E57="","SIN COMPRA",IF(F57="","NUEVO",IF(AND(ABS(G57)&lt;0.015,ABS(G57)&lt;F57*0.005),"IGUAL",IF(G57&gt;0,"SUBE","BAJA"))))</f>
        <v/>
      </c>
      <c r="J57" s="17">
        <f>IF(AND(C57&lt;&gt;"",D57&lt;&gt;""),IF(C57=0,"",D57/C57-1),"")</f>
        <v/>
      </c>
      <c r="K57" s="5" t="inlineStr">
        <is>
          <t>Precio neto: tarifa 15,70 € con 2 % de dto</t>
        </is>
      </c>
    </row>
    <row r="58">
      <c r="A58" s="5" t="inlineStr">
        <is>
          <t>ACEITE Y SAL</t>
        </is>
      </c>
      <c r="B58" s="5" t="inlineStr">
        <is>
          <t>ALMENDRA COMUNA REP. FRITA (1BX1KG)</t>
        </is>
      </c>
      <c r="C58" s="11" t="n"/>
      <c r="D58" s="11" t="n"/>
      <c r="E58" s="11" t="n">
        <v>12.45</v>
      </c>
      <c r="F58" s="11">
        <f>IF(D58&lt;&gt;"",D58,IF(C58&lt;&gt;"",C58,""))</f>
        <v/>
      </c>
      <c r="G58" s="11">
        <f>IF(AND(E58&lt;&gt;"",F58&lt;&gt;""),E58-F58,"")</f>
        <v/>
      </c>
      <c r="H58" s="17">
        <f>IF(G58="","",IF(F58=0,"",G58/F58))</f>
        <v/>
      </c>
      <c r="I58" s="18">
        <f>IF(E58="","SIN COMPRA",IF(F58="","NUEVO",IF(AND(ABS(G58)&lt;0.015,ABS(G58)&lt;F58*0.005),"IGUAL",IF(G58&gt;0,"SUBE","BAJA"))))</f>
        <v/>
      </c>
      <c r="J58" s="17">
        <f>IF(AND(C58&lt;&gt;"",D58&lt;&gt;""),IF(C58=0,"",D58/C58-1),"")</f>
        <v/>
      </c>
      <c r="K58" s="5" t="inlineStr">
        <is>
          <t>Precio neto: tarifa 12,70 € con 2 % de dto</t>
        </is>
      </c>
    </row>
    <row r="59">
      <c r="A59" s="5" t="inlineStr">
        <is>
          <t>ACEITE Y SAL</t>
        </is>
      </c>
      <c r="B59" s="5" t="inlineStr">
        <is>
          <t>BANDERILLAS DULCES CORTADA (1CUX1,7KG)</t>
        </is>
      </c>
      <c r="C59" s="11" t="n"/>
      <c r="D59" s="11" t="n"/>
      <c r="E59" s="11" t="n">
        <v>9.640000000000001</v>
      </c>
      <c r="F59" s="11">
        <f>IF(D59&lt;&gt;"",D59,IF(C59&lt;&gt;"",C59,""))</f>
        <v/>
      </c>
      <c r="G59" s="11">
        <f>IF(AND(E59&lt;&gt;"",F59&lt;&gt;""),E59-F59,"")</f>
        <v/>
      </c>
      <c r="H59" s="17">
        <f>IF(G59="","",IF(F59=0,"",G59/F59))</f>
        <v/>
      </c>
      <c r="I59" s="18">
        <f>IF(E59="","SIN COMPRA",IF(F59="","NUEVO",IF(AND(ABS(G59)&lt;0.015,ABS(G59)&lt;F59*0.005),"IGUAL",IF(G59&gt;0,"SUBE","BAJA"))))</f>
        <v/>
      </c>
      <c r="J59" s="17">
        <f>IF(AND(C59&lt;&gt;"",D59&lt;&gt;""),IF(C59=0,"",D59/C59-1),"")</f>
        <v/>
      </c>
      <c r="K59" s="5" t="inlineStr">
        <is>
          <t>Precio neto: tarifa 9,84 € con 2 % de dto</t>
        </is>
      </c>
    </row>
    <row r="60">
      <c r="A60" s="5" t="inlineStr">
        <is>
          <t>ACEITE Y SAL</t>
        </is>
      </c>
      <c r="B60" s="5" t="inlineStr">
        <is>
          <t>MEJILLON MEDIA CONCHA (1CUX1,5KG)</t>
        </is>
      </c>
      <c r="C60" s="11" t="n"/>
      <c r="D60" s="11" t="n"/>
      <c r="E60" s="11" t="n">
        <v>21.07</v>
      </c>
      <c r="F60" s="11">
        <f>IF(D60&lt;&gt;"",D60,IF(C60&lt;&gt;"",C60,""))</f>
        <v/>
      </c>
      <c r="G60" s="11">
        <f>IF(AND(E60&lt;&gt;"",F60&lt;&gt;""),E60-F60,"")</f>
        <v/>
      </c>
      <c r="H60" s="17">
        <f>IF(G60="","",IF(F60=0,"",G60/F60))</f>
        <v/>
      </c>
      <c r="I60" s="18">
        <f>IF(E60="","SIN COMPRA",IF(F60="","NUEVO",IF(AND(ABS(G60)&lt;0.015,ABS(G60)&lt;F60*0.005),"IGUAL",IF(G60&gt;0,"SUBE","BAJA"))))</f>
        <v/>
      </c>
      <c r="J60" s="17">
        <f>IF(AND(C60&lt;&gt;"",D60&lt;&gt;""),IF(C60=0,"",D60/C60-1),"")</f>
        <v/>
      </c>
      <c r="K60" s="5" t="inlineStr">
        <is>
          <t>Precio neto: tarifa 21,50 € con 2 % de dto</t>
        </is>
      </c>
    </row>
    <row r="61">
      <c r="A61" s="5" t="inlineStr">
        <is>
          <t>ACEITE Y SAL</t>
        </is>
      </c>
      <c r="B61" s="5" t="inlineStr">
        <is>
          <t>MEZCLA DE FRUTOS SECOS N01 (1BX2KG)</t>
        </is>
      </c>
      <c r="C61" s="11" t="n"/>
      <c r="D61" s="11" t="n"/>
      <c r="E61" s="11" t="n">
        <v>10.37</v>
      </c>
      <c r="F61" s="11">
        <f>IF(D61&lt;&gt;"",D61,IF(C61&lt;&gt;"",C61,""))</f>
        <v/>
      </c>
      <c r="G61" s="11">
        <f>IF(AND(E61&lt;&gt;"",F61&lt;&gt;""),E61-F61,"")</f>
        <v/>
      </c>
      <c r="H61" s="17">
        <f>IF(G61="","",IF(F61=0,"",G61/F61))</f>
        <v/>
      </c>
      <c r="I61" s="18">
        <f>IF(E61="","SIN COMPRA",IF(F61="","NUEVO",IF(AND(ABS(G61)&lt;0.015,ABS(G61)&lt;F61*0.005),"IGUAL",IF(G61&gt;0,"SUBE","BAJA"))))</f>
        <v/>
      </c>
      <c r="J61" s="17">
        <f>IF(AND(C61&lt;&gt;"",D61&lt;&gt;""),IF(C61=0,"",D61/C61-1),"")</f>
        <v/>
      </c>
      <c r="K61" s="5" t="inlineStr">
        <is>
          <t>Precio neto: tarifa 10,59 € con 2 % de dto</t>
        </is>
      </c>
    </row>
    <row r="62">
      <c r="A62" s="5" t="inlineStr">
        <is>
          <t>ACEITE Y SAL</t>
        </is>
      </c>
      <c r="B62" s="5" t="inlineStr">
        <is>
          <t>MINI MIX PICA (1BX1KG)</t>
        </is>
      </c>
      <c r="C62" s="11" t="n"/>
      <c r="D62" s="11" t="n"/>
      <c r="E62" s="11" t="n">
        <v>5.15</v>
      </c>
      <c r="F62" s="11">
        <f>IF(D62&lt;&gt;"",D62,IF(C62&lt;&gt;"",C62,""))</f>
        <v/>
      </c>
      <c r="G62" s="11">
        <f>IF(AND(E62&lt;&gt;"",F62&lt;&gt;""),E62-F62,"")</f>
        <v/>
      </c>
      <c r="H62" s="17">
        <f>IF(G62="","",IF(F62=0,"",G62/F62))</f>
        <v/>
      </c>
      <c r="I62" s="18">
        <f>IF(E62="","SIN COMPRA",IF(F62="","NUEVO",IF(AND(ABS(G62)&lt;0.015,ABS(G62)&lt;F62*0.005),"IGUAL",IF(G62&gt;0,"SUBE","BAJA"))))</f>
        <v/>
      </c>
      <c r="J62" s="17">
        <f>IF(AND(C62&lt;&gt;"",D62&lt;&gt;""),IF(C62=0,"",D62/C62-1),"")</f>
        <v/>
      </c>
      <c r="K62" s="5" t="inlineStr">
        <is>
          <t>Precio neto: tarifa 5,25 € con 2 % de dto</t>
        </is>
      </c>
    </row>
    <row r="63">
      <c r="A63" s="5" t="inlineStr">
        <is>
          <t>ACEITE Y SAL</t>
        </is>
      </c>
      <c r="B63" s="5" t="inlineStr">
        <is>
          <t>PATATAS SAL CARTUCHO (2BX500G)</t>
        </is>
      </c>
      <c r="C63" s="11" t="n"/>
      <c r="D63" s="11" t="n"/>
      <c r="E63" s="11" t="n">
        <v>4.41</v>
      </c>
      <c r="F63" s="11">
        <f>IF(D63&lt;&gt;"",D63,IF(C63&lt;&gt;"",C63,""))</f>
        <v/>
      </c>
      <c r="G63" s="11">
        <f>IF(AND(E63&lt;&gt;"",F63&lt;&gt;""),E63-F63,"")</f>
        <v/>
      </c>
      <c r="H63" s="17">
        <f>IF(G63="","",IF(F63=0,"",G63/F63))</f>
        <v/>
      </c>
      <c r="I63" s="18">
        <f>IF(E63="","SIN COMPRA",IF(F63="","NUEVO",IF(AND(ABS(G63)&lt;0.015,ABS(G63)&lt;F63*0.005),"IGUAL",IF(G63&gt;0,"SUBE","BAJA"))))</f>
        <v/>
      </c>
      <c r="J63" s="17">
        <f>IF(AND(C63&lt;&gt;"",D63&lt;&gt;""),IF(C63=0,"",D63/C63-1),"")</f>
        <v/>
      </c>
      <c r="K63" s="5" t="inlineStr">
        <is>
          <t>Precio neto: tarifa 4,50 € con 2 % de dto</t>
        </is>
      </c>
    </row>
    <row r="64">
      <c r="A64" s="5" t="inlineStr">
        <is>
          <t>ACEITE Y SAL</t>
        </is>
      </c>
      <c r="B64" s="5" t="inlineStr">
        <is>
          <t>PIPARRA VASCA (TARRO 1800G)</t>
        </is>
      </c>
      <c r="C64" s="11" t="n"/>
      <c r="D64" s="11" t="n"/>
      <c r="E64" s="11" t="n">
        <v>10.68</v>
      </c>
      <c r="F64" s="11">
        <f>IF(D64&lt;&gt;"",D64,IF(C64&lt;&gt;"",C64,""))</f>
        <v/>
      </c>
      <c r="G64" s="11">
        <f>IF(AND(E64&lt;&gt;"",F64&lt;&gt;""),E64-F64,"")</f>
        <v/>
      </c>
      <c r="H64" s="17">
        <f>IF(G64="","",IF(F64=0,"",G64/F64))</f>
        <v/>
      </c>
      <c r="I64" s="18">
        <f>IF(E64="","SIN COMPRA",IF(F64="","NUEVO",IF(AND(ABS(G64)&lt;0.015,ABS(G64)&lt;F64*0.005),"IGUAL",IF(G64&gt;0,"SUBE","BAJA"))))</f>
        <v/>
      </c>
      <c r="J64" s="17">
        <f>IF(AND(C64&lt;&gt;"",D64&lt;&gt;""),IF(C64=0,"",D64/C64-1),"")</f>
        <v/>
      </c>
      <c r="K64" s="5" t="inlineStr">
        <is>
          <t>Precio neto: tarifa 10,90 € con 2 % de dto</t>
        </is>
      </c>
    </row>
    <row r="65">
      <c r="A65" s="5" t="inlineStr">
        <is>
          <t>AGMASFOOD</t>
        </is>
      </c>
      <c r="B65" s="5" t="inlineStr">
        <is>
          <t>BOQUERON GORDO</t>
        </is>
      </c>
      <c r="C65" s="11" t="n">
        <v>11.95</v>
      </c>
      <c r="D65" s="11" t="n">
        <v>11.95</v>
      </c>
      <c r="E65" s="11" t="n">
        <v>7.3</v>
      </c>
      <c r="F65" s="11">
        <f>IF(D65&lt;&gt;"",D65,IF(C65&lt;&gt;"",C65,""))</f>
        <v/>
      </c>
      <c r="G65" s="11">
        <f>IF(AND(E65&lt;&gt;"",F65&lt;&gt;""),E65-F65,"")</f>
        <v/>
      </c>
      <c r="H65" s="17">
        <f>IF(G65="","",IF(F65=0,"",G65/F65))</f>
        <v/>
      </c>
      <c r="I65" s="18">
        <f>IF(E65="","SIN COMPRA",IF(F65="","NUEVO",IF(AND(ABS(G65)&lt;0.015,ABS(G65)&lt;F65*0.005),"IGUAL",IF(G65&gt;0,"SUBE","BAJA"))))</f>
        <v/>
      </c>
      <c r="J65" s="17">
        <f>IF(AND(C65&lt;&gt;"",D65&lt;&gt;""),IF(C65=0,"",D65/C65-1),"")</f>
        <v/>
      </c>
      <c r="K65" s="5" t="inlineStr">
        <is>
          <t>Producto fresco: precio de mercado, fluctúa. Varios precios en agosto: 9,80 / 11,95</t>
        </is>
      </c>
    </row>
    <row r="66">
      <c r="A66" s="5" t="inlineStr">
        <is>
          <t>AGMASFOOD</t>
        </is>
      </c>
      <c r="B66" s="5" t="inlineStr">
        <is>
          <t>GAMBA ROJA ALISTADA 15-20P</t>
        </is>
      </c>
      <c r="C66" s="11" t="n">
        <v>84</v>
      </c>
      <c r="D66" s="11" t="n">
        <v>89</v>
      </c>
      <c r="E66" s="11" t="n">
        <v>95</v>
      </c>
      <c r="F66" s="11">
        <f>IF(D66&lt;&gt;"",D66,IF(C66&lt;&gt;"",C66,""))</f>
        <v/>
      </c>
      <c r="G66" s="11">
        <f>IF(AND(E66&lt;&gt;"",F66&lt;&gt;""),E66-F66,"")</f>
        <v/>
      </c>
      <c r="H66" s="17">
        <f>IF(G66="","",IF(F66=0,"",G66/F66))</f>
        <v/>
      </c>
      <c r="I66" s="18">
        <f>IF(E66="","SIN COMPRA",IF(F66="","NUEVO",IF(AND(ABS(G66)&lt;0.015,ABS(G66)&lt;F66*0.005),"IGUAL",IF(G66&gt;0,"SUBE","BAJA"))))</f>
        <v/>
      </c>
      <c r="J66" s="17">
        <f>IF(AND(C66&lt;&gt;"",D66&lt;&gt;""),IF(C66=0,"",D66/C66-1),"")</f>
        <v/>
      </c>
      <c r="K66" s="5" t="inlineStr">
        <is>
          <t>Producto fresco: precio de mercado, fluctúa. Varios precios en julio: 79,00 / 84,00. Varios precios en agosto: 84,00 / 89,00. Varios precios en septiembre: 89,00 / 95,00</t>
        </is>
      </c>
    </row>
    <row r="67">
      <c r="A67" s="5" t="inlineStr">
        <is>
          <t>AGMASFOOD</t>
        </is>
      </c>
      <c r="B67" s="5" t="inlineStr">
        <is>
          <t>LOMO NEGRO SIN COLA LIMPIO</t>
        </is>
      </c>
      <c r="C67" s="11" t="n">
        <v>39.05</v>
      </c>
      <c r="D67" s="11" t="n">
        <v>39.05</v>
      </c>
      <c r="E67" s="11" t="n">
        <v>39.05</v>
      </c>
      <c r="F67" s="11">
        <f>IF(D67&lt;&gt;"",D67,IF(C67&lt;&gt;"",C67,""))</f>
        <v/>
      </c>
      <c r="G67" s="11">
        <f>IF(AND(E67&lt;&gt;"",F67&lt;&gt;""),E67-F67,"")</f>
        <v/>
      </c>
      <c r="H67" s="17">
        <f>IF(G67="","",IF(F67=0,"",G67/F67))</f>
        <v/>
      </c>
      <c r="I67" s="18">
        <f>IF(E67="","SIN COMPRA",IF(F67="","NUEVO",IF(AND(ABS(G67)&lt;0.015,ABS(G67)&lt;F67*0.005),"IGUAL",IF(G67&gt;0,"SUBE","BAJA"))))</f>
        <v/>
      </c>
      <c r="J67" s="17">
        <f>IF(AND(C67&lt;&gt;"",D67&lt;&gt;""),IF(C67=0,"",D67/C67-1),"")</f>
        <v/>
      </c>
      <c r="K67" s="5" t="inlineStr">
        <is>
          <t>Producto fresco: precio de mercado, fluctúa</t>
        </is>
      </c>
    </row>
    <row r="68">
      <c r="A68" s="5" t="inlineStr">
        <is>
          <t>AGROFOOD</t>
        </is>
      </c>
      <c r="B68" s="5" t="inlineStr">
        <is>
          <t>ENTRECOT T. MORUCHA (PRECIO+MER 0,07)</t>
        </is>
      </c>
      <c r="C68" s="11" t="n">
        <v>27.5</v>
      </c>
      <c r="D68" s="11" t="n">
        <v>27.57</v>
      </c>
      <c r="E68" s="11" t="n">
        <v>27.57</v>
      </c>
      <c r="F68" s="11">
        <f>IF(D68&lt;&gt;"",D68,IF(C68&lt;&gt;"",C68,""))</f>
        <v/>
      </c>
      <c r="G68" s="11">
        <f>IF(AND(E68&lt;&gt;"",F68&lt;&gt;""),E68-F68,"")</f>
        <v/>
      </c>
      <c r="H68" s="17">
        <f>IF(G68="","",IF(F68=0,"",G68/F68))</f>
        <v/>
      </c>
      <c r="I68" s="18">
        <f>IF(E68="","SIN COMPRA",IF(F68="","NUEVO",IF(AND(ABS(G68)&lt;0.015,ABS(G68)&lt;F68*0.005),"IGUAL",IF(G68&gt;0,"SUBE","BAJA"))))</f>
        <v/>
      </c>
      <c r="J68" s="17">
        <f>IF(AND(C68&lt;&gt;"",D68&lt;&gt;""),IF(C68=0,"",D68/C68-1),"")</f>
        <v/>
      </c>
      <c r="K68" s="5" t="inlineStr">
        <is>
          <t>Desde agosto el precio incluye el cargo MER de 0,07 €/kg</t>
        </is>
      </c>
    </row>
    <row r="69">
      <c r="A69" s="5" t="inlineStr">
        <is>
          <t>AGROFOOD</t>
        </is>
      </c>
      <c r="B69" s="5" t="inlineStr">
        <is>
          <t>MEDALLON P. SOLOMILLO VACUNO (PRECIO+MER 0,07)</t>
        </is>
      </c>
      <c r="C69" s="11" t="n">
        <v>36.9</v>
      </c>
      <c r="D69" s="11" t="n">
        <v>36.97</v>
      </c>
      <c r="E69" s="11" t="n">
        <v>36.97</v>
      </c>
      <c r="F69" s="11">
        <f>IF(D69&lt;&gt;"",D69,IF(C69&lt;&gt;"",C69,""))</f>
        <v/>
      </c>
      <c r="G69" s="11">
        <f>IF(AND(E69&lt;&gt;"",F69&lt;&gt;""),E69-F69,"")</f>
        <v/>
      </c>
      <c r="H69" s="17">
        <f>IF(G69="","",IF(F69=0,"",G69/F69))</f>
        <v/>
      </c>
      <c r="I69" s="18">
        <f>IF(E69="","SIN COMPRA",IF(F69="","NUEVO",IF(AND(ABS(G69)&lt;0.015,ABS(G69)&lt;F69*0.005),"IGUAL",IF(G69&gt;0,"SUBE","BAJA"))))</f>
        <v/>
      </c>
      <c r="J69" s="17">
        <f>IF(AND(C69&lt;&gt;"",D69&lt;&gt;""),IF(C69=0,"",D69/C69-1),"")</f>
        <v/>
      </c>
      <c r="K69" s="5" t="inlineStr">
        <is>
          <t>Desde agosto el precio incluye el cargo MER de 0,07 €/kg</t>
        </is>
      </c>
    </row>
    <row r="70">
      <c r="A70" s="5" t="inlineStr">
        <is>
          <t>ANTONIO DE MIGUEL</t>
        </is>
      </c>
      <c r="B70" s="5" t="inlineStr">
        <is>
          <t>PATO CEBADO-FOIE RESTAURACION (400-900)</t>
        </is>
      </c>
      <c r="C70" s="11" t="n">
        <v>28.03</v>
      </c>
      <c r="D70" s="11" t="n"/>
      <c r="E70" s="11" t="n"/>
      <c r="F70" s="11">
        <f>IF(D70&lt;&gt;"",D70,IF(C70&lt;&gt;"",C70,""))</f>
        <v/>
      </c>
      <c r="G70" s="11">
        <f>IF(AND(E70&lt;&gt;"",F70&lt;&gt;""),E70-F70,"")</f>
        <v/>
      </c>
      <c r="H70" s="17">
        <f>IF(G70="","",IF(F70=0,"",G70/F70))</f>
        <v/>
      </c>
      <c r="I70" s="18">
        <f>IF(E70="","SIN COMPRA",IF(F70="","NUEVO",IF(AND(ABS(G70)&lt;0.015,ABS(G70)&lt;F70*0.005),"IGUAL",IF(G70&gt;0,"SUBE","BAJA"))))</f>
        <v/>
      </c>
      <c r="J70" s="17">
        <f>IF(AND(C70&lt;&gt;"",D70&lt;&gt;""),IF(C70=0,"",D70/C70-1),"")</f>
        <v/>
      </c>
      <c r="K70" s="5" t="n"/>
    </row>
    <row r="71">
      <c r="A71" s="5" t="inlineStr">
        <is>
          <t>CALIDOSCOPI</t>
        </is>
      </c>
      <c r="B71" s="5" t="inlineStr">
        <is>
          <t>PAGO DE CARRAOVEJAS 2023</t>
        </is>
      </c>
      <c r="C71" s="11" t="n">
        <v>28.25</v>
      </c>
      <c r="D71" s="11" t="n"/>
      <c r="E71" s="11" t="n"/>
      <c r="F71" s="11">
        <f>IF(D71&lt;&gt;"",D71,IF(C71&lt;&gt;"",C71,""))</f>
        <v/>
      </c>
      <c r="G71" s="11">
        <f>IF(AND(E71&lt;&gt;"",F71&lt;&gt;""),E71-F71,"")</f>
        <v/>
      </c>
      <c r="H71" s="17">
        <f>IF(G71="","",IF(F71=0,"",G71/F71))</f>
        <v/>
      </c>
      <c r="I71" s="18">
        <f>IF(E71="","SIN COMPRA",IF(F71="","NUEVO",IF(AND(ABS(G71)&lt;0.015,ABS(G71)&lt;F71*0.005),"IGUAL",IF(G71&gt;0,"SUBE","BAJA"))))</f>
        <v/>
      </c>
      <c r="J71" s="17">
        <f>IF(AND(C71&lt;&gt;"",D71&lt;&gt;""),IF(C71=0,"",D71/C71-1),"")</f>
        <v/>
      </c>
      <c r="K71" s="5" t="n"/>
    </row>
    <row r="72">
      <c r="A72" s="5" t="inlineStr">
        <is>
          <t>CARNICAS MEAT</t>
        </is>
      </c>
      <c r="B72" s="5" t="inlineStr">
        <is>
          <t>CHULETA CORDERO LECHAL</t>
        </is>
      </c>
      <c r="C72" s="11" t="n">
        <v>25</v>
      </c>
      <c r="D72" s="11" t="n">
        <v>25</v>
      </c>
      <c r="E72" s="11" t="n">
        <v>25</v>
      </c>
      <c r="F72" s="11">
        <f>IF(D72&lt;&gt;"",D72,IF(C72&lt;&gt;"",C72,""))</f>
        <v/>
      </c>
      <c r="G72" s="11">
        <f>IF(AND(E72&lt;&gt;"",F72&lt;&gt;""),E72-F72,"")</f>
        <v/>
      </c>
      <c r="H72" s="17">
        <f>IF(G72="","",IF(F72=0,"",G72/F72))</f>
        <v/>
      </c>
      <c r="I72" s="18">
        <f>IF(E72="","SIN COMPRA",IF(F72="","NUEVO",IF(AND(ABS(G72)&lt;0.015,ABS(G72)&lt;F72*0.005),"IGUAL",IF(G72&gt;0,"SUBE","BAJA"))))</f>
        <v/>
      </c>
      <c r="J72" s="17">
        <f>IF(AND(C72&lt;&gt;"",D72&lt;&gt;""),IF(C72=0,"",D72/C72-1),"")</f>
        <v/>
      </c>
      <c r="K72" s="5" t="n"/>
    </row>
    <row r="73">
      <c r="A73" s="5" t="inlineStr">
        <is>
          <t>CARNICAS MEAT</t>
        </is>
      </c>
      <c r="B73" s="5" t="inlineStr">
        <is>
          <t>SOLOMILLO VACA</t>
        </is>
      </c>
      <c r="C73" s="11" t="n">
        <v>35</v>
      </c>
      <c r="D73" s="11" t="n">
        <v>35</v>
      </c>
      <c r="E73" s="11" t="n">
        <v>35</v>
      </c>
      <c r="F73" s="11">
        <f>IF(D73&lt;&gt;"",D73,IF(C73&lt;&gt;"",C73,""))</f>
        <v/>
      </c>
      <c r="G73" s="11">
        <f>IF(AND(E73&lt;&gt;"",F73&lt;&gt;""),E73-F73,"")</f>
        <v/>
      </c>
      <c r="H73" s="17">
        <f>IF(G73="","",IF(F73=0,"",G73/F73))</f>
        <v/>
      </c>
      <c r="I73" s="18">
        <f>IF(E73="","SIN COMPRA",IF(F73="","NUEVO",IF(AND(ABS(G73)&lt;0.015,ABS(G73)&lt;F73*0.005),"IGUAL",IF(G73&gt;0,"SUBE","BAJA"))))</f>
        <v/>
      </c>
      <c r="J73" s="17">
        <f>IF(AND(C73&lt;&gt;"",D73&lt;&gt;""),IF(C73=0,"",D73/C73-1),"")</f>
        <v/>
      </c>
      <c r="K73" s="5" t="inlineStr">
        <is>
          <t>Varios precios en julio: 34,55 / 35,00. Varios precios en septiembre: 34,55 / 35,00</t>
        </is>
      </c>
    </row>
    <row r="74">
      <c r="A74" s="5" t="inlineStr">
        <is>
          <t>CARNICAS MEAT</t>
        </is>
      </c>
      <c r="B74" s="5" t="inlineStr">
        <is>
          <t>TERNERA MIXTA</t>
        </is>
      </c>
      <c r="C74" s="11" t="n">
        <v>10.9</v>
      </c>
      <c r="D74" s="11" t="n"/>
      <c r="E74" s="11" t="n"/>
      <c r="F74" s="11">
        <f>IF(D74&lt;&gt;"",D74,IF(C74&lt;&gt;"",C74,""))</f>
        <v/>
      </c>
      <c r="G74" s="11">
        <f>IF(AND(E74&lt;&gt;"",F74&lt;&gt;""),E74-F74,"")</f>
        <v/>
      </c>
      <c r="H74" s="17">
        <f>IF(G74="","",IF(F74=0,"",G74/F74))</f>
        <v/>
      </c>
      <c r="I74" s="18">
        <f>IF(E74="","SIN COMPRA",IF(F74="","NUEVO",IF(AND(ABS(G74)&lt;0.015,ABS(G74)&lt;F74*0.005),"IGUAL",IF(G74&gt;0,"SUBE","BAJA"))))</f>
        <v/>
      </c>
      <c r="J74" s="17">
        <f>IF(AND(C74&lt;&gt;"",D74&lt;&gt;""),IF(C74=0,"",D74/C74-1),"")</f>
        <v/>
      </c>
      <c r="K74" s="5" t="n"/>
    </row>
    <row r="75">
      <c r="A75" s="5" t="inlineStr">
        <is>
          <t>CASA MISU</t>
        </is>
      </c>
      <c r="B75" s="5" t="inlineStr">
        <is>
          <t>BANDEJA TIRAMISU PISTACCHIO</t>
        </is>
      </c>
      <c r="C75" s="11" t="n"/>
      <c r="D75" s="11" t="n"/>
      <c r="E75" s="11" t="n">
        <v>70</v>
      </c>
      <c r="F75" s="11">
        <f>IF(D75&lt;&gt;"",D75,IF(C75&lt;&gt;"",C75,""))</f>
        <v/>
      </c>
      <c r="G75" s="11">
        <f>IF(AND(E75&lt;&gt;"",F75&lt;&gt;""),E75-F75,"")</f>
        <v/>
      </c>
      <c r="H75" s="17">
        <f>IF(G75="","",IF(F75=0,"",G75/F75))</f>
        <v/>
      </c>
      <c r="I75" s="18">
        <f>IF(E75="","SIN COMPRA",IF(F75="","NUEVO",IF(AND(ABS(G75)&lt;0.015,ABS(G75)&lt;F75*0.005),"IGUAL",IF(G75&gt;0,"SUBE","BAJA"))))</f>
        <v/>
      </c>
      <c r="J75" s="17">
        <f>IF(AND(C75&lt;&gt;"",D75&lt;&gt;""),IF(C75=0,"",D75/C75-1),"")</f>
        <v/>
      </c>
      <c r="K75" s="5" t="n"/>
    </row>
    <row r="76">
      <c r="A76" s="5" t="inlineStr">
        <is>
          <t>COCACOLA</t>
        </is>
      </c>
      <c r="B76" s="5" t="inlineStr">
        <is>
          <t>COCACOLA PET 2L C6 (NETO CAJA)</t>
        </is>
      </c>
      <c r="C76" s="11" t="n">
        <v>15.02</v>
      </c>
      <c r="D76" s="11" t="n">
        <v>15.02</v>
      </c>
      <c r="E76" s="11" t="n">
        <v>15.03</v>
      </c>
      <c r="F76" s="11">
        <f>IF(D76&lt;&gt;"",D76,IF(C76&lt;&gt;"",C76,""))</f>
        <v/>
      </c>
      <c r="G76" s="11">
        <f>IF(AND(E76&lt;&gt;"",F76&lt;&gt;""),E76-F76,"")</f>
        <v/>
      </c>
      <c r="H76" s="17">
        <f>IF(G76="","",IF(F76=0,"",G76/F76))</f>
        <v/>
      </c>
      <c r="I76" s="18">
        <f>IF(E76="","SIN COMPRA",IF(F76="","NUEVO",IF(AND(ABS(G76)&lt;0.015,ABS(G76)&lt;F76*0.005),"IGUAL",IF(G76&gt;0,"SUBE","BAJA"))))</f>
        <v/>
      </c>
      <c r="J76" s="17">
        <f>IF(AND(C76&lt;&gt;"",D76&lt;&gt;""),IF(C76=0,"",D76/C76-1),"")</f>
        <v/>
      </c>
      <c r="K76" s="5" t="inlineStr">
        <is>
          <t>En julio venía por botella: convertido a caja de 6</t>
        </is>
      </c>
    </row>
    <row r="77">
      <c r="A77" s="5" t="inlineStr">
        <is>
          <t>COCACOLA</t>
        </is>
      </c>
      <c r="B77" s="5" t="inlineStr">
        <is>
          <t>COCACOLA VNR20 P4 C6 (NETO CAJA)</t>
        </is>
      </c>
      <c r="C77" s="11" t="n"/>
      <c r="D77" s="11" t="n"/>
      <c r="E77" s="11" t="n">
        <v>27.03</v>
      </c>
      <c r="F77" s="11">
        <f>IF(D77&lt;&gt;"",D77,IF(C77&lt;&gt;"",C77,""))</f>
        <v/>
      </c>
      <c r="G77" s="11">
        <f>IF(AND(E77&lt;&gt;"",F77&lt;&gt;""),E77-F77,"")</f>
        <v/>
      </c>
      <c r="H77" s="17">
        <f>IF(G77="","",IF(F77=0,"",G77/F77))</f>
        <v/>
      </c>
      <c r="I77" s="18">
        <f>IF(E77="","SIN COMPRA",IF(F77="","NUEVO",IF(AND(ABS(G77)&lt;0.015,ABS(G77)&lt;F77*0.005),"IGUAL",IF(G77&gt;0,"SUBE","BAJA"))))</f>
        <v/>
      </c>
      <c r="J77" s="17">
        <f>IF(AND(C77&lt;&gt;"",D77&lt;&gt;""),IF(C77=0,"",D77/C77-1),"")</f>
        <v/>
      </c>
      <c r="K77" s="5" t="n"/>
    </row>
    <row r="78">
      <c r="A78" s="5" t="inlineStr">
        <is>
          <t>COCACOLA</t>
        </is>
      </c>
      <c r="B78" s="5" t="inlineStr">
        <is>
          <t>COCACOLA VR237 C24 (NETO CAJA)</t>
        </is>
      </c>
      <c r="C78" s="11" t="n">
        <v>20.28</v>
      </c>
      <c r="D78" s="11" t="n">
        <v>20.28</v>
      </c>
      <c r="E78" s="11" t="n">
        <v>20.28</v>
      </c>
      <c r="F78" s="11">
        <f>IF(D78&lt;&gt;"",D78,IF(C78&lt;&gt;"",C78,""))</f>
        <v/>
      </c>
      <c r="G78" s="11">
        <f>IF(AND(E78&lt;&gt;"",F78&lt;&gt;""),E78-F78,"")</f>
        <v/>
      </c>
      <c r="H78" s="17">
        <f>IF(G78="","",IF(F78=0,"",G78/F78))</f>
        <v/>
      </c>
      <c r="I78" s="18">
        <f>IF(E78="","SIN COMPRA",IF(F78="","NUEVO",IF(AND(ABS(G78)&lt;0.015,ABS(G78)&lt;F78*0.005),"IGUAL",IF(G78&gt;0,"SUBE","BAJA"))))</f>
        <v/>
      </c>
      <c r="J78" s="17">
        <f>IF(AND(C78&lt;&gt;"",D78&lt;&gt;""),IF(C78=0,"",D78/C78-1),"")</f>
        <v/>
      </c>
      <c r="K78" s="5" t="inlineStr">
        <is>
          <t>En julio venía por botella: convertido a caja de 24</t>
        </is>
      </c>
    </row>
    <row r="79">
      <c r="A79" s="5" t="inlineStr">
        <is>
          <t>COCACOLA</t>
        </is>
      </c>
      <c r="B79" s="5" t="inlineStr">
        <is>
          <t>COCACOLA ZERO VR237 C24 (NETO CAJA)</t>
        </is>
      </c>
      <c r="C79" s="11" t="n">
        <v>20.28</v>
      </c>
      <c r="D79" s="11" t="n">
        <v>20.28</v>
      </c>
      <c r="E79" s="11" t="n">
        <v>20.28</v>
      </c>
      <c r="F79" s="11">
        <f>IF(D79&lt;&gt;"",D79,IF(C79&lt;&gt;"",C79,""))</f>
        <v/>
      </c>
      <c r="G79" s="11">
        <f>IF(AND(E79&lt;&gt;"",F79&lt;&gt;""),E79-F79,"")</f>
        <v/>
      </c>
      <c r="H79" s="17">
        <f>IF(G79="","",IF(F79=0,"",G79/F79))</f>
        <v/>
      </c>
      <c r="I79" s="18">
        <f>IF(E79="","SIN COMPRA",IF(F79="","NUEVO",IF(AND(ABS(G79)&lt;0.015,ABS(G79)&lt;F79*0.005),"IGUAL",IF(G79&gt;0,"SUBE","BAJA"))))</f>
        <v/>
      </c>
      <c r="J79" s="17">
        <f>IF(AND(C79&lt;&gt;"",D79&lt;&gt;""),IF(C79=0,"",D79/C79-1),"")</f>
        <v/>
      </c>
      <c r="K79" s="5" t="inlineStr">
        <is>
          <t>En julio venía por botella: convertido a caja de 24</t>
        </is>
      </c>
    </row>
    <row r="80">
      <c r="A80" s="5" t="inlineStr">
        <is>
          <t>COCACOLA</t>
        </is>
      </c>
      <c r="B80" s="5" t="inlineStr">
        <is>
          <t>COCACOLA ZERO ZERO VR237 C24 (NETO CAJA)</t>
        </is>
      </c>
      <c r="C80" s="11" t="n">
        <v>20.28</v>
      </c>
      <c r="D80" s="11" t="n">
        <v>20.28</v>
      </c>
      <c r="E80" s="11" t="n">
        <v>20.28</v>
      </c>
      <c r="F80" s="11">
        <f>IF(D80&lt;&gt;"",D80,IF(C80&lt;&gt;"",C80,""))</f>
        <v/>
      </c>
      <c r="G80" s="11">
        <f>IF(AND(E80&lt;&gt;"",F80&lt;&gt;""),E80-F80,"")</f>
        <v/>
      </c>
      <c r="H80" s="17">
        <f>IF(G80="","",IF(F80=0,"",G80/F80))</f>
        <v/>
      </c>
      <c r="I80" s="18">
        <f>IF(E80="","SIN COMPRA",IF(F80="","NUEVO",IF(AND(ABS(G80)&lt;0.015,ABS(G80)&lt;F80*0.005),"IGUAL",IF(G80&gt;0,"SUBE","BAJA"))))</f>
        <v/>
      </c>
      <c r="J80" s="17">
        <f>IF(AND(C80&lt;&gt;"",D80&lt;&gt;""),IF(C80=0,"",D80/C80-1),"")</f>
        <v/>
      </c>
      <c r="K80" s="5" t="inlineStr">
        <is>
          <t>En julio venía por botella: convertido a caja de 24</t>
        </is>
      </c>
    </row>
    <row r="81">
      <c r="A81" s="5" t="inlineStr">
        <is>
          <t>COCACOLA</t>
        </is>
      </c>
      <c r="B81" s="5" t="inlineStr">
        <is>
          <t>MINUTE MAID TOMATE VNR20 C24 (NETO CAJA)</t>
        </is>
      </c>
      <c r="C81" s="11" t="n">
        <v>17.47</v>
      </c>
      <c r="D81" s="11" t="n">
        <v>17.48</v>
      </c>
      <c r="E81" s="11" t="n"/>
      <c r="F81" s="11">
        <f>IF(D81&lt;&gt;"",D81,IF(C81&lt;&gt;"",C81,""))</f>
        <v/>
      </c>
      <c r="G81" s="11">
        <f>IF(AND(E81&lt;&gt;"",F81&lt;&gt;""),E81-F81,"")</f>
        <v/>
      </c>
      <c r="H81" s="17">
        <f>IF(G81="","",IF(F81=0,"",G81/F81))</f>
        <v/>
      </c>
      <c r="I81" s="18">
        <f>IF(E81="","SIN COMPRA",IF(F81="","NUEVO",IF(AND(ABS(G81)&lt;0.015,ABS(G81)&lt;F81*0.005),"IGUAL",IF(G81&gt;0,"SUBE","BAJA"))))</f>
        <v/>
      </c>
      <c r="J81" s="17">
        <f>IF(AND(C81&lt;&gt;"",D81&lt;&gt;""),IF(C81=0,"",D81/C81-1),"")</f>
        <v/>
      </c>
      <c r="K81" s="5" t="inlineStr">
        <is>
          <t>En julio venía por botella: convertido a caja de 24</t>
        </is>
      </c>
    </row>
    <row r="82">
      <c r="A82" s="5" t="inlineStr">
        <is>
          <t>CONS. SELEC. SANTO</t>
        </is>
      </c>
      <c r="B82" s="5" t="inlineStr">
        <is>
          <t>DON BOCARTE MEDIO PULPO 360-400 GR</t>
        </is>
      </c>
      <c r="C82" s="11" t="n">
        <v>27</v>
      </c>
      <c r="D82" s="11" t="n">
        <v>27</v>
      </c>
      <c r="E82" s="11" t="n">
        <v>27</v>
      </c>
      <c r="F82" s="11">
        <f>IF(D82&lt;&gt;"",D82,IF(C82&lt;&gt;"",C82,""))</f>
        <v/>
      </c>
      <c r="G82" s="11">
        <f>IF(AND(E82&lt;&gt;"",F82&lt;&gt;""),E82-F82,"")</f>
        <v/>
      </c>
      <c r="H82" s="17">
        <f>IF(G82="","",IF(F82=0,"",G82/F82))</f>
        <v/>
      </c>
      <c r="I82" s="18">
        <f>IF(E82="","SIN COMPRA",IF(F82="","NUEVO",IF(AND(ABS(G82)&lt;0.015,ABS(G82)&lt;F82*0.005),"IGUAL",IF(G82&gt;0,"SUBE","BAJA"))))</f>
        <v/>
      </c>
      <c r="J82" s="17">
        <f>IF(AND(C82&lt;&gt;"",D82&lt;&gt;""),IF(C82=0,"",D82/C82-1),"")</f>
        <v/>
      </c>
      <c r="K82" s="5" t="n"/>
    </row>
    <row r="83">
      <c r="A83" s="5" t="inlineStr">
        <is>
          <t>CONS. Y SAL. JIMENEZ</t>
        </is>
      </c>
      <c r="B83" s="5" t="inlineStr">
        <is>
          <t>ANCHOAS CANTABRICO COSTERA</t>
        </is>
      </c>
      <c r="C83" s="11" t="n">
        <v>16.56</v>
      </c>
      <c r="D83" s="11" t="n">
        <v>16.56</v>
      </c>
      <c r="E83" s="11" t="n">
        <v>16.56</v>
      </c>
      <c r="F83" s="11">
        <f>IF(D83&lt;&gt;"",D83,IF(C83&lt;&gt;"",C83,""))</f>
        <v/>
      </c>
      <c r="G83" s="11">
        <f>IF(AND(E83&lt;&gt;"",F83&lt;&gt;""),E83-F83,"")</f>
        <v/>
      </c>
      <c r="H83" s="17">
        <f>IF(G83="","",IF(F83=0,"",G83/F83))</f>
        <v/>
      </c>
      <c r="I83" s="18">
        <f>IF(E83="","SIN COMPRA",IF(F83="","NUEVO",IF(AND(ABS(G83)&lt;0.015,ABS(G83)&lt;F83*0.005),"IGUAL",IF(G83&gt;0,"SUBE","BAJA"))))</f>
        <v/>
      </c>
      <c r="J83" s="17">
        <f>IF(AND(C83&lt;&gt;"",D83&lt;&gt;""),IF(C83=0,"",D83/C83-1),"")</f>
        <v/>
      </c>
      <c r="K83" s="5" t="inlineStr">
        <is>
          <t>Precio neto: tarifa 16,90 € con 2 % de dto</t>
        </is>
      </c>
    </row>
    <row r="84">
      <c r="A84" s="5" t="inlineStr">
        <is>
          <t>CONS. Y SAL. JIMENEZ</t>
        </is>
      </c>
      <c r="B84" s="5" t="inlineStr">
        <is>
          <t>ANCHOAS CANTABRICO RO-550 ETIQUETA ROJA</t>
        </is>
      </c>
      <c r="C84" s="11" t="n">
        <v>20.19</v>
      </c>
      <c r="D84" s="11" t="n"/>
      <c r="E84" s="11" t="n"/>
      <c r="F84" s="11">
        <f>IF(D84&lt;&gt;"",D84,IF(C84&lt;&gt;"",C84,""))</f>
        <v/>
      </c>
      <c r="G84" s="11">
        <f>IF(AND(E84&lt;&gt;"",F84&lt;&gt;""),E84-F84,"")</f>
        <v/>
      </c>
      <c r="H84" s="17">
        <f>IF(G84="","",IF(F84=0,"",G84/F84))</f>
        <v/>
      </c>
      <c r="I84" s="18">
        <f>IF(E84="","SIN COMPRA",IF(F84="","NUEVO",IF(AND(ABS(G84)&lt;0.015,ABS(G84)&lt;F84*0.005),"IGUAL",IF(G84&gt;0,"SUBE","BAJA"))))</f>
        <v/>
      </c>
      <c r="J84" s="17">
        <f>IF(AND(C84&lt;&gt;"",D84&lt;&gt;""),IF(C84=0,"",D84/C84-1),"")</f>
        <v/>
      </c>
      <c r="K84" s="5" t="n"/>
    </row>
    <row r="85">
      <c r="A85" s="5" t="inlineStr">
        <is>
          <t>CONS. Y SAL. JIMENEZ</t>
        </is>
      </c>
      <c r="B85" s="5" t="inlineStr">
        <is>
          <t>ANCHOAS DEL CANTABRICO GRAN RESERVA</t>
        </is>
      </c>
      <c r="C85" s="11" t="n">
        <v>28.09</v>
      </c>
      <c r="D85" s="11" t="n">
        <v>28.09</v>
      </c>
      <c r="E85" s="11" t="n">
        <v>28.09</v>
      </c>
      <c r="F85" s="11">
        <f>IF(D85&lt;&gt;"",D85,IF(C85&lt;&gt;"",C85,""))</f>
        <v/>
      </c>
      <c r="G85" s="11">
        <f>IF(AND(E85&lt;&gt;"",F85&lt;&gt;""),E85-F85,"")</f>
        <v/>
      </c>
      <c r="H85" s="17">
        <f>IF(G85="","",IF(F85=0,"",G85/F85))</f>
        <v/>
      </c>
      <c r="I85" s="18">
        <f>IF(E85="","SIN COMPRA",IF(F85="","NUEVO",IF(AND(ABS(G85)&lt;0.015,ABS(G85)&lt;F85*0.005),"IGUAL",IF(G85&gt;0,"SUBE","BAJA"))))</f>
        <v/>
      </c>
      <c r="J85" s="17">
        <f>IF(AND(C85&lt;&gt;"",D85&lt;&gt;""),IF(C85=0,"",D85/C85-1),"")</f>
        <v/>
      </c>
      <c r="K85" s="5" t="inlineStr">
        <is>
          <t>Precio neto: tarifa 28,66 € con 2 % de dto</t>
        </is>
      </c>
    </row>
    <row r="86">
      <c r="A86" s="5" t="inlineStr">
        <is>
          <t>CONS. Y SAL. JIMENEZ</t>
        </is>
      </c>
      <c r="B86" s="5" t="inlineStr">
        <is>
          <t>BERBERECHOS RIAS GALLEGAS RO-120 30/40</t>
        </is>
      </c>
      <c r="C86" s="11" t="n">
        <v>11.17</v>
      </c>
      <c r="D86" s="11" t="n"/>
      <c r="E86" s="11" t="n"/>
      <c r="F86" s="11">
        <f>IF(D86&lt;&gt;"",D86,IF(C86&lt;&gt;"",C86,""))</f>
        <v/>
      </c>
      <c r="G86" s="11">
        <f>IF(AND(E86&lt;&gt;"",F86&lt;&gt;""),E86-F86,"")</f>
        <v/>
      </c>
      <c r="H86" s="17">
        <f>IF(G86="","",IF(F86=0,"",G86/F86))</f>
        <v/>
      </c>
      <c r="I86" s="18">
        <f>IF(E86="","SIN COMPRA",IF(F86="","NUEVO",IF(AND(ABS(G86)&lt;0.015,ABS(G86)&lt;F86*0.005),"IGUAL",IF(G86&gt;0,"SUBE","BAJA"))))</f>
        <v/>
      </c>
      <c r="J86" s="17">
        <f>IF(AND(C86&lt;&gt;"",D86&lt;&gt;""),IF(C86=0,"",D86/C86-1),"")</f>
        <v/>
      </c>
      <c r="K86" s="5" t="n"/>
    </row>
    <row r="87">
      <c r="A87" s="5" t="inlineStr">
        <is>
          <t>CONS. Y SAL. JIMENEZ</t>
        </is>
      </c>
      <c r="B87" s="5" t="inlineStr">
        <is>
          <t>MEJILLONES EN ESCABECHE PICANTES OL-120 20/25 RAMON FRANCO</t>
        </is>
      </c>
      <c r="C87" s="11" t="n"/>
      <c r="D87" s="11" t="n"/>
      <c r="E87" s="11" t="n">
        <v>2.12</v>
      </c>
      <c r="F87" s="11">
        <f>IF(D87&lt;&gt;"",D87,IF(C87&lt;&gt;"",C87,""))</f>
        <v/>
      </c>
      <c r="G87" s="11">
        <f>IF(AND(E87&lt;&gt;"",F87&lt;&gt;""),E87-F87,"")</f>
        <v/>
      </c>
      <c r="H87" s="17">
        <f>IF(G87="","",IF(F87=0,"",G87/F87))</f>
        <v/>
      </c>
      <c r="I87" s="18">
        <f>IF(E87="","SIN COMPRA",IF(F87="","NUEVO",IF(AND(ABS(G87)&lt;0.015,ABS(G87)&lt;F87*0.005),"IGUAL",IF(G87&gt;0,"SUBE","BAJA"))))</f>
        <v/>
      </c>
      <c r="J87" s="17">
        <f>IF(AND(C87&lt;&gt;"",D87&lt;&gt;""),IF(C87=0,"",D87/C87-1),"")</f>
        <v/>
      </c>
      <c r="K87" s="5" t="inlineStr">
        <is>
          <t>Precio neto: tarifa 2,16 € con 2 % de dto</t>
        </is>
      </c>
    </row>
    <row r="88">
      <c r="A88" s="5" t="inlineStr">
        <is>
          <t>CONS. Y SAL. JIMENEZ</t>
        </is>
      </c>
      <c r="B88" s="5" t="inlineStr">
        <is>
          <t>MEJILLONES ESCABECHE RIAS GALLEGAS OL-120 6/8</t>
        </is>
      </c>
      <c r="C88" s="11" t="n"/>
      <c r="D88" s="11" t="n">
        <v>5.84</v>
      </c>
      <c r="E88" s="11" t="n">
        <v>5.84</v>
      </c>
      <c r="F88" s="11">
        <f>IF(D88&lt;&gt;"",D88,IF(C88&lt;&gt;"",C88,""))</f>
        <v/>
      </c>
      <c r="G88" s="11">
        <f>IF(AND(E88&lt;&gt;"",F88&lt;&gt;""),E88-F88,"")</f>
        <v/>
      </c>
      <c r="H88" s="17">
        <f>IF(G88="","",IF(F88=0,"",G88/F88))</f>
        <v/>
      </c>
      <c r="I88" s="18">
        <f>IF(E88="","SIN COMPRA",IF(F88="","NUEVO",IF(AND(ABS(G88)&lt;0.015,ABS(G88)&lt;F88*0.005),"IGUAL",IF(G88&gt;0,"SUBE","BAJA"))))</f>
        <v/>
      </c>
      <c r="J88" s="17">
        <f>IF(AND(C88&lt;&gt;"",D88&lt;&gt;""),IF(C88=0,"",D88/C88-1),"")</f>
        <v/>
      </c>
      <c r="K88" s="5" t="inlineStr">
        <is>
          <t>Precio neto: tarifa 5,96 € con 2 % de dto</t>
        </is>
      </c>
    </row>
    <row r="89">
      <c r="A89" s="5" t="inlineStr">
        <is>
          <t>CONS. Y SAL. JIMENEZ</t>
        </is>
      </c>
      <c r="B89" s="5" t="inlineStr">
        <is>
          <t>MEJILLONES ESCABECHE RIAS GALLEGAS RR-125</t>
        </is>
      </c>
      <c r="C89" s="11" t="n">
        <v>5.74</v>
      </c>
      <c r="D89" s="11" t="n"/>
      <c r="E89" s="11" t="n">
        <v>5.98</v>
      </c>
      <c r="F89" s="11">
        <f>IF(D89&lt;&gt;"",D89,IF(C89&lt;&gt;"",C89,""))</f>
        <v/>
      </c>
      <c r="G89" s="11">
        <f>IF(AND(E89&lt;&gt;"",F89&lt;&gt;""),E89-F89,"")</f>
        <v/>
      </c>
      <c r="H89" s="17">
        <f>IF(G89="","",IF(F89=0,"",G89/F89))</f>
        <v/>
      </c>
      <c r="I89" s="18">
        <f>IF(E89="","SIN COMPRA",IF(F89="","NUEVO",IF(AND(ABS(G89)&lt;0.015,ABS(G89)&lt;F89*0.005),"IGUAL",IF(G89&gt;0,"SUBE","BAJA"))))</f>
        <v/>
      </c>
      <c r="J89" s="17">
        <f>IF(AND(C89&lt;&gt;"",D89&lt;&gt;""),IF(C89=0,"",D89/C89-1),"")</f>
        <v/>
      </c>
      <c r="K89" s="5" t="inlineStr">
        <is>
          <t>Precio neto: tarifa 6,10 € con 2 % de dto</t>
        </is>
      </c>
    </row>
    <row r="90">
      <c r="A90" s="5" t="inlineStr">
        <is>
          <t>CONS. Y SAL. JIMENEZ</t>
        </is>
      </c>
      <c r="B90" s="5" t="inlineStr">
        <is>
          <t>MOJAMA EXTRA SUPERIOR LA CHANCA</t>
        </is>
      </c>
      <c r="C90" s="11" t="n">
        <v>35.67</v>
      </c>
      <c r="D90" s="11" t="n">
        <v>35.67</v>
      </c>
      <c r="E90" s="11" t="n"/>
      <c r="F90" s="11">
        <f>IF(D90&lt;&gt;"",D90,IF(C90&lt;&gt;"",C90,""))</f>
        <v/>
      </c>
      <c r="G90" s="11">
        <f>IF(AND(E90&lt;&gt;"",F90&lt;&gt;""),E90-F90,"")</f>
        <v/>
      </c>
      <c r="H90" s="17">
        <f>IF(G90="","",IF(F90=0,"",G90/F90))</f>
        <v/>
      </c>
      <c r="I90" s="18">
        <f>IF(E90="","SIN COMPRA",IF(F90="","NUEVO",IF(AND(ABS(G90)&lt;0.015,ABS(G90)&lt;F90*0.005),"IGUAL",IF(G90&gt;0,"SUBE","BAJA"))))</f>
        <v/>
      </c>
      <c r="J90" s="17">
        <f>IF(AND(C90&lt;&gt;"",D90&lt;&gt;""),IF(C90=0,"",D90/C90-1),"")</f>
        <v/>
      </c>
      <c r="K90" s="5" t="n"/>
    </row>
    <row r="91">
      <c r="A91" s="5" t="inlineStr">
        <is>
          <t>CONS. Y SAL. JIMENEZ</t>
        </is>
      </c>
      <c r="B91" s="5" t="inlineStr">
        <is>
          <t>VENTRESCA DE BONITO EXTRA</t>
        </is>
      </c>
      <c r="C91" s="11" t="n">
        <v>5.74</v>
      </c>
      <c r="D91" s="11" t="n">
        <v>5.74</v>
      </c>
      <c r="E91" s="11" t="n">
        <v>5.74</v>
      </c>
      <c r="F91" s="11">
        <f>IF(D91&lt;&gt;"",D91,IF(C91&lt;&gt;"",C91,""))</f>
        <v/>
      </c>
      <c r="G91" s="11">
        <f>IF(AND(E91&lt;&gt;"",F91&lt;&gt;""),E91-F91,"")</f>
        <v/>
      </c>
      <c r="H91" s="17">
        <f>IF(G91="","",IF(F91=0,"",G91/F91))</f>
        <v/>
      </c>
      <c r="I91" s="18">
        <f>IF(E91="","SIN COMPRA",IF(F91="","NUEVO",IF(AND(ABS(G91)&lt;0.015,ABS(G91)&lt;F91*0.005),"IGUAL",IF(G91&gt;0,"SUBE","BAJA"))))</f>
        <v/>
      </c>
      <c r="J91" s="17">
        <f>IF(AND(C91&lt;&gt;"",D91&lt;&gt;""),IF(C91=0,"",D91/C91-1),"")</f>
        <v/>
      </c>
      <c r="K91" s="5" t="inlineStr">
        <is>
          <t>Precio neto: tarifa 5,86 € con 2 % de dto</t>
        </is>
      </c>
    </row>
    <row r="92">
      <c r="A92" s="5" t="inlineStr">
        <is>
          <t>CRNAS SERVAN / CARNICAS OPC</t>
        </is>
      </c>
      <c r="B92" s="5" t="inlineStr">
        <is>
          <t>CAJA HUEVOS DE CORRAL</t>
        </is>
      </c>
      <c r="C92" s="11" t="n">
        <v>52.5</v>
      </c>
      <c r="D92" s="11" t="n">
        <v>52.5</v>
      </c>
      <c r="E92" s="11" t="n">
        <v>52.5</v>
      </c>
      <c r="F92" s="11">
        <f>IF(D92&lt;&gt;"",D92,IF(C92&lt;&gt;"",C92,""))</f>
        <v/>
      </c>
      <c r="G92" s="11">
        <f>IF(AND(E92&lt;&gt;"",F92&lt;&gt;""),E92-F92,"")</f>
        <v/>
      </c>
      <c r="H92" s="17">
        <f>IF(G92="","",IF(F92=0,"",G92/F92))</f>
        <v/>
      </c>
      <c r="I92" s="18">
        <f>IF(E92="","SIN COMPRA",IF(F92="","NUEVO",IF(AND(ABS(G92)&lt;0.015,ABS(G92)&lt;F92*0.005),"IGUAL",IF(G92&gt;0,"SUBE","BAJA"))))</f>
        <v/>
      </c>
      <c r="J92" s="17">
        <f>IF(AND(C92&lt;&gt;"",D92&lt;&gt;""),IF(C92=0,"",D92/C92-1),"")</f>
        <v/>
      </c>
      <c r="K92" s="5" t="n"/>
    </row>
    <row r="93">
      <c r="A93" s="5" t="inlineStr">
        <is>
          <t>CRNAS SERVAN / CARNICAS OPC</t>
        </is>
      </c>
      <c r="B93" s="5" t="inlineStr">
        <is>
          <t>CHORIZO ASTURIANO</t>
        </is>
      </c>
      <c r="C93" s="11" t="n">
        <v>9</v>
      </c>
      <c r="D93" s="11" t="n"/>
      <c r="E93" s="11" t="n"/>
      <c r="F93" s="11">
        <f>IF(D93&lt;&gt;"",D93,IF(C93&lt;&gt;"",C93,""))</f>
        <v/>
      </c>
      <c r="G93" s="11">
        <f>IF(AND(E93&lt;&gt;"",F93&lt;&gt;""),E93-F93,"")</f>
        <v/>
      </c>
      <c r="H93" s="17">
        <f>IF(G93="","",IF(F93=0,"",G93/F93))</f>
        <v/>
      </c>
      <c r="I93" s="18">
        <f>IF(E93="","SIN COMPRA",IF(F93="","NUEVO",IF(AND(ABS(G93)&lt;0.015,ABS(G93)&lt;F93*0.005),"IGUAL",IF(G93&gt;0,"SUBE","BAJA"))))</f>
        <v/>
      </c>
      <c r="J93" s="17">
        <f>IF(AND(C93&lt;&gt;"",D93&lt;&gt;""),IF(C93=0,"",D93/C93-1),"")</f>
        <v/>
      </c>
      <c r="K93" s="5" t="n"/>
    </row>
    <row r="94">
      <c r="A94" s="5" t="inlineStr">
        <is>
          <t>CRNAS SERVAN / CARNICAS OPC</t>
        </is>
      </c>
      <c r="B94" s="5" t="inlineStr">
        <is>
          <t>FALDA DE TERNERA</t>
        </is>
      </c>
      <c r="C94" s="11" t="n"/>
      <c r="D94" s="11" t="n">
        <v>11.5</v>
      </c>
      <c r="E94" s="11" t="n"/>
      <c r="F94" s="11">
        <f>IF(D94&lt;&gt;"",D94,IF(C94&lt;&gt;"",C94,""))</f>
        <v/>
      </c>
      <c r="G94" s="11">
        <f>IF(AND(E94&lt;&gt;"",F94&lt;&gt;""),E94-F94,"")</f>
        <v/>
      </c>
      <c r="H94" s="17">
        <f>IF(G94="","",IF(F94=0,"",G94/F94))</f>
        <v/>
      </c>
      <c r="I94" s="18">
        <f>IF(E94="","SIN COMPRA",IF(F94="","NUEVO",IF(AND(ABS(G94)&lt;0.015,ABS(G94)&lt;F94*0.005),"IGUAL",IF(G94&gt;0,"SUBE","BAJA"))))</f>
        <v/>
      </c>
      <c r="J94" s="17">
        <f>IF(AND(C94&lt;&gt;"",D94&lt;&gt;""),IF(C94=0,"",D94/C94-1),"")</f>
        <v/>
      </c>
      <c r="K94" s="5" t="n"/>
    </row>
    <row r="95">
      <c r="A95" s="5" t="inlineStr">
        <is>
          <t>CRNAS SERVAN / CARNICAS OPC</t>
        </is>
      </c>
      <c r="B95" s="5" t="inlineStr">
        <is>
          <t>GALLINAS</t>
        </is>
      </c>
      <c r="C95" s="11" t="n">
        <v>3.75</v>
      </c>
      <c r="D95" s="11" t="n"/>
      <c r="E95" s="11" t="n"/>
      <c r="F95" s="11">
        <f>IF(D95&lt;&gt;"",D95,IF(C95&lt;&gt;"",C95,""))</f>
        <v/>
      </c>
      <c r="G95" s="11">
        <f>IF(AND(E95&lt;&gt;"",F95&lt;&gt;""),E95-F95,"")</f>
        <v/>
      </c>
      <c r="H95" s="17">
        <f>IF(G95="","",IF(F95=0,"",G95/F95))</f>
        <v/>
      </c>
      <c r="I95" s="18">
        <f>IF(E95="","SIN COMPRA",IF(F95="","NUEVO",IF(AND(ABS(G95)&lt;0.015,ABS(G95)&lt;F95*0.005),"IGUAL",IF(G95&gt;0,"SUBE","BAJA"))))</f>
        <v/>
      </c>
      <c r="J95" s="17">
        <f>IF(AND(C95&lt;&gt;"",D95&lt;&gt;""),IF(C95=0,"",D95/C95-1),"")</f>
        <v/>
      </c>
      <c r="K95" s="5" t="n"/>
    </row>
    <row r="96">
      <c r="A96" s="5" t="inlineStr">
        <is>
          <t>CRNAS SERVAN / CARNICAS OPC</t>
        </is>
      </c>
      <c r="B96" s="5" t="inlineStr">
        <is>
          <t>HUESO DE TUETANO</t>
        </is>
      </c>
      <c r="C96" s="11" t="n"/>
      <c r="D96" s="11" t="n">
        <v>3</v>
      </c>
      <c r="E96" s="11" t="n"/>
      <c r="F96" s="11">
        <f>IF(D96&lt;&gt;"",D96,IF(C96&lt;&gt;"",C96,""))</f>
        <v/>
      </c>
      <c r="G96" s="11">
        <f>IF(AND(E96&lt;&gt;"",F96&lt;&gt;""),E96-F96,"")</f>
        <v/>
      </c>
      <c r="H96" s="17">
        <f>IF(G96="","",IF(F96=0,"",G96/F96))</f>
        <v/>
      </c>
      <c r="I96" s="18">
        <f>IF(E96="","SIN COMPRA",IF(F96="","NUEVO",IF(AND(ABS(G96)&lt;0.015,ABS(G96)&lt;F96*0.005),"IGUAL",IF(G96&gt;0,"SUBE","BAJA"))))</f>
        <v/>
      </c>
      <c r="J96" s="17">
        <f>IF(AND(C96&lt;&gt;"",D96&lt;&gt;""),IF(C96=0,"",D96/C96-1),"")</f>
        <v/>
      </c>
      <c r="K96" s="5" t="n"/>
    </row>
    <row r="97">
      <c r="A97" s="5" t="inlineStr">
        <is>
          <t>CRNAS SERVAN / CARNICAS OPC</t>
        </is>
      </c>
      <c r="B97" s="5" t="inlineStr">
        <is>
          <t>HUESO FRESCO</t>
        </is>
      </c>
      <c r="C97" s="11" t="n"/>
      <c r="D97" s="11" t="n">
        <v>2</v>
      </c>
      <c r="E97" s="11" t="n"/>
      <c r="F97" s="11">
        <f>IF(D97&lt;&gt;"",D97,IF(C97&lt;&gt;"",C97,""))</f>
        <v/>
      </c>
      <c r="G97" s="11">
        <f>IF(AND(E97&lt;&gt;"",F97&lt;&gt;""),E97-F97,"")</f>
        <v/>
      </c>
      <c r="H97" s="17">
        <f>IF(G97="","",IF(F97=0,"",G97/F97))</f>
        <v/>
      </c>
      <c r="I97" s="18">
        <f>IF(E97="","SIN COMPRA",IF(F97="","NUEVO",IF(AND(ABS(G97)&lt;0.015,ABS(G97)&lt;F97*0.005),"IGUAL",IF(G97&gt;0,"SUBE","BAJA"))))</f>
        <v/>
      </c>
      <c r="J97" s="17">
        <f>IF(AND(C97&lt;&gt;"",D97&lt;&gt;""),IF(C97=0,"",D97/C97-1),"")</f>
        <v/>
      </c>
      <c r="K97" s="5" t="n"/>
    </row>
    <row r="98">
      <c r="A98" s="5" t="inlineStr">
        <is>
          <t>CRNAS SERVAN / CARNICAS OPC</t>
        </is>
      </c>
      <c r="B98" s="5" t="inlineStr">
        <is>
          <t>MANOS DE CERDO</t>
        </is>
      </c>
      <c r="C98" s="11" t="n">
        <v>4.5</v>
      </c>
      <c r="D98" s="11" t="n"/>
      <c r="E98" s="11" t="n"/>
      <c r="F98" s="11">
        <f>IF(D98&lt;&gt;"",D98,IF(C98&lt;&gt;"",C98,""))</f>
        <v/>
      </c>
      <c r="G98" s="11">
        <f>IF(AND(E98&lt;&gt;"",F98&lt;&gt;""),E98-F98,"")</f>
        <v/>
      </c>
      <c r="H98" s="17">
        <f>IF(G98="","",IF(F98=0,"",G98/F98))</f>
        <v/>
      </c>
      <c r="I98" s="18">
        <f>IF(E98="","SIN COMPRA",IF(F98="","NUEVO",IF(AND(ABS(G98)&lt;0.015,ABS(G98)&lt;F98*0.005),"IGUAL",IF(G98&gt;0,"SUBE","BAJA"))))</f>
        <v/>
      </c>
      <c r="J98" s="17">
        <f>IF(AND(C98&lt;&gt;"",D98&lt;&gt;""),IF(C98=0,"",D98/C98-1),"")</f>
        <v/>
      </c>
      <c r="K98" s="5" t="n"/>
    </row>
    <row r="99">
      <c r="A99" s="5" t="inlineStr">
        <is>
          <t>CRNAS SERVAN / CARNICAS OPC</t>
        </is>
      </c>
      <c r="B99" s="5" t="inlineStr">
        <is>
          <t>MEDIA CAJA DE HUEVO</t>
        </is>
      </c>
      <c r="C99" s="11" t="n">
        <v>45</v>
      </c>
      <c r="D99" s="11" t="n">
        <v>45</v>
      </c>
      <c r="E99" s="11" t="n">
        <v>45</v>
      </c>
      <c r="F99" s="11">
        <f>IF(D99&lt;&gt;"",D99,IF(C99&lt;&gt;"",C99,""))</f>
        <v/>
      </c>
      <c r="G99" s="11">
        <f>IF(AND(E99&lt;&gt;"",F99&lt;&gt;""),E99-F99,"")</f>
        <v/>
      </c>
      <c r="H99" s="17">
        <f>IF(G99="","",IF(F99=0,"",G99/F99))</f>
        <v/>
      </c>
      <c r="I99" s="18">
        <f>IF(E99="","SIN COMPRA",IF(F99="","NUEVO",IF(AND(ABS(G99)&lt;0.015,ABS(G99)&lt;F99*0.005),"IGUAL",IF(G99&gt;0,"SUBE","BAJA"))))</f>
        <v/>
      </c>
      <c r="J99" s="17">
        <f>IF(AND(C99&lt;&gt;"",D99&lt;&gt;""),IF(C99=0,"",D99/C99-1),"")</f>
        <v/>
      </c>
      <c r="K99" s="5" t="n"/>
    </row>
    <row r="100">
      <c r="A100" s="5" t="inlineStr">
        <is>
          <t>CRNAS SERVAN / CARNICAS OPC</t>
        </is>
      </c>
      <c r="B100" s="5" t="inlineStr">
        <is>
          <t>MORCILLA ASTURIANA</t>
        </is>
      </c>
      <c r="C100" s="11" t="n"/>
      <c r="D100" s="11" t="n">
        <v>9</v>
      </c>
      <c r="E100" s="11" t="n"/>
      <c r="F100" s="11">
        <f>IF(D100&lt;&gt;"",D100,IF(C100&lt;&gt;"",C100,""))</f>
        <v/>
      </c>
      <c r="G100" s="11">
        <f>IF(AND(E100&lt;&gt;"",F100&lt;&gt;""),E100-F100,"")</f>
        <v/>
      </c>
      <c r="H100" s="17">
        <f>IF(G100="","",IF(F100=0,"",G100/F100))</f>
        <v/>
      </c>
      <c r="I100" s="18">
        <f>IF(E100="","SIN COMPRA",IF(F100="","NUEVO",IF(AND(ABS(G100)&lt;0.015,ABS(G100)&lt;F100*0.005),"IGUAL",IF(G100&gt;0,"SUBE","BAJA"))))</f>
        <v/>
      </c>
      <c r="J100" s="17">
        <f>IF(AND(C100&lt;&gt;"",D100&lt;&gt;""),IF(C100=0,"",D100/C100-1),"")</f>
        <v/>
      </c>
      <c r="K100" s="5" t="n"/>
    </row>
    <row r="101">
      <c r="A101" s="5" t="inlineStr">
        <is>
          <t>CRNAS SERVAN / CARNICAS OPC</t>
        </is>
      </c>
      <c r="B101" s="5" t="inlineStr">
        <is>
          <t>MORCILLO DE TERNERA</t>
        </is>
      </c>
      <c r="C101" s="11" t="n">
        <v>12.5</v>
      </c>
      <c r="D101" s="11" t="n"/>
      <c r="E101" s="11" t="n"/>
      <c r="F101" s="11">
        <f>IF(D101&lt;&gt;"",D101,IF(C101&lt;&gt;"",C101,""))</f>
        <v/>
      </c>
      <c r="G101" s="11">
        <f>IF(AND(E101&lt;&gt;"",F101&lt;&gt;""),E101-F101,"")</f>
        <v/>
      </c>
      <c r="H101" s="17">
        <f>IF(G101="","",IF(F101=0,"",G101/F101))</f>
        <v/>
      </c>
      <c r="I101" s="18">
        <f>IF(E101="","SIN COMPRA",IF(F101="","NUEVO",IF(AND(ABS(G101)&lt;0.015,ABS(G101)&lt;F101*0.005),"IGUAL",IF(G101&gt;0,"SUBE","BAJA"))))</f>
        <v/>
      </c>
      <c r="J101" s="17">
        <f>IF(AND(C101&lt;&gt;"",D101&lt;&gt;""),IF(C101=0,"",D101/C101-1),"")</f>
        <v/>
      </c>
      <c r="K101" s="5" t="n"/>
    </row>
    <row r="102">
      <c r="A102" s="5" t="inlineStr">
        <is>
          <t>CRNAS SERVAN / CARNICAS OPC</t>
        </is>
      </c>
      <c r="B102" s="5" t="inlineStr">
        <is>
          <t>MORRO DE TERNERA</t>
        </is>
      </c>
      <c r="C102" s="11" t="n">
        <v>8.5</v>
      </c>
      <c r="D102" s="11" t="n">
        <v>8.5</v>
      </c>
      <c r="E102" s="11" t="n"/>
      <c r="F102" s="11">
        <f>IF(D102&lt;&gt;"",D102,IF(C102&lt;&gt;"",C102,""))</f>
        <v/>
      </c>
      <c r="G102" s="11">
        <f>IF(AND(E102&lt;&gt;"",F102&lt;&gt;""),E102-F102,"")</f>
        <v/>
      </c>
      <c r="H102" s="17">
        <f>IF(G102="","",IF(F102=0,"",G102/F102))</f>
        <v/>
      </c>
      <c r="I102" s="18">
        <f>IF(E102="","SIN COMPRA",IF(F102="","NUEVO",IF(AND(ABS(G102)&lt;0.015,ABS(G102)&lt;F102*0.005),"IGUAL",IF(G102&gt;0,"SUBE","BAJA"))))</f>
        <v/>
      </c>
      <c r="J102" s="17">
        <f>IF(AND(C102&lt;&gt;"",D102&lt;&gt;""),IF(C102=0,"",D102/C102-1),"")</f>
        <v/>
      </c>
      <c r="K102" s="5" t="n"/>
    </row>
    <row r="103">
      <c r="A103" s="5" t="inlineStr">
        <is>
          <t>CRNAS SERVAN / CARNICAS OPC</t>
        </is>
      </c>
      <c r="B103" s="5" t="inlineStr">
        <is>
          <t>OREJA DE CERDO</t>
        </is>
      </c>
      <c r="C103" s="11" t="n">
        <v>6</v>
      </c>
      <c r="D103" s="11" t="n">
        <v>6</v>
      </c>
      <c r="E103" s="11" t="n">
        <v>6</v>
      </c>
      <c r="F103" s="11">
        <f>IF(D103&lt;&gt;"",D103,IF(C103&lt;&gt;"",C103,""))</f>
        <v/>
      </c>
      <c r="G103" s="11">
        <f>IF(AND(E103&lt;&gt;"",F103&lt;&gt;""),E103-F103,"")</f>
        <v/>
      </c>
      <c r="H103" s="17">
        <f>IF(G103="","",IF(F103=0,"",G103/F103))</f>
        <v/>
      </c>
      <c r="I103" s="18">
        <f>IF(E103="","SIN COMPRA",IF(F103="","NUEVO",IF(AND(ABS(G103)&lt;0.015,ABS(G103)&lt;F103*0.005),"IGUAL",IF(G103&gt;0,"SUBE","BAJA"))))</f>
        <v/>
      </c>
      <c r="J103" s="17">
        <f>IF(AND(C103&lt;&gt;"",D103&lt;&gt;""),IF(C103=0,"",D103/C103-1),"")</f>
        <v/>
      </c>
      <c r="K103" s="5" t="n"/>
    </row>
    <row r="104">
      <c r="A104" s="5" t="inlineStr">
        <is>
          <t>CRNAS SERVAN / CARNICAS OPC</t>
        </is>
      </c>
      <c r="B104" s="5" t="inlineStr">
        <is>
          <t>PALETILLA IBERICA</t>
        </is>
      </c>
      <c r="C104" s="11" t="n">
        <v>36</v>
      </c>
      <c r="D104" s="11" t="n"/>
      <c r="E104" s="11" t="n"/>
      <c r="F104" s="11">
        <f>IF(D104&lt;&gt;"",D104,IF(C104&lt;&gt;"",C104,""))</f>
        <v/>
      </c>
      <c r="G104" s="11">
        <f>IF(AND(E104&lt;&gt;"",F104&lt;&gt;""),E104-F104,"")</f>
        <v/>
      </c>
      <c r="H104" s="17">
        <f>IF(G104="","",IF(F104=0,"",G104/F104))</f>
        <v/>
      </c>
      <c r="I104" s="18">
        <f>IF(E104="","SIN COMPRA",IF(F104="","NUEVO",IF(AND(ABS(G104)&lt;0.015,ABS(G104)&lt;F104*0.005),"IGUAL",IF(G104&gt;0,"SUBE","BAJA"))))</f>
        <v/>
      </c>
      <c r="J104" s="17">
        <f>IF(AND(C104&lt;&gt;"",D104&lt;&gt;""),IF(C104=0,"",D104/C104-1),"")</f>
        <v/>
      </c>
      <c r="K104" s="5" t="n"/>
    </row>
    <row r="105">
      <c r="A105" s="5" t="inlineStr">
        <is>
          <t>CRNAS SERVAN / CARNICAS OPC</t>
        </is>
      </c>
      <c r="B105" s="5" t="inlineStr">
        <is>
          <t>PANCETA ADOBADA</t>
        </is>
      </c>
      <c r="C105" s="11" t="n">
        <v>8.800000000000001</v>
      </c>
      <c r="D105" s="11" t="n">
        <v>8.800000000000001</v>
      </c>
      <c r="E105" s="11" t="n">
        <v>8.800000000000001</v>
      </c>
      <c r="F105" s="11">
        <f>IF(D105&lt;&gt;"",D105,IF(C105&lt;&gt;"",C105,""))</f>
        <v/>
      </c>
      <c r="G105" s="11">
        <f>IF(AND(E105&lt;&gt;"",F105&lt;&gt;""),E105-F105,"")</f>
        <v/>
      </c>
      <c r="H105" s="17">
        <f>IF(G105="","",IF(F105=0,"",G105/F105))</f>
        <v/>
      </c>
      <c r="I105" s="18">
        <f>IF(E105="","SIN COMPRA",IF(F105="","NUEVO",IF(AND(ABS(G105)&lt;0.015,ABS(G105)&lt;F105*0.005),"IGUAL",IF(G105&gt;0,"SUBE","BAJA"))))</f>
        <v/>
      </c>
      <c r="J105" s="17">
        <f>IF(AND(C105&lt;&gt;"",D105&lt;&gt;""),IF(C105=0,"",D105/C105-1),"")</f>
        <v/>
      </c>
      <c r="K105" s="5" t="n"/>
    </row>
    <row r="106">
      <c r="A106" s="5" t="inlineStr">
        <is>
          <t>CRNAS SERVAN / CARNICAS OPC</t>
        </is>
      </c>
      <c r="B106" s="5" t="inlineStr">
        <is>
          <t>PATAS DE TERNERA</t>
        </is>
      </c>
      <c r="C106" s="11" t="n">
        <v>8.5</v>
      </c>
      <c r="D106" s="11" t="n">
        <v>8.5</v>
      </c>
      <c r="E106" s="11" t="n"/>
      <c r="F106" s="11">
        <f>IF(D106&lt;&gt;"",D106,IF(C106&lt;&gt;"",C106,""))</f>
        <v/>
      </c>
      <c r="G106" s="11">
        <f>IF(AND(E106&lt;&gt;"",F106&lt;&gt;""),E106-F106,"")</f>
        <v/>
      </c>
      <c r="H106" s="17">
        <f>IF(G106="","",IF(F106=0,"",G106/F106))</f>
        <v/>
      </c>
      <c r="I106" s="18">
        <f>IF(E106="","SIN COMPRA",IF(F106="","NUEVO",IF(AND(ABS(G106)&lt;0.015,ABS(G106)&lt;F106*0.005),"IGUAL",IF(G106&gt;0,"SUBE","BAJA"))))</f>
        <v/>
      </c>
      <c r="J106" s="17">
        <f>IF(AND(C106&lt;&gt;"",D106&lt;&gt;""),IF(C106=0,"",D106/C106-1),"")</f>
        <v/>
      </c>
      <c r="K106" s="5" t="n"/>
    </row>
    <row r="107">
      <c r="A107" s="5" t="inlineStr">
        <is>
          <t>CRNAS SERVAN / CARNICAS OPC</t>
        </is>
      </c>
      <c r="B107" s="5" t="inlineStr">
        <is>
          <t>PICADA MIXTA</t>
        </is>
      </c>
      <c r="C107" s="11" t="n"/>
      <c r="D107" s="11" t="n"/>
      <c r="E107" s="11" t="n">
        <v>7.5</v>
      </c>
      <c r="F107" s="11">
        <f>IF(D107&lt;&gt;"",D107,IF(C107&lt;&gt;"",C107,""))</f>
        <v/>
      </c>
      <c r="G107" s="11">
        <f>IF(AND(E107&lt;&gt;"",F107&lt;&gt;""),E107-F107,"")</f>
        <v/>
      </c>
      <c r="H107" s="17">
        <f>IF(G107="","",IF(F107=0,"",G107/F107))</f>
        <v/>
      </c>
      <c r="I107" s="18">
        <f>IF(E107="","SIN COMPRA",IF(F107="","NUEVO",IF(AND(ABS(G107)&lt;0.015,ABS(G107)&lt;F107*0.005),"IGUAL",IF(G107&gt;0,"SUBE","BAJA"))))</f>
        <v/>
      </c>
      <c r="J107" s="17">
        <f>IF(AND(C107&lt;&gt;"",D107&lt;&gt;""),IF(C107=0,"",D107/C107-1),"")</f>
        <v/>
      </c>
      <c r="K107" s="5" t="n"/>
    </row>
    <row r="108">
      <c r="A108" s="5" t="inlineStr">
        <is>
          <t>CRNAS SERVAN / CARNICAS OPC</t>
        </is>
      </c>
      <c r="B108" s="5" t="inlineStr">
        <is>
          <t>POLLO ENTERO</t>
        </is>
      </c>
      <c r="C108" s="11" t="n">
        <v>3.5</v>
      </c>
      <c r="D108" s="11" t="n"/>
      <c r="E108" s="11" t="n"/>
      <c r="F108" s="11">
        <f>IF(D108&lt;&gt;"",D108,IF(C108&lt;&gt;"",C108,""))</f>
        <v/>
      </c>
      <c r="G108" s="11">
        <f>IF(AND(E108&lt;&gt;"",F108&lt;&gt;""),E108-F108,"")</f>
        <v/>
      </c>
      <c r="H108" s="17">
        <f>IF(G108="","",IF(F108=0,"",G108/F108))</f>
        <v/>
      </c>
      <c r="I108" s="18">
        <f>IF(E108="","SIN COMPRA",IF(F108="","NUEVO",IF(AND(ABS(G108)&lt;0.015,ABS(G108)&lt;F108*0.005),"IGUAL",IF(G108&gt;0,"SUBE","BAJA"))))</f>
        <v/>
      </c>
      <c r="J108" s="17">
        <f>IF(AND(C108&lt;&gt;"",D108&lt;&gt;""),IF(C108=0,"",D108/C108-1),"")</f>
        <v/>
      </c>
      <c r="K108" s="5" t="n"/>
    </row>
    <row r="109">
      <c r="A109" s="5" t="inlineStr">
        <is>
          <t>CRNAS SERVAN / CARNICAS OPC</t>
        </is>
      </c>
      <c r="B109" s="5" t="inlineStr">
        <is>
          <t>POLLO TROCEADO</t>
        </is>
      </c>
      <c r="C109" s="11" t="n">
        <v>3.5</v>
      </c>
      <c r="D109" s="11" t="n"/>
      <c r="E109" s="11" t="n"/>
      <c r="F109" s="11">
        <f>IF(D109&lt;&gt;"",D109,IF(C109&lt;&gt;"",C109,""))</f>
        <v/>
      </c>
      <c r="G109" s="11">
        <f>IF(AND(E109&lt;&gt;"",F109&lt;&gt;""),E109-F109,"")</f>
        <v/>
      </c>
      <c r="H109" s="17">
        <f>IF(G109="","",IF(F109=0,"",G109/F109))</f>
        <v/>
      </c>
      <c r="I109" s="18">
        <f>IF(E109="","SIN COMPRA",IF(F109="","NUEVO",IF(AND(ABS(G109)&lt;0.015,ABS(G109)&lt;F109*0.005),"IGUAL",IF(G109&gt;0,"SUBE","BAJA"))))</f>
        <v/>
      </c>
      <c r="J109" s="17">
        <f>IF(AND(C109&lt;&gt;"",D109&lt;&gt;""),IF(C109=0,"",D109/C109-1),"")</f>
        <v/>
      </c>
      <c r="K109" s="5" t="n"/>
    </row>
    <row r="110">
      <c r="A110" s="5" t="inlineStr">
        <is>
          <t>CRUSTAPESCA</t>
        </is>
      </c>
      <c r="B110" s="5" t="inlineStr">
        <is>
          <t>COLA G</t>
        </is>
      </c>
      <c r="C110" s="11" t="n">
        <v>20</v>
      </c>
      <c r="D110" s="11" t="n">
        <v>20</v>
      </c>
      <c r="E110" s="11" t="n">
        <v>22</v>
      </c>
      <c r="F110" s="11">
        <f>IF(D110&lt;&gt;"",D110,IF(C110&lt;&gt;"",C110,""))</f>
        <v/>
      </c>
      <c r="G110" s="11">
        <f>IF(AND(E110&lt;&gt;"",F110&lt;&gt;""),E110-F110,"")</f>
        <v/>
      </c>
      <c r="H110" s="17">
        <f>IF(G110="","",IF(F110=0,"",G110/F110))</f>
        <v/>
      </c>
      <c r="I110" s="18">
        <f>IF(E110="","SIN COMPRA",IF(F110="","NUEVO",IF(AND(ABS(G110)&lt;0.015,ABS(G110)&lt;F110*0.005),"IGUAL",IF(G110&gt;0,"SUBE","BAJA"))))</f>
        <v/>
      </c>
      <c r="J110" s="17">
        <f>IF(AND(C110&lt;&gt;"",D110&lt;&gt;""),IF(C110=0,"",D110/C110-1),"")</f>
        <v/>
      </c>
      <c r="K110" s="5" t="inlineStr">
        <is>
          <t>Producto fresco: precio de mercado, fluctúa. Varios precios en septiembre: 20,00 / 22,00</t>
        </is>
      </c>
    </row>
    <row r="111">
      <c r="A111" s="5" t="inlineStr">
        <is>
          <t>CRUSTAPESCA</t>
        </is>
      </c>
      <c r="B111" s="5" t="inlineStr">
        <is>
          <t>GAMBA FR M</t>
        </is>
      </c>
      <c r="C111" s="11" t="n">
        <v>26</v>
      </c>
      <c r="D111" s="11" t="n">
        <v>26</v>
      </c>
      <c r="E111" s="11" t="n">
        <v>26</v>
      </c>
      <c r="F111" s="11">
        <f>IF(D111&lt;&gt;"",D111,IF(C111&lt;&gt;"",C111,""))</f>
        <v/>
      </c>
      <c r="G111" s="11">
        <f>IF(AND(E111&lt;&gt;"",F111&lt;&gt;""),E111-F111,"")</f>
        <v/>
      </c>
      <c r="H111" s="17">
        <f>IF(G111="","",IF(F111=0,"",G111/F111))</f>
        <v/>
      </c>
      <c r="I111" s="18">
        <f>IF(E111="","SIN COMPRA",IF(F111="","NUEVO",IF(AND(ABS(G111)&lt;0.015,ABS(G111)&lt;F111*0.005),"IGUAL",IF(G111&gt;0,"SUBE","BAJA"))))</f>
        <v/>
      </c>
      <c r="J111" s="17">
        <f>IF(AND(C111&lt;&gt;"",D111&lt;&gt;""),IF(C111=0,"",D111/C111-1),"")</f>
        <v/>
      </c>
      <c r="K111" s="5" t="inlineStr">
        <is>
          <t>Producto fresco: precio de mercado, fluctúa</t>
        </is>
      </c>
    </row>
    <row r="112">
      <c r="A112" s="5" t="inlineStr">
        <is>
          <t>CRUSTAPESCA</t>
        </is>
      </c>
      <c r="B112" s="5" t="inlineStr">
        <is>
          <t>VENTRESCA</t>
        </is>
      </c>
      <c r="C112" s="11" t="n">
        <v>59.6</v>
      </c>
      <c r="D112" s="11" t="n">
        <v>59.8</v>
      </c>
      <c r="E112" s="11" t="n">
        <v>62</v>
      </c>
      <c r="F112" s="11">
        <f>IF(D112&lt;&gt;"",D112,IF(C112&lt;&gt;"",C112,""))</f>
        <v/>
      </c>
      <c r="G112" s="11">
        <f>IF(AND(E112&lt;&gt;"",F112&lt;&gt;""),E112-F112,"")</f>
        <v/>
      </c>
      <c r="H112" s="17">
        <f>IF(G112="","",IF(F112=0,"",G112/F112))</f>
        <v/>
      </c>
      <c r="I112" s="18">
        <f>IF(E112="","SIN COMPRA",IF(F112="","NUEVO",IF(AND(ABS(G112)&lt;0.015,ABS(G112)&lt;F112*0.005),"IGUAL",IF(G112&gt;0,"SUBE","BAJA"))))</f>
        <v/>
      </c>
      <c r="J112" s="17">
        <f>IF(AND(C112&lt;&gt;"",D112&lt;&gt;""),IF(C112=0,"",D112/C112-1),"")</f>
        <v/>
      </c>
      <c r="K112" s="5" t="inlineStr">
        <is>
          <t>Producto fresco: precio de mercado, fluctúa. Varios precios en septiembre: 52,00 / 62,00</t>
        </is>
      </c>
    </row>
    <row r="113">
      <c r="A113" s="5" t="inlineStr">
        <is>
          <t>DELIPAN</t>
        </is>
      </c>
      <c r="B113" s="5" t="inlineStr">
        <is>
          <t>DELIFLAUTA 17 PERRITO 90 UDS</t>
        </is>
      </c>
      <c r="C113" s="11" t="n">
        <v>17.73</v>
      </c>
      <c r="D113" s="11" t="n">
        <v>17.73</v>
      </c>
      <c r="E113" s="11" t="n">
        <v>17.73</v>
      </c>
      <c r="F113" s="11">
        <f>IF(D113&lt;&gt;"",D113,IF(C113&lt;&gt;"",C113,""))</f>
        <v/>
      </c>
      <c r="G113" s="11">
        <f>IF(AND(E113&lt;&gt;"",F113&lt;&gt;""),E113-F113,"")</f>
        <v/>
      </c>
      <c r="H113" s="17">
        <f>IF(G113="","",IF(F113=0,"",G113/F113))</f>
        <v/>
      </c>
      <c r="I113" s="18">
        <f>IF(E113="","SIN COMPRA",IF(F113="","NUEVO",IF(AND(ABS(G113)&lt;0.015,ABS(G113)&lt;F113*0.005),"IGUAL",IF(G113&gt;0,"SUBE","BAJA"))))</f>
        <v/>
      </c>
      <c r="J113" s="17">
        <f>IF(AND(C113&lt;&gt;"",D113&lt;&gt;""),IF(C113=0,"",D113/C113-1),"")</f>
        <v/>
      </c>
      <c r="K113" s="5" t="n"/>
    </row>
    <row r="114">
      <c r="A114" s="5" t="inlineStr">
        <is>
          <t>DELIPAN</t>
        </is>
      </c>
      <c r="B114" s="5" t="inlineStr">
        <is>
          <t>PAN MOLDE BRIOCHE (7 UD)</t>
        </is>
      </c>
      <c r="C114" s="11" t="n">
        <v>88.09</v>
      </c>
      <c r="D114" s="11" t="n">
        <v>88.09</v>
      </c>
      <c r="E114" s="11" t="n">
        <v>88.09</v>
      </c>
      <c r="F114" s="11">
        <f>IF(D114&lt;&gt;"",D114,IF(C114&lt;&gt;"",C114,""))</f>
        <v/>
      </c>
      <c r="G114" s="11">
        <f>IF(AND(E114&lt;&gt;"",F114&lt;&gt;""),E114-F114,"")</f>
        <v/>
      </c>
      <c r="H114" s="17">
        <f>IF(G114="","",IF(F114=0,"",G114/F114))</f>
        <v/>
      </c>
      <c r="I114" s="18">
        <f>IF(E114="","SIN COMPRA",IF(F114="","NUEVO",IF(AND(ABS(G114)&lt;0.015,ABS(G114)&lt;F114*0.005),"IGUAL",IF(G114&gt;0,"SUBE","BAJA"))))</f>
        <v/>
      </c>
      <c r="J114" s="17">
        <f>IF(AND(C114&lt;&gt;"",D114&lt;&gt;""),IF(C114=0,"",D114/C114-1),"")</f>
        <v/>
      </c>
      <c r="K114" s="5" t="n"/>
    </row>
    <row r="115">
      <c r="A115" s="5" t="inlineStr">
        <is>
          <t>DELIPAN</t>
        </is>
      </c>
      <c r="B115" s="5" t="inlineStr">
        <is>
          <t>PICOS ARTESANOS 500GR</t>
        </is>
      </c>
      <c r="C115" s="11" t="n">
        <v>11.48</v>
      </c>
      <c r="D115" s="11" t="n">
        <v>11.48</v>
      </c>
      <c r="E115" s="11" t="n">
        <v>11.48</v>
      </c>
      <c r="F115" s="11">
        <f>IF(D115&lt;&gt;"",D115,IF(C115&lt;&gt;"",C115,""))</f>
        <v/>
      </c>
      <c r="G115" s="11">
        <f>IF(AND(E115&lt;&gt;"",F115&lt;&gt;""),E115-F115,"")</f>
        <v/>
      </c>
      <c r="H115" s="17">
        <f>IF(G115="","",IF(F115=0,"",G115/F115))</f>
        <v/>
      </c>
      <c r="I115" s="18">
        <f>IF(E115="","SIN COMPRA",IF(F115="","NUEVO",IF(AND(ABS(G115)&lt;0.015,ABS(G115)&lt;F115*0.005),"IGUAL",IF(G115&gt;0,"SUBE","BAJA"))))</f>
        <v/>
      </c>
      <c r="J115" s="17">
        <f>IF(AND(C115&lt;&gt;"",D115&lt;&gt;""),IF(C115=0,"",D115/C115-1),"")</f>
        <v/>
      </c>
      <c r="K115" s="5" t="n"/>
    </row>
    <row r="116">
      <c r="A116" s="5" t="inlineStr">
        <is>
          <t>DELIPAN</t>
        </is>
      </c>
      <c r="B116" s="5" t="inlineStr">
        <is>
          <t>PICOS SIN GLUTEN 20GR (25 UDS)</t>
        </is>
      </c>
      <c r="C116" s="11" t="n">
        <v>11.29</v>
      </c>
      <c r="D116" s="11" t="n"/>
      <c r="E116" s="11" t="n">
        <v>11.29</v>
      </c>
      <c r="F116" s="11">
        <f>IF(D116&lt;&gt;"",D116,IF(C116&lt;&gt;"",C116,""))</f>
        <v/>
      </c>
      <c r="G116" s="11">
        <f>IF(AND(E116&lt;&gt;"",F116&lt;&gt;""),E116-F116,"")</f>
        <v/>
      </c>
      <c r="H116" s="17">
        <f>IF(G116="","",IF(F116=0,"",G116/F116))</f>
        <v/>
      </c>
      <c r="I116" s="18">
        <f>IF(E116="","SIN COMPRA",IF(F116="","NUEVO",IF(AND(ABS(G116)&lt;0.015,ABS(G116)&lt;F116*0.005),"IGUAL",IF(G116&gt;0,"SUBE","BAJA"))))</f>
        <v/>
      </c>
      <c r="J116" s="17">
        <f>IF(AND(C116&lt;&gt;"",D116&lt;&gt;""),IF(C116=0,"",D116/C116-1),"")</f>
        <v/>
      </c>
      <c r="K116" s="5" t="n"/>
    </row>
    <row r="117">
      <c r="A117" s="5" t="inlineStr">
        <is>
          <t>DISOLTRIGO</t>
        </is>
      </c>
      <c r="B117" s="5" t="inlineStr">
        <is>
          <t>24 PERLE NOIRE N.2</t>
        </is>
      </c>
      <c r="C117" s="11" t="n">
        <v>41.5</v>
      </c>
      <c r="D117" s="11" t="n">
        <v>41.5</v>
      </c>
      <c r="E117" s="11" t="n">
        <v>41.5</v>
      </c>
      <c r="F117" s="11">
        <f>IF(D117&lt;&gt;"",D117,IF(C117&lt;&gt;"",C117,""))</f>
        <v/>
      </c>
      <c r="G117" s="11">
        <f>IF(AND(E117&lt;&gt;"",F117&lt;&gt;""),E117-F117,"")</f>
        <v/>
      </c>
      <c r="H117" s="17">
        <f>IF(G117="","",IF(F117=0,"",G117/F117))</f>
        <v/>
      </c>
      <c r="I117" s="18">
        <f>IF(E117="","SIN COMPRA",IF(F117="","NUEVO",IF(AND(ABS(G117)&lt;0.015,ABS(G117)&lt;F117*0.005),"IGUAL",IF(G117&gt;0,"SUBE","BAJA"))))</f>
        <v/>
      </c>
      <c r="J117" s="17">
        <f>IF(AND(C117&lt;&gt;"",D117&lt;&gt;""),IF(C117=0,"",D117/C117-1),"")</f>
        <v/>
      </c>
      <c r="K117" s="5" t="n"/>
    </row>
    <row r="118">
      <c r="A118" s="5" t="inlineStr">
        <is>
          <t>DISOLTRIGO</t>
        </is>
      </c>
      <c r="B118" s="5" t="inlineStr">
        <is>
          <t>BOQUERON CASERO EN ACEITE 700G</t>
        </is>
      </c>
      <c r="C118" s="11" t="n">
        <v>18.5</v>
      </c>
      <c r="D118" s="11" t="n"/>
      <c r="E118" s="11" t="n"/>
      <c r="F118" s="11">
        <f>IF(D118&lt;&gt;"",D118,IF(C118&lt;&gt;"",C118,""))</f>
        <v/>
      </c>
      <c r="G118" s="11">
        <f>IF(AND(E118&lt;&gt;"",F118&lt;&gt;""),E118-F118,"")</f>
        <v/>
      </c>
      <c r="H118" s="17">
        <f>IF(G118="","",IF(F118=0,"",G118/F118))</f>
        <v/>
      </c>
      <c r="I118" s="18">
        <f>IF(E118="","SIN COMPRA",IF(F118="","NUEVO",IF(AND(ABS(G118)&lt;0.015,ABS(G118)&lt;F118*0.005),"IGUAL",IF(G118&gt;0,"SUBE","BAJA"))))</f>
        <v/>
      </c>
      <c r="J118" s="17">
        <f>IF(AND(C118&lt;&gt;"",D118&lt;&gt;""),IF(C118=0,"",D118/C118-1),"")</f>
        <v/>
      </c>
      <c r="K118" s="5" t="n"/>
    </row>
    <row r="119">
      <c r="A119" s="5" t="inlineStr">
        <is>
          <t>DISOLTRIGO</t>
        </is>
      </c>
      <c r="B119" s="5" t="inlineStr">
        <is>
          <t>BOQUERON EN VINAGRE PANDERETA</t>
        </is>
      </c>
      <c r="C119" s="11" t="n">
        <v>19</v>
      </c>
      <c r="D119" s="11" t="n">
        <v>19</v>
      </c>
      <c r="E119" s="11" t="n">
        <v>19</v>
      </c>
      <c r="F119" s="11">
        <f>IF(D119&lt;&gt;"",D119,IF(C119&lt;&gt;"",C119,""))</f>
        <v/>
      </c>
      <c r="G119" s="11">
        <f>IF(AND(E119&lt;&gt;"",F119&lt;&gt;""),E119-F119,"")</f>
        <v/>
      </c>
      <c r="H119" s="17">
        <f>IF(G119="","",IF(F119=0,"",G119/F119))</f>
        <v/>
      </c>
      <c r="I119" s="18">
        <f>IF(E119="","SIN COMPRA",IF(F119="","NUEVO",IF(AND(ABS(G119)&lt;0.015,ABS(G119)&lt;F119*0.005),"IGUAL",IF(G119&gt;0,"SUBE","BAJA"))))</f>
        <v/>
      </c>
      <c r="J119" s="17">
        <f>IF(AND(C119&lt;&gt;"",D119&lt;&gt;""),IF(C119=0,"",D119/C119-1),"")</f>
        <v/>
      </c>
      <c r="K119" s="5" t="n"/>
    </row>
    <row r="120">
      <c r="A120" s="5" t="inlineStr">
        <is>
          <t>DIST. TENA MTNEZ</t>
        </is>
      </c>
      <c r="B120" s="5" t="inlineStr">
        <is>
          <t>ALBARIÑO MAR DE FRADES</t>
        </is>
      </c>
      <c r="C120" s="11" t="n">
        <v>11.42</v>
      </c>
      <c r="D120" s="11" t="n">
        <v>11.42</v>
      </c>
      <c r="E120" s="11" t="n">
        <v>11.42</v>
      </c>
      <c r="F120" s="11">
        <f>IF(D120&lt;&gt;"",D120,IF(C120&lt;&gt;"",C120,""))</f>
        <v/>
      </c>
      <c r="G120" s="11">
        <f>IF(AND(E120&lt;&gt;"",F120&lt;&gt;""),E120-F120,"")</f>
        <v/>
      </c>
      <c r="H120" s="17">
        <f>IF(G120="","",IF(F120=0,"",G120/F120))</f>
        <v/>
      </c>
      <c r="I120" s="18">
        <f>IF(E120="","SIN COMPRA",IF(F120="","NUEVO",IF(AND(ABS(G120)&lt;0.015,ABS(G120)&lt;F120*0.005),"IGUAL",IF(G120&gt;0,"SUBE","BAJA"))))</f>
        <v/>
      </c>
      <c r="J120" s="17">
        <f>IF(AND(C120&lt;&gt;"",D120&lt;&gt;""),IF(C120=0,"",D120/C120-1),"")</f>
        <v/>
      </c>
      <c r="K120" s="5" t="n"/>
    </row>
    <row r="121">
      <c r="A121" s="5" t="inlineStr">
        <is>
          <t>DIST. TENA MTNEZ</t>
        </is>
      </c>
      <c r="B121" s="5" t="inlineStr">
        <is>
          <t>CAVA BRUT NATURE GRAN CLAUSTRO</t>
        </is>
      </c>
      <c r="C121" s="11" t="n">
        <v>15.12</v>
      </c>
      <c r="D121" s="11" t="n"/>
      <c r="E121" s="11" t="n">
        <v>15.12</v>
      </c>
      <c r="F121" s="11">
        <f>IF(D121&lt;&gt;"",D121,IF(C121&lt;&gt;"",C121,""))</f>
        <v/>
      </c>
      <c r="G121" s="11">
        <f>IF(AND(E121&lt;&gt;"",F121&lt;&gt;""),E121-F121,"")</f>
        <v/>
      </c>
      <c r="H121" s="17">
        <f>IF(G121="","",IF(F121=0,"",G121/F121))</f>
        <v/>
      </c>
      <c r="I121" s="18">
        <f>IF(E121="","SIN COMPRA",IF(F121="","NUEVO",IF(AND(ABS(G121)&lt;0.015,ABS(G121)&lt;F121*0.005),"IGUAL",IF(G121&gt;0,"SUBE","BAJA"))))</f>
        <v/>
      </c>
      <c r="J121" s="17">
        <f>IF(AND(C121&lt;&gt;"",D121&lt;&gt;""),IF(C121=0,"",D121/C121-1),"")</f>
        <v/>
      </c>
      <c r="K121" s="5" t="n"/>
    </row>
    <row r="122">
      <c r="A122" s="5" t="inlineStr">
        <is>
          <t>DIST. TENA MTNEZ</t>
        </is>
      </c>
      <c r="B122" s="5" t="inlineStr">
        <is>
          <t>CHARDONAY LIAS ECOLOGICO F.ELEZ</t>
        </is>
      </c>
      <c r="C122" s="11" t="n">
        <v>9.02</v>
      </c>
      <c r="D122" s="11" t="n">
        <v>9.02</v>
      </c>
      <c r="E122" s="11" t="n"/>
      <c r="F122" s="11">
        <f>IF(D122&lt;&gt;"",D122,IF(C122&lt;&gt;"",C122,""))</f>
        <v/>
      </c>
      <c r="G122" s="11">
        <f>IF(AND(E122&lt;&gt;"",F122&lt;&gt;""),E122-F122,"")</f>
        <v/>
      </c>
      <c r="H122" s="17">
        <f>IF(G122="","",IF(F122=0,"",G122/F122))</f>
        <v/>
      </c>
      <c r="I122" s="18">
        <f>IF(E122="","SIN COMPRA",IF(F122="","NUEVO",IF(AND(ABS(G122)&lt;0.015,ABS(G122)&lt;F122*0.005),"IGUAL",IF(G122&gt;0,"SUBE","BAJA"))))</f>
        <v/>
      </c>
      <c r="J122" s="17">
        <f>IF(AND(C122&lt;&gt;"",D122&lt;&gt;""),IF(C122=0,"",D122/C122-1),"")</f>
        <v/>
      </c>
      <c r="K122" s="5" t="n"/>
    </row>
    <row r="123">
      <c r="A123" s="5" t="inlineStr">
        <is>
          <t>DIST. TENA MTNEZ</t>
        </is>
      </c>
      <c r="B123" s="5" t="inlineStr">
        <is>
          <t>CRUZ DE ALBA ROBLE 3/4</t>
        </is>
      </c>
      <c r="C123" s="11" t="n"/>
      <c r="D123" s="11" t="n"/>
      <c r="E123" s="11" t="n">
        <v>7.48</v>
      </c>
      <c r="F123" s="11">
        <f>IF(D123&lt;&gt;"",D123,IF(C123&lt;&gt;"",C123,""))</f>
        <v/>
      </c>
      <c r="G123" s="11">
        <f>IF(AND(E123&lt;&gt;"",F123&lt;&gt;""),E123-F123,"")</f>
        <v/>
      </c>
      <c r="H123" s="17">
        <f>IF(G123="","",IF(F123=0,"",G123/F123))</f>
        <v/>
      </c>
      <c r="I123" s="18">
        <f>IF(E123="","SIN COMPRA",IF(F123="","NUEVO",IF(AND(ABS(G123)&lt;0.015,ABS(G123)&lt;F123*0.005),"IGUAL",IF(G123&gt;0,"SUBE","BAJA"))))</f>
        <v/>
      </c>
      <c r="J123" s="17">
        <f>IF(AND(C123&lt;&gt;"",D123&lt;&gt;""),IF(C123=0,"",D123/C123-1),"")</f>
        <v/>
      </c>
      <c r="K123" s="5" t="n"/>
    </row>
    <row r="124">
      <c r="A124" s="5" t="inlineStr">
        <is>
          <t>DIST. TENA MTNEZ</t>
        </is>
      </c>
      <c r="B124" s="5" t="inlineStr">
        <is>
          <t>GINEBRA MARTIN MILLER 3/4</t>
        </is>
      </c>
      <c r="C124" s="11" t="n">
        <v>16.1</v>
      </c>
      <c r="D124" s="11" t="n"/>
      <c r="E124" s="11" t="n"/>
      <c r="F124" s="11">
        <f>IF(D124&lt;&gt;"",D124,IF(C124&lt;&gt;"",C124,""))</f>
        <v/>
      </c>
      <c r="G124" s="11">
        <f>IF(AND(E124&lt;&gt;"",F124&lt;&gt;""),E124-F124,"")</f>
        <v/>
      </c>
      <c r="H124" s="17">
        <f>IF(G124="","",IF(F124=0,"",G124/F124))</f>
        <v/>
      </c>
      <c r="I124" s="18">
        <f>IF(E124="","SIN COMPRA",IF(F124="","NUEVO",IF(AND(ABS(G124)&lt;0.015,ABS(G124)&lt;F124*0.005),"IGUAL",IF(G124&gt;0,"SUBE","BAJA"))))</f>
        <v/>
      </c>
      <c r="J124" s="17">
        <f>IF(AND(C124&lt;&gt;"",D124&lt;&gt;""),IF(C124=0,"",D124/C124-1),"")</f>
        <v/>
      </c>
      <c r="K124" s="5" t="n"/>
    </row>
    <row r="125">
      <c r="A125" s="5" t="inlineStr">
        <is>
          <t>DIST. TENA MTNEZ</t>
        </is>
      </c>
      <c r="B125" s="5" t="inlineStr">
        <is>
          <t>GODELLO VIÑAREDO</t>
        </is>
      </c>
      <c r="C125" s="11" t="n">
        <v>7.03</v>
      </c>
      <c r="D125" s="11" t="n">
        <v>7.03</v>
      </c>
      <c r="E125" s="11" t="n">
        <v>7.03</v>
      </c>
      <c r="F125" s="11">
        <f>IF(D125&lt;&gt;"",D125,IF(C125&lt;&gt;"",C125,""))</f>
        <v/>
      </c>
      <c r="G125" s="11">
        <f>IF(AND(E125&lt;&gt;"",F125&lt;&gt;""),E125-F125,"")</f>
        <v/>
      </c>
      <c r="H125" s="17">
        <f>IF(G125="","",IF(F125=0,"",G125/F125))</f>
        <v/>
      </c>
      <c r="I125" s="18">
        <f>IF(E125="","SIN COMPRA",IF(F125="","NUEVO",IF(AND(ABS(G125)&lt;0.015,ABS(G125)&lt;F125*0.005),"IGUAL",IF(G125&gt;0,"SUBE","BAJA"))))</f>
        <v/>
      </c>
      <c r="J125" s="17">
        <f>IF(AND(C125&lt;&gt;"",D125&lt;&gt;""),IF(C125=0,"",D125/C125-1),"")</f>
        <v/>
      </c>
      <c r="K125" s="5" t="n"/>
    </row>
    <row r="126">
      <c r="A126" s="5" t="inlineStr">
        <is>
          <t>DIST. TENA MTNEZ</t>
        </is>
      </c>
      <c r="B126" s="5" t="inlineStr">
        <is>
          <t>POMMERY ROYAL BRUT 3/4</t>
        </is>
      </c>
      <c r="C126" s="11" t="n"/>
      <c r="D126" s="11" t="n"/>
      <c r="E126" s="11" t="n">
        <v>36.35</v>
      </c>
      <c r="F126" s="11">
        <f>IF(D126&lt;&gt;"",D126,IF(C126&lt;&gt;"",C126,""))</f>
        <v/>
      </c>
      <c r="G126" s="11">
        <f>IF(AND(E126&lt;&gt;"",F126&lt;&gt;""),E126-F126,"")</f>
        <v/>
      </c>
      <c r="H126" s="17">
        <f>IF(G126="","",IF(F126=0,"",G126/F126))</f>
        <v/>
      </c>
      <c r="I126" s="18">
        <f>IF(E126="","SIN COMPRA",IF(F126="","NUEVO",IF(AND(ABS(G126)&lt;0.015,ABS(G126)&lt;F126*0.005),"IGUAL",IF(G126&gt;0,"SUBE","BAJA"))))</f>
        <v/>
      </c>
      <c r="J126" s="17">
        <f>IF(AND(C126&lt;&gt;"",D126&lt;&gt;""),IF(C126=0,"",D126/C126-1),"")</f>
        <v/>
      </c>
      <c r="K126" s="5" t="n"/>
    </row>
    <row r="127">
      <c r="A127" s="5" t="inlineStr">
        <is>
          <t>DIST. TENA MTNEZ</t>
        </is>
      </c>
      <c r="B127" s="5" t="inlineStr">
        <is>
          <t>SEÑORIO DE FITERO ROBLE</t>
        </is>
      </c>
      <c r="C127" s="11" t="n">
        <v>2.82</v>
      </c>
      <c r="D127" s="11" t="n">
        <v>2.82</v>
      </c>
      <c r="E127" s="11" t="n"/>
      <c r="F127" s="11">
        <f>IF(D127&lt;&gt;"",D127,IF(C127&lt;&gt;"",C127,""))</f>
        <v/>
      </c>
      <c r="G127" s="11">
        <f>IF(AND(E127&lt;&gt;"",F127&lt;&gt;""),E127-F127,"")</f>
        <v/>
      </c>
      <c r="H127" s="17">
        <f>IF(G127="","",IF(F127=0,"",G127/F127))</f>
        <v/>
      </c>
      <c r="I127" s="18">
        <f>IF(E127="","SIN COMPRA",IF(F127="","NUEVO",IF(AND(ABS(G127)&lt;0.015,ABS(G127)&lt;F127*0.005),"IGUAL",IF(G127&gt;0,"SUBE","BAJA"))))</f>
        <v/>
      </c>
      <c r="J127" s="17">
        <f>IF(AND(C127&lt;&gt;"",D127&lt;&gt;""),IF(C127=0,"",D127/C127-1),"")</f>
        <v/>
      </c>
      <c r="K127" s="5" t="n"/>
    </row>
    <row r="128">
      <c r="A128" s="5" t="inlineStr">
        <is>
          <t>EIF DISTRIBUCIONES</t>
        </is>
      </c>
      <c r="B128" s="5" t="inlineStr">
        <is>
          <t>BARCELO AÑEJO</t>
        </is>
      </c>
      <c r="C128" s="11" t="n">
        <v>12.34</v>
      </c>
      <c r="D128" s="11" t="n">
        <v>12.34</v>
      </c>
      <c r="E128" s="11" t="n"/>
      <c r="F128" s="11">
        <f>IF(D128&lt;&gt;"",D128,IF(C128&lt;&gt;"",C128,""))</f>
        <v/>
      </c>
      <c r="G128" s="11">
        <f>IF(AND(E128&lt;&gt;"",F128&lt;&gt;""),E128-F128,"")</f>
        <v/>
      </c>
      <c r="H128" s="17">
        <f>IF(G128="","",IF(F128=0,"",G128/F128))</f>
        <v/>
      </c>
      <c r="I128" s="18">
        <f>IF(E128="","SIN COMPRA",IF(F128="","NUEVO",IF(AND(ABS(G128)&lt;0.015,ABS(G128)&lt;F128*0.005),"IGUAL",IF(G128&gt;0,"SUBE","BAJA"))))</f>
        <v/>
      </c>
      <c r="J128" s="17">
        <f>IF(AND(C128&lt;&gt;"",D128&lt;&gt;""),IF(C128=0,"",D128/C128-1),"")</f>
        <v/>
      </c>
      <c r="K128" s="5" t="n"/>
    </row>
    <row r="129">
      <c r="A129" s="5" t="inlineStr">
        <is>
          <t>EIF DISTRIBUCIONES</t>
        </is>
      </c>
      <c r="B129" s="5" t="inlineStr">
        <is>
          <t>COCA COLA ZERO NAC RET</t>
        </is>
      </c>
      <c r="C129" s="11" t="n"/>
      <c r="D129" s="11" t="n">
        <v>21.78</v>
      </c>
      <c r="E129" s="11" t="n"/>
      <c r="F129" s="11">
        <f>IF(D129&lt;&gt;"",D129,IF(C129&lt;&gt;"",C129,""))</f>
        <v/>
      </c>
      <c r="G129" s="11">
        <f>IF(AND(E129&lt;&gt;"",F129&lt;&gt;""),E129-F129,"")</f>
        <v/>
      </c>
      <c r="H129" s="17">
        <f>IF(G129="","",IF(F129=0,"",G129/F129))</f>
        <v/>
      </c>
      <c r="I129" s="18">
        <f>IF(E129="","SIN COMPRA",IF(F129="","NUEVO",IF(AND(ABS(G129)&lt;0.015,ABS(G129)&lt;F129*0.005),"IGUAL",IF(G129&gt;0,"SUBE","BAJA"))))</f>
        <v/>
      </c>
      <c r="J129" s="17">
        <f>IF(AND(C129&lt;&gt;"",D129&lt;&gt;""),IF(C129=0,"",D129/C129-1),"")</f>
        <v/>
      </c>
      <c r="K129" s="5" t="n"/>
    </row>
    <row r="130">
      <c r="A130" s="5" t="inlineStr">
        <is>
          <t>EIF DISTRIBUCIONES</t>
        </is>
      </c>
      <c r="B130" s="5" t="inlineStr">
        <is>
          <t>IZAGUIRRE BOX 20L</t>
        </is>
      </c>
      <c r="C130" s="11" t="n">
        <v>116.55</v>
      </c>
      <c r="D130" s="11" t="n">
        <v>116.55</v>
      </c>
      <c r="E130" s="11" t="n"/>
      <c r="F130" s="11">
        <f>IF(D130&lt;&gt;"",D130,IF(C130&lt;&gt;"",C130,""))</f>
        <v/>
      </c>
      <c r="G130" s="11">
        <f>IF(AND(E130&lt;&gt;"",F130&lt;&gt;""),E130-F130,"")</f>
        <v/>
      </c>
      <c r="H130" s="17">
        <f>IF(G130="","",IF(F130=0,"",G130/F130))</f>
        <v/>
      </c>
      <c r="I130" s="18">
        <f>IF(E130="","SIN COMPRA",IF(F130="","NUEVO",IF(AND(ABS(G130)&lt;0.015,ABS(G130)&lt;F130*0.005),"IGUAL",IF(G130&gt;0,"SUBE","BAJA"))))</f>
        <v/>
      </c>
      <c r="J130" s="17">
        <f>IF(AND(C130&lt;&gt;"",D130&lt;&gt;""),IF(C130=0,"",D130/C130-1),"")</f>
        <v/>
      </c>
      <c r="K130" s="5" t="n"/>
    </row>
    <row r="131">
      <c r="A131" s="5" t="inlineStr">
        <is>
          <t>EIF DISTRIBUCIONES</t>
        </is>
      </c>
      <c r="B131" s="5" t="inlineStr">
        <is>
          <t>MAHOU 0,0 TOSTADA</t>
        </is>
      </c>
      <c r="C131" s="11" t="n"/>
      <c r="D131" s="11" t="n">
        <v>23.85</v>
      </c>
      <c r="E131" s="11" t="n"/>
      <c r="F131" s="11">
        <f>IF(D131&lt;&gt;"",D131,IF(C131&lt;&gt;"",C131,""))</f>
        <v/>
      </c>
      <c r="G131" s="11">
        <f>IF(AND(E131&lt;&gt;"",F131&lt;&gt;""),E131-F131,"")</f>
        <v/>
      </c>
      <c r="H131" s="17">
        <f>IF(G131="","",IF(F131=0,"",G131/F131))</f>
        <v/>
      </c>
      <c r="I131" s="18">
        <f>IF(E131="","SIN COMPRA",IF(F131="","NUEVO",IF(AND(ABS(G131)&lt;0.015,ABS(G131)&lt;F131*0.005),"IGUAL",IF(G131&gt;0,"SUBE","BAJA"))))</f>
        <v/>
      </c>
      <c r="J131" s="17">
        <f>IF(AND(C131&lt;&gt;"",D131&lt;&gt;""),IF(C131=0,"",D131/C131-1),"")</f>
        <v/>
      </c>
      <c r="K131" s="5" t="n"/>
    </row>
    <row r="132">
      <c r="A132" s="5" t="inlineStr">
        <is>
          <t>EIF DISTRIBUCIONES</t>
        </is>
      </c>
      <c r="B132" s="5" t="inlineStr">
        <is>
          <t>MAHOU SIN GLUTEN</t>
        </is>
      </c>
      <c r="C132" s="11" t="n">
        <v>21.95</v>
      </c>
      <c r="D132" s="11" t="n"/>
      <c r="E132" s="11" t="n"/>
      <c r="F132" s="11">
        <f>IF(D132&lt;&gt;"",D132,IF(C132&lt;&gt;"",C132,""))</f>
        <v/>
      </c>
      <c r="G132" s="11">
        <f>IF(AND(E132&lt;&gt;"",F132&lt;&gt;""),E132-F132,"")</f>
        <v/>
      </c>
      <c r="H132" s="17">
        <f>IF(G132="","",IF(F132=0,"",G132/F132))</f>
        <v/>
      </c>
      <c r="I132" s="18">
        <f>IF(E132="","SIN COMPRA",IF(F132="","NUEVO",IF(AND(ABS(G132)&lt;0.015,ABS(G132)&lt;F132*0.005),"IGUAL",IF(G132&gt;0,"SUBE","BAJA"))))</f>
        <v/>
      </c>
      <c r="J132" s="17">
        <f>IF(AND(C132&lt;&gt;"",D132&lt;&gt;""),IF(C132=0,"",D132/C132-1),"")</f>
        <v/>
      </c>
      <c r="K132" s="5" t="n"/>
    </row>
    <row r="133">
      <c r="A133" s="5" t="inlineStr">
        <is>
          <t>EIF DISTRIBUCIONES</t>
        </is>
      </c>
      <c r="B133" s="5" t="inlineStr">
        <is>
          <t>RED BULL</t>
        </is>
      </c>
      <c r="C133" s="11" t="n">
        <v>20.88</v>
      </c>
      <c r="D133" s="11" t="n"/>
      <c r="E133" s="11" t="n"/>
      <c r="F133" s="11">
        <f>IF(D133&lt;&gt;"",D133,IF(C133&lt;&gt;"",C133,""))</f>
        <v/>
      </c>
      <c r="G133" s="11">
        <f>IF(AND(E133&lt;&gt;"",F133&lt;&gt;""),E133-F133,"")</f>
        <v/>
      </c>
      <c r="H133" s="17">
        <f>IF(G133="","",IF(F133=0,"",G133/F133))</f>
        <v/>
      </c>
      <c r="I133" s="18">
        <f>IF(E133="","SIN COMPRA",IF(F133="","NUEVO",IF(AND(ABS(G133)&lt;0.015,ABS(G133)&lt;F133*0.005),"IGUAL",IF(G133&gt;0,"SUBE","BAJA"))))</f>
        <v/>
      </c>
      <c r="J133" s="17">
        <f>IF(AND(C133&lt;&gt;"",D133&lt;&gt;""),IF(C133=0,"",D133/C133-1),"")</f>
        <v/>
      </c>
      <c r="K133" s="5" t="n"/>
    </row>
    <row r="134">
      <c r="A134" s="5" t="inlineStr">
        <is>
          <t>EIF DISTRIBUCIONES</t>
        </is>
      </c>
      <c r="B134" s="5" t="inlineStr">
        <is>
          <t>RED BULL SIN AZUCAR</t>
        </is>
      </c>
      <c r="C134" s="11" t="n">
        <v>20.88</v>
      </c>
      <c r="D134" s="11" t="n"/>
      <c r="E134" s="11" t="n"/>
      <c r="F134" s="11">
        <f>IF(D134&lt;&gt;"",D134,IF(C134&lt;&gt;"",C134,""))</f>
        <v/>
      </c>
      <c r="G134" s="11">
        <f>IF(AND(E134&lt;&gt;"",F134&lt;&gt;""),E134-F134,"")</f>
        <v/>
      </c>
      <c r="H134" s="17">
        <f>IF(G134="","",IF(F134=0,"",G134/F134))</f>
        <v/>
      </c>
      <c r="I134" s="18">
        <f>IF(E134="","SIN COMPRA",IF(F134="","NUEVO",IF(AND(ABS(G134)&lt;0.015,ABS(G134)&lt;F134*0.005),"IGUAL",IF(G134&gt;0,"SUBE","BAJA"))))</f>
        <v/>
      </c>
      <c r="J134" s="17">
        <f>IF(AND(C134&lt;&gt;"",D134&lt;&gt;""),IF(C134=0,"",D134/C134-1),"")</f>
        <v/>
      </c>
      <c r="K134" s="5" t="n"/>
    </row>
    <row r="135">
      <c r="A135" s="5" t="inlineStr">
        <is>
          <t>EIF DISTRIBUCIONES</t>
        </is>
      </c>
      <c r="B135" s="5" t="inlineStr">
        <is>
          <t>SCHWEPPES TONICA RET 28 UDS</t>
        </is>
      </c>
      <c r="C135" s="11" t="n"/>
      <c r="D135" s="11" t="n">
        <v>24.84</v>
      </c>
      <c r="E135" s="11" t="n"/>
      <c r="F135" s="11">
        <f>IF(D135&lt;&gt;"",D135,IF(C135&lt;&gt;"",C135,""))</f>
        <v/>
      </c>
      <c r="G135" s="11">
        <f>IF(AND(E135&lt;&gt;"",F135&lt;&gt;""),E135-F135,"")</f>
        <v/>
      </c>
      <c r="H135" s="17">
        <f>IF(G135="","",IF(F135=0,"",G135/F135))</f>
        <v/>
      </c>
      <c r="I135" s="18">
        <f>IF(E135="","SIN COMPRA",IF(F135="","NUEVO",IF(AND(ABS(G135)&lt;0.015,ABS(G135)&lt;F135*0.005),"IGUAL",IF(G135&gt;0,"SUBE","BAJA"))))</f>
        <v/>
      </c>
      <c r="J135" s="17">
        <f>IF(AND(C135&lt;&gt;"",D135&lt;&gt;""),IF(C135=0,"",D135/C135-1),"")</f>
        <v/>
      </c>
      <c r="K135" s="5" t="n"/>
    </row>
    <row r="136">
      <c r="A136" s="5" t="inlineStr">
        <is>
          <t>EIF DISTRIBUCIONES</t>
        </is>
      </c>
      <c r="B136" s="5" t="inlineStr">
        <is>
          <t>SOLAN DE CABRAS CON GAS</t>
        </is>
      </c>
      <c r="C136" s="11" t="n">
        <v>26.8</v>
      </c>
      <c r="D136" s="11" t="n">
        <v>26.8</v>
      </c>
      <c r="E136" s="11" t="n"/>
      <c r="F136" s="11">
        <f>IF(D136&lt;&gt;"",D136,IF(C136&lt;&gt;"",C136,""))</f>
        <v/>
      </c>
      <c r="G136" s="11">
        <f>IF(AND(E136&lt;&gt;"",F136&lt;&gt;""),E136-F136,"")</f>
        <v/>
      </c>
      <c r="H136" s="17">
        <f>IF(G136="","",IF(F136=0,"",G136/F136))</f>
        <v/>
      </c>
      <c r="I136" s="18">
        <f>IF(E136="","SIN COMPRA",IF(F136="","NUEVO",IF(AND(ABS(G136)&lt;0.015,ABS(G136)&lt;F136*0.005),"IGUAL",IF(G136&gt;0,"SUBE","BAJA"))))</f>
        <v/>
      </c>
      <c r="J136" s="17">
        <f>IF(AND(C136&lt;&gt;"",D136&lt;&gt;""),IF(C136=0,"",D136/C136-1),"")</f>
        <v/>
      </c>
      <c r="K136" s="5" t="n"/>
    </row>
    <row r="137">
      <c r="A137" s="5" t="inlineStr">
        <is>
          <t>ENRIQUE CAMPS</t>
        </is>
      </c>
      <c r="B137" s="5" t="inlineStr">
        <is>
          <t>TARTA CHOCOLATE</t>
        </is>
      </c>
      <c r="C137" s="11" t="n">
        <v>37</v>
      </c>
      <c r="D137" s="11" t="n">
        <v>37</v>
      </c>
      <c r="E137" s="11" t="n">
        <v>37</v>
      </c>
      <c r="F137" s="11">
        <f>IF(D137&lt;&gt;"",D137,IF(C137&lt;&gt;"",C137,""))</f>
        <v/>
      </c>
      <c r="G137" s="11">
        <f>IF(AND(E137&lt;&gt;"",F137&lt;&gt;""),E137-F137,"")</f>
        <v/>
      </c>
      <c r="H137" s="17">
        <f>IF(G137="","",IF(F137=0,"",G137/F137))</f>
        <v/>
      </c>
      <c r="I137" s="18">
        <f>IF(E137="","SIN COMPRA",IF(F137="","NUEVO",IF(AND(ABS(G137)&lt;0.015,ABS(G137)&lt;F137*0.005),"IGUAL",IF(G137&gt;0,"SUBE","BAJA"))))</f>
        <v/>
      </c>
      <c r="J137" s="17">
        <f>IF(AND(C137&lt;&gt;"",D137&lt;&gt;""),IF(C137=0,"",D137/C137-1),"")</f>
        <v/>
      </c>
      <c r="K137" s="5" t="n"/>
    </row>
    <row r="138">
      <c r="A138" s="5" t="inlineStr">
        <is>
          <t>ENRIQUE CAMPS</t>
        </is>
      </c>
      <c r="B138" s="5" t="inlineStr">
        <is>
          <t>TARTA QUESO</t>
        </is>
      </c>
      <c r="C138" s="11" t="n">
        <v>35</v>
      </c>
      <c r="D138" s="11" t="n">
        <v>35</v>
      </c>
      <c r="E138" s="11" t="n">
        <v>35</v>
      </c>
      <c r="F138" s="11">
        <f>IF(D138&lt;&gt;"",D138,IF(C138&lt;&gt;"",C138,""))</f>
        <v/>
      </c>
      <c r="G138" s="11">
        <f>IF(AND(E138&lt;&gt;"",F138&lt;&gt;""),E138-F138,"")</f>
        <v/>
      </c>
      <c r="H138" s="17">
        <f>IF(G138="","",IF(F138=0,"",G138/F138))</f>
        <v/>
      </c>
      <c r="I138" s="18">
        <f>IF(E138="","SIN COMPRA",IF(F138="","NUEVO",IF(AND(ABS(G138)&lt;0.015,ABS(G138)&lt;F138*0.005),"IGUAL",IF(G138&gt;0,"SUBE","BAJA"))))</f>
        <v/>
      </c>
      <c r="J138" s="17">
        <f>IF(AND(C138&lt;&gt;"",D138&lt;&gt;""),IF(C138=0,"",D138/C138-1),"")</f>
        <v/>
      </c>
      <c r="K138" s="5" t="n"/>
    </row>
    <row r="139">
      <c r="A139" s="5" t="inlineStr">
        <is>
          <t>ESCRIBANO SANZ</t>
        </is>
      </c>
      <c r="B139" s="5" t="inlineStr">
        <is>
          <t>CHORIZO SEÑORIO</t>
        </is>
      </c>
      <c r="C139" s="11" t="n"/>
      <c r="D139" s="11" t="n"/>
      <c r="E139" s="11" t="n">
        <v>22</v>
      </c>
      <c r="F139" s="11">
        <f>IF(D139&lt;&gt;"",D139,IF(C139&lt;&gt;"",C139,""))</f>
        <v/>
      </c>
      <c r="G139" s="11">
        <f>IF(AND(E139&lt;&gt;"",F139&lt;&gt;""),E139-F139,"")</f>
        <v/>
      </c>
      <c r="H139" s="17">
        <f>IF(G139="","",IF(F139=0,"",G139/F139))</f>
        <v/>
      </c>
      <c r="I139" s="18">
        <f>IF(E139="","SIN COMPRA",IF(F139="","NUEVO",IF(AND(ABS(G139)&lt;0.015,ABS(G139)&lt;F139*0.005),"IGUAL",IF(G139&gt;0,"SUBE","BAJA"))))</f>
        <v/>
      </c>
      <c r="J139" s="17">
        <f>IF(AND(C139&lt;&gt;"",D139&lt;&gt;""),IF(C139=0,"",D139/C139-1),"")</f>
        <v/>
      </c>
      <c r="K139" s="5" t="n"/>
    </row>
    <row r="140">
      <c r="A140" s="5" t="inlineStr">
        <is>
          <t>ESCRIBANO SANZ</t>
        </is>
      </c>
      <c r="B140" s="5" t="inlineStr">
        <is>
          <t>LOMO BELLOTA 100%</t>
        </is>
      </c>
      <c r="C140" s="11" t="n">
        <v>51</v>
      </c>
      <c r="D140" s="11" t="n">
        <v>51</v>
      </c>
      <c r="E140" s="11" t="n">
        <v>51</v>
      </c>
      <c r="F140" s="11">
        <f>IF(D140&lt;&gt;"",D140,IF(C140&lt;&gt;"",C140,""))</f>
        <v/>
      </c>
      <c r="G140" s="11">
        <f>IF(AND(E140&lt;&gt;"",F140&lt;&gt;""),E140-F140,"")</f>
        <v/>
      </c>
      <c r="H140" s="17">
        <f>IF(G140="","",IF(F140=0,"",G140/F140))</f>
        <v/>
      </c>
      <c r="I140" s="18">
        <f>IF(E140="","SIN COMPRA",IF(F140="","NUEVO",IF(AND(ABS(G140)&lt;0.015,ABS(G140)&lt;F140*0.005),"IGUAL",IF(G140&gt;0,"SUBE","BAJA"))))</f>
        <v/>
      </c>
      <c r="J140" s="17">
        <f>IF(AND(C140&lt;&gt;"",D140&lt;&gt;""),IF(C140=0,"",D140/C140-1),"")</f>
        <v/>
      </c>
      <c r="K140" s="5" t="inlineStr">
        <is>
          <t>Varios precios en julio: 48,60 / 51,00</t>
        </is>
      </c>
    </row>
    <row r="141">
      <c r="A141" s="5" t="inlineStr">
        <is>
          <t>ESCRIBANO SANZ</t>
        </is>
      </c>
      <c r="B141" s="5" t="inlineStr">
        <is>
          <t>PAPADA IBERICA</t>
        </is>
      </c>
      <c r="C141" s="11" t="n">
        <v>2.3</v>
      </c>
      <c r="D141" s="11" t="n"/>
      <c r="E141" s="11" t="n">
        <v>2.3</v>
      </c>
      <c r="F141" s="11">
        <f>IF(D141&lt;&gt;"",D141,IF(C141&lt;&gt;"",C141,""))</f>
        <v/>
      </c>
      <c r="G141" s="11">
        <f>IF(AND(E141&lt;&gt;"",F141&lt;&gt;""),E141-F141,"")</f>
        <v/>
      </c>
      <c r="H141" s="17">
        <f>IF(G141="","",IF(F141=0,"",G141/F141))</f>
        <v/>
      </c>
      <c r="I141" s="18">
        <f>IF(E141="","SIN COMPRA",IF(F141="","NUEVO",IF(AND(ABS(G141)&lt;0.015,ABS(G141)&lt;F141*0.005),"IGUAL",IF(G141&gt;0,"SUBE","BAJA"))))</f>
        <v/>
      </c>
      <c r="J141" s="17">
        <f>IF(AND(C141&lt;&gt;"",D141&lt;&gt;""),IF(C141=0,"",D141/C141-1),"")</f>
        <v/>
      </c>
      <c r="K141" s="5" t="n"/>
    </row>
    <row r="142">
      <c r="A142" s="5" t="inlineStr">
        <is>
          <t>ESCRIBANO SANZ</t>
        </is>
      </c>
      <c r="B142" s="5" t="inlineStr">
        <is>
          <t>SALCHICHON IBERICO</t>
        </is>
      </c>
      <c r="C142" s="11" t="n">
        <v>22</v>
      </c>
      <c r="D142" s="11" t="n">
        <v>22</v>
      </c>
      <c r="E142" s="11" t="n">
        <v>22</v>
      </c>
      <c r="F142" s="11">
        <f>IF(D142&lt;&gt;"",D142,IF(C142&lt;&gt;"",C142,""))</f>
        <v/>
      </c>
      <c r="G142" s="11">
        <f>IF(AND(E142&lt;&gt;"",F142&lt;&gt;""),E142-F142,"")</f>
        <v/>
      </c>
      <c r="H142" s="17">
        <f>IF(G142="","",IF(F142=0,"",G142/F142))</f>
        <v/>
      </c>
      <c r="I142" s="18">
        <f>IF(E142="","SIN COMPRA",IF(F142="","NUEVO",IF(AND(ABS(G142)&lt;0.015,ABS(G142)&lt;F142*0.005),"IGUAL",IF(G142&gt;0,"SUBE","BAJA"))))</f>
        <v/>
      </c>
      <c r="J142" s="17">
        <f>IF(AND(C142&lt;&gt;"",D142&lt;&gt;""),IF(C142=0,"",D142/C142-1),"")</f>
        <v/>
      </c>
      <c r="K142" s="5" t="n"/>
    </row>
    <row r="143">
      <c r="A143" s="5" t="inlineStr">
        <is>
          <t>ESCRIBANO SANZ</t>
        </is>
      </c>
      <c r="B143" s="5" t="inlineStr">
        <is>
          <t>SALCHICHON SEÑORIO</t>
        </is>
      </c>
      <c r="C143" s="11" t="n"/>
      <c r="D143" s="11" t="n"/>
      <c r="E143" s="11" t="n">
        <v>22</v>
      </c>
      <c r="F143" s="11">
        <f>IF(D143&lt;&gt;"",D143,IF(C143&lt;&gt;"",C143,""))</f>
        <v/>
      </c>
      <c r="G143" s="11">
        <f>IF(AND(E143&lt;&gt;"",F143&lt;&gt;""),E143-F143,"")</f>
        <v/>
      </c>
      <c r="H143" s="17">
        <f>IF(G143="","",IF(F143=0,"",G143/F143))</f>
        <v/>
      </c>
      <c r="I143" s="18">
        <f>IF(E143="","SIN COMPRA",IF(F143="","NUEVO",IF(AND(ABS(G143)&lt;0.015,ABS(G143)&lt;F143*0.005),"IGUAL",IF(G143&gt;0,"SUBE","BAJA"))))</f>
        <v/>
      </c>
      <c r="J143" s="17">
        <f>IF(AND(C143&lt;&gt;"",D143&lt;&gt;""),IF(C143=0,"",D143/C143-1),"")</f>
        <v/>
      </c>
      <c r="K143" s="5" t="n"/>
    </row>
    <row r="144">
      <c r="A144" s="5" t="inlineStr">
        <is>
          <t>EXTRAMAR</t>
        </is>
      </c>
      <c r="B144" s="5" t="inlineStr">
        <is>
          <t>GAMBA BLANCA FRESCA M</t>
        </is>
      </c>
      <c r="C144" s="11" t="n"/>
      <c r="D144" s="11" t="n"/>
      <c r="E144" s="11" t="n">
        <v>26</v>
      </c>
      <c r="F144" s="11">
        <f>IF(D144&lt;&gt;"",D144,IF(C144&lt;&gt;"",C144,""))</f>
        <v/>
      </c>
      <c r="G144" s="11">
        <f>IF(AND(E144&lt;&gt;"",F144&lt;&gt;""),E144-F144,"")</f>
        <v/>
      </c>
      <c r="H144" s="17">
        <f>IF(G144="","",IF(F144=0,"",G144/F144))</f>
        <v/>
      </c>
      <c r="I144" s="18">
        <f>IF(E144="","SIN COMPRA",IF(F144="","NUEVO",IF(AND(ABS(G144)&lt;0.015,ABS(G144)&lt;F144*0.005),"IGUAL",IF(G144&gt;0,"SUBE","BAJA"))))</f>
        <v/>
      </c>
      <c r="J144" s="17">
        <f>IF(AND(C144&lt;&gt;"",D144&lt;&gt;""),IF(C144=0,"",D144/C144-1),"")</f>
        <v/>
      </c>
      <c r="K144" s="5" t="inlineStr">
        <is>
          <t>Producto fresco: precio de mercado, fluctúa</t>
        </is>
      </c>
    </row>
    <row r="145">
      <c r="A145" s="5" t="inlineStr">
        <is>
          <t>FCO JAVIER LABRADOR</t>
        </is>
      </c>
      <c r="B145" s="5" t="inlineStr">
        <is>
          <t>FLOR DE ALCACHOFA CONFITADA A. ORUJO (20 UDS)</t>
        </is>
      </c>
      <c r="C145" s="11" t="n">
        <v>22.9</v>
      </c>
      <c r="D145" s="11" t="n">
        <v>22.9</v>
      </c>
      <c r="E145" s="11" t="n">
        <v>22.9</v>
      </c>
      <c r="F145" s="11">
        <f>IF(D145&lt;&gt;"",D145,IF(C145&lt;&gt;"",C145,""))</f>
        <v/>
      </c>
      <c r="G145" s="11">
        <f>IF(AND(E145&lt;&gt;"",F145&lt;&gt;""),E145-F145,"")</f>
        <v/>
      </c>
      <c r="H145" s="17">
        <f>IF(G145="","",IF(F145=0,"",G145/F145))</f>
        <v/>
      </c>
      <c r="I145" s="18">
        <f>IF(E145="","SIN COMPRA",IF(F145="","NUEVO",IF(AND(ABS(G145)&lt;0.015,ABS(G145)&lt;F145*0.005),"IGUAL",IF(G145&gt;0,"SUBE","BAJA"))))</f>
        <v/>
      </c>
      <c r="J145" s="17">
        <f>IF(AND(C145&lt;&gt;"",D145&lt;&gt;""),IF(C145=0,"",D145/C145-1),"")</f>
        <v/>
      </c>
      <c r="K145" s="5" t="n"/>
    </row>
    <row r="146">
      <c r="A146" s="5" t="inlineStr">
        <is>
          <t>FRUTERIA D'ALISTE</t>
        </is>
      </c>
      <c r="B146" s="5" t="inlineStr">
        <is>
          <t>CEBOLLETA CHINA</t>
        </is>
      </c>
      <c r="C146" s="11" t="n">
        <v>2.2</v>
      </c>
      <c r="D146" s="11" t="n"/>
      <c r="E146" s="11" t="n"/>
      <c r="F146" s="11">
        <f>IF(D146&lt;&gt;"",D146,IF(C146&lt;&gt;"",C146,""))</f>
        <v/>
      </c>
      <c r="G146" s="11">
        <f>IF(AND(E146&lt;&gt;"",F146&lt;&gt;""),E146-F146,"")</f>
        <v/>
      </c>
      <c r="H146" s="17">
        <f>IF(G146="","",IF(F146=0,"",G146/F146))</f>
        <v/>
      </c>
      <c r="I146" s="18">
        <f>IF(E146="","SIN COMPRA",IF(F146="","NUEVO",IF(AND(ABS(G146)&lt;0.015,ABS(G146)&lt;F146*0.005),"IGUAL",IF(G146&gt;0,"SUBE","BAJA"))))</f>
        <v/>
      </c>
      <c r="J146" s="17">
        <f>IF(AND(C146&lt;&gt;"",D146&lt;&gt;""),IF(C146=0,"",D146/C146-1),"")</f>
        <v/>
      </c>
      <c r="K146" s="5" t="inlineStr">
        <is>
          <t>Producto fresco: precio de mercado, fluctúa</t>
        </is>
      </c>
    </row>
    <row r="147">
      <c r="A147" s="5" t="inlineStr">
        <is>
          <t>FRUTERIA D'ALISTE</t>
        </is>
      </c>
      <c r="B147" s="5" t="inlineStr">
        <is>
          <t>CEBOLLETAS</t>
        </is>
      </c>
      <c r="C147" s="11" t="n">
        <v>2.1</v>
      </c>
      <c r="D147" s="11" t="n"/>
      <c r="E147" s="11" t="n"/>
      <c r="F147" s="11">
        <f>IF(D147&lt;&gt;"",D147,IF(C147&lt;&gt;"",C147,""))</f>
        <v/>
      </c>
      <c r="G147" s="11">
        <f>IF(AND(E147&lt;&gt;"",F147&lt;&gt;""),E147-F147,"")</f>
        <v/>
      </c>
      <c r="H147" s="17">
        <f>IF(G147="","",IF(F147=0,"",G147/F147))</f>
        <v/>
      </c>
      <c r="I147" s="18">
        <f>IF(E147="","SIN COMPRA",IF(F147="","NUEVO",IF(AND(ABS(G147)&lt;0.015,ABS(G147)&lt;F147*0.005),"IGUAL",IF(G147&gt;0,"SUBE","BAJA"))))</f>
        <v/>
      </c>
      <c r="J147" s="17">
        <f>IF(AND(C147&lt;&gt;"",D147&lt;&gt;""),IF(C147=0,"",D147/C147-1),"")</f>
        <v/>
      </c>
      <c r="K147" s="5" t="inlineStr">
        <is>
          <t>Producto fresco: precio de mercado, fluctúa</t>
        </is>
      </c>
    </row>
    <row r="148">
      <c r="A148" s="5" t="inlineStr">
        <is>
          <t>FRUTERIA D'ALISTE</t>
        </is>
      </c>
      <c r="B148" s="5" t="inlineStr">
        <is>
          <t>LECHUGA BATAVIA</t>
        </is>
      </c>
      <c r="C148" s="11" t="n">
        <v>2.1</v>
      </c>
      <c r="D148" s="11" t="n"/>
      <c r="E148" s="11" t="n"/>
      <c r="F148" s="11">
        <f>IF(D148&lt;&gt;"",D148,IF(C148&lt;&gt;"",C148,""))</f>
        <v/>
      </c>
      <c r="G148" s="11">
        <f>IF(AND(E148&lt;&gt;"",F148&lt;&gt;""),E148-F148,"")</f>
        <v/>
      </c>
      <c r="H148" s="17">
        <f>IF(G148="","",IF(F148=0,"",G148/F148))</f>
        <v/>
      </c>
      <c r="I148" s="18">
        <f>IF(E148="","SIN COMPRA",IF(F148="","NUEVO",IF(AND(ABS(G148)&lt;0.015,ABS(G148)&lt;F148*0.005),"IGUAL",IF(G148&gt;0,"SUBE","BAJA"))))</f>
        <v/>
      </c>
      <c r="J148" s="17">
        <f>IF(AND(C148&lt;&gt;"",D148&lt;&gt;""),IF(C148=0,"",D148/C148-1),"")</f>
        <v/>
      </c>
      <c r="K148" s="5" t="inlineStr">
        <is>
          <t>Producto fresco: precio de mercado, fluctúa</t>
        </is>
      </c>
    </row>
    <row r="149">
      <c r="A149" s="5" t="inlineStr">
        <is>
          <t>FRUTERIA D'ALISTE</t>
        </is>
      </c>
      <c r="B149" s="5" t="inlineStr">
        <is>
          <t>LIMON</t>
        </is>
      </c>
      <c r="C149" s="11" t="n">
        <v>3.6</v>
      </c>
      <c r="D149" s="11" t="n"/>
      <c r="E149" s="11" t="n"/>
      <c r="F149" s="11">
        <f>IF(D149&lt;&gt;"",D149,IF(C149&lt;&gt;"",C149,""))</f>
        <v/>
      </c>
      <c r="G149" s="11">
        <f>IF(AND(E149&lt;&gt;"",F149&lt;&gt;""),E149-F149,"")</f>
        <v/>
      </c>
      <c r="H149" s="17">
        <f>IF(G149="","",IF(F149=0,"",G149/F149))</f>
        <v/>
      </c>
      <c r="I149" s="18">
        <f>IF(E149="","SIN COMPRA",IF(F149="","NUEVO",IF(AND(ABS(G149)&lt;0.015,ABS(G149)&lt;F149*0.005),"IGUAL",IF(G149&gt;0,"SUBE","BAJA"))))</f>
        <v/>
      </c>
      <c r="J149" s="17">
        <f>IF(AND(C149&lt;&gt;"",D149&lt;&gt;""),IF(C149=0,"",D149/C149-1),"")</f>
        <v/>
      </c>
      <c r="K149" s="5" t="inlineStr">
        <is>
          <t>Producto fresco: precio de mercado, fluctúa</t>
        </is>
      </c>
    </row>
    <row r="150">
      <c r="A150" s="5" t="inlineStr">
        <is>
          <t>FRUTERIA D'ALISTE</t>
        </is>
      </c>
      <c r="B150" s="5" t="inlineStr">
        <is>
          <t>PATATAS CREMA (SACO 25 KG)</t>
        </is>
      </c>
      <c r="C150" s="11" t="n">
        <v>25</v>
      </c>
      <c r="D150" s="11" t="n"/>
      <c r="E150" s="11" t="n"/>
      <c r="F150" s="11">
        <f>IF(D150&lt;&gt;"",D150,IF(C150&lt;&gt;"",C150,""))</f>
        <v/>
      </c>
      <c r="G150" s="11">
        <f>IF(AND(E150&lt;&gt;"",F150&lt;&gt;""),E150-F150,"")</f>
        <v/>
      </c>
      <c r="H150" s="17">
        <f>IF(G150="","",IF(F150=0,"",G150/F150))</f>
        <v/>
      </c>
      <c r="I150" s="18">
        <f>IF(E150="","SIN COMPRA",IF(F150="","NUEVO",IF(AND(ABS(G150)&lt;0.015,ABS(G150)&lt;F150*0.005),"IGUAL",IF(G150&gt;0,"SUBE","BAJA"))))</f>
        <v/>
      </c>
      <c r="J150" s="17">
        <f>IF(AND(C150&lt;&gt;"",D150&lt;&gt;""),IF(C150=0,"",D150/C150-1),"")</f>
        <v/>
      </c>
      <c r="K150" s="5" t="inlineStr">
        <is>
          <t>Producto fresco: precio de mercado, fluctúa</t>
        </is>
      </c>
    </row>
    <row r="151">
      <c r="A151" s="5" t="inlineStr">
        <is>
          <t>FRUTERIA D'ALISTE</t>
        </is>
      </c>
      <c r="B151" s="5" t="inlineStr">
        <is>
          <t>PEREJIL</t>
        </is>
      </c>
      <c r="C151" s="11" t="n">
        <v>1.6</v>
      </c>
      <c r="D151" s="11" t="n"/>
      <c r="E151" s="11" t="n"/>
      <c r="F151" s="11">
        <f>IF(D151&lt;&gt;"",D151,IF(C151&lt;&gt;"",C151,""))</f>
        <v/>
      </c>
      <c r="G151" s="11">
        <f>IF(AND(E151&lt;&gt;"",F151&lt;&gt;""),E151-F151,"")</f>
        <v/>
      </c>
      <c r="H151" s="17">
        <f>IF(G151="","",IF(F151=0,"",G151/F151))</f>
        <v/>
      </c>
      <c r="I151" s="18">
        <f>IF(E151="","SIN COMPRA",IF(F151="","NUEVO",IF(AND(ABS(G151)&lt;0.015,ABS(G151)&lt;F151*0.005),"IGUAL",IF(G151&gt;0,"SUBE","BAJA"))))</f>
        <v/>
      </c>
      <c r="J151" s="17">
        <f>IF(AND(C151&lt;&gt;"",D151&lt;&gt;""),IF(C151=0,"",D151/C151-1),"")</f>
        <v/>
      </c>
      <c r="K151" s="5" t="inlineStr">
        <is>
          <t>Producto fresco: precio de mercado, fluctúa</t>
        </is>
      </c>
    </row>
    <row r="152">
      <c r="A152" s="5" t="inlineStr">
        <is>
          <t>FRUTERIA D'ALISTE</t>
        </is>
      </c>
      <c r="B152" s="5" t="inlineStr">
        <is>
          <t>PIMIENTO ROJO</t>
        </is>
      </c>
      <c r="C152" s="11" t="n">
        <v>4.3</v>
      </c>
      <c r="D152" s="11" t="n"/>
      <c r="E152" s="11" t="n"/>
      <c r="F152" s="11">
        <f>IF(D152&lt;&gt;"",D152,IF(C152&lt;&gt;"",C152,""))</f>
        <v/>
      </c>
      <c r="G152" s="11">
        <f>IF(AND(E152&lt;&gt;"",F152&lt;&gt;""),E152-F152,"")</f>
        <v/>
      </c>
      <c r="H152" s="17">
        <f>IF(G152="","",IF(F152=0,"",G152/F152))</f>
        <v/>
      </c>
      <c r="I152" s="18">
        <f>IF(E152="","SIN COMPRA",IF(F152="","NUEVO",IF(AND(ABS(G152)&lt;0.015,ABS(G152)&lt;F152*0.005),"IGUAL",IF(G152&gt;0,"SUBE","BAJA"))))</f>
        <v/>
      </c>
      <c r="J152" s="17">
        <f>IF(AND(C152&lt;&gt;"",D152&lt;&gt;""),IF(C152=0,"",D152/C152-1),"")</f>
        <v/>
      </c>
      <c r="K152" s="5" t="inlineStr">
        <is>
          <t>Producto fresco: precio de mercado, fluctúa</t>
        </is>
      </c>
    </row>
    <row r="153">
      <c r="A153" s="5" t="inlineStr">
        <is>
          <t>FRUTERIA D'ALISTE</t>
        </is>
      </c>
      <c r="B153" s="5" t="inlineStr">
        <is>
          <t>TOMATE IBERICO</t>
        </is>
      </c>
      <c r="C153" s="11" t="n">
        <v>5.8</v>
      </c>
      <c r="D153" s="11" t="n"/>
      <c r="E153" s="11" t="n"/>
      <c r="F153" s="11">
        <f>IF(D153&lt;&gt;"",D153,IF(C153&lt;&gt;"",C153,""))</f>
        <v/>
      </c>
      <c r="G153" s="11">
        <f>IF(AND(E153&lt;&gt;"",F153&lt;&gt;""),E153-F153,"")</f>
        <v/>
      </c>
      <c r="H153" s="17">
        <f>IF(G153="","",IF(F153=0,"",G153/F153))</f>
        <v/>
      </c>
      <c r="I153" s="18">
        <f>IF(E153="","SIN COMPRA",IF(F153="","NUEVO",IF(AND(ABS(G153)&lt;0.015,ABS(G153)&lt;F153*0.005),"IGUAL",IF(G153&gt;0,"SUBE","BAJA"))))</f>
        <v/>
      </c>
      <c r="J153" s="17">
        <f>IF(AND(C153&lt;&gt;"",D153&lt;&gt;""),IF(C153=0,"",D153/C153-1),"")</f>
        <v/>
      </c>
      <c r="K153" s="5" t="inlineStr">
        <is>
          <t>Producto fresco: precio de mercado, fluctúa</t>
        </is>
      </c>
    </row>
    <row r="154">
      <c r="A154" s="5" t="inlineStr">
        <is>
          <t>HIELOS ANGEL ICE</t>
        </is>
      </c>
      <c r="B154" s="5" t="inlineStr">
        <is>
          <t>CUBITOS DE HIELO VOGT SACO 10KG</t>
        </is>
      </c>
      <c r="C154" s="11" t="n"/>
      <c r="D154" s="11" t="n"/>
      <c r="E154" s="11" t="n">
        <v>4</v>
      </c>
      <c r="F154" s="11">
        <f>IF(D154&lt;&gt;"",D154,IF(C154&lt;&gt;"",C154,""))</f>
        <v/>
      </c>
      <c r="G154" s="11">
        <f>IF(AND(E154&lt;&gt;"",F154&lt;&gt;""),E154-F154,"")</f>
        <v/>
      </c>
      <c r="H154" s="17">
        <f>IF(G154="","",IF(F154=0,"",G154/F154))</f>
        <v/>
      </c>
      <c r="I154" s="18">
        <f>IF(E154="","SIN COMPRA",IF(F154="","NUEVO",IF(AND(ABS(G154)&lt;0.015,ABS(G154)&lt;F154*0.005),"IGUAL",IF(G154&gt;0,"SUBE","BAJA"))))</f>
        <v/>
      </c>
      <c r="J154" s="17">
        <f>IF(AND(C154&lt;&gt;"",D154&lt;&gt;""),IF(C154=0,"",D154/C154-1),"")</f>
        <v/>
      </c>
      <c r="K154" s="5" t="n"/>
    </row>
    <row r="155">
      <c r="A155" s="5" t="inlineStr">
        <is>
          <t>HIELOS ANGEL ICE</t>
        </is>
      </c>
      <c r="B155" s="5" t="inlineStr">
        <is>
          <t>HIELO ESPECIAL COCKTELERIA SACO 10KG NUGGETS</t>
        </is>
      </c>
      <c r="C155" s="11" t="n"/>
      <c r="D155" s="11" t="n"/>
      <c r="E155" s="11" t="n">
        <v>5</v>
      </c>
      <c r="F155" s="11">
        <f>IF(D155&lt;&gt;"",D155,IF(C155&lt;&gt;"",C155,""))</f>
        <v/>
      </c>
      <c r="G155" s="11">
        <f>IF(AND(E155&lt;&gt;"",F155&lt;&gt;""),E155-F155,"")</f>
        <v/>
      </c>
      <c r="H155" s="17">
        <f>IF(G155="","",IF(F155=0,"",G155/F155))</f>
        <v/>
      </c>
      <c r="I155" s="18">
        <f>IF(E155="","SIN COMPRA",IF(F155="","NUEVO",IF(AND(ABS(G155)&lt;0.015,ABS(G155)&lt;F155*0.005),"IGUAL",IF(G155&gt;0,"SUBE","BAJA"))))</f>
        <v/>
      </c>
      <c r="J155" s="17">
        <f>IF(AND(C155&lt;&gt;"",D155&lt;&gt;""),IF(C155=0,"",D155/C155-1),"")</f>
        <v/>
      </c>
      <c r="K155" s="5" t="n"/>
    </row>
    <row r="156">
      <c r="A156" s="5" t="inlineStr">
        <is>
          <t>HIELOS ANGEL ICE</t>
        </is>
      </c>
      <c r="B156" s="5" t="inlineStr">
        <is>
          <t>HIELO PILE (SACO)</t>
        </is>
      </c>
      <c r="C156" s="11" t="n"/>
      <c r="D156" s="11" t="n"/>
      <c r="E156" s="11" t="n">
        <v>5</v>
      </c>
      <c r="F156" s="11">
        <f>IF(D156&lt;&gt;"",D156,IF(C156&lt;&gt;"",C156,""))</f>
        <v/>
      </c>
      <c r="G156" s="11">
        <f>IF(AND(E156&lt;&gt;"",F156&lt;&gt;""),E156-F156,"")</f>
        <v/>
      </c>
      <c r="H156" s="17">
        <f>IF(G156="","",IF(F156=0,"",G156/F156))</f>
        <v/>
      </c>
      <c r="I156" s="18">
        <f>IF(E156="","SIN COMPRA",IF(F156="","NUEVO",IF(AND(ABS(G156)&lt;0.015,ABS(G156)&lt;F156*0.005),"IGUAL",IF(G156&gt;0,"SUBE","BAJA"))))</f>
        <v/>
      </c>
      <c r="J156" s="17">
        <f>IF(AND(C156&lt;&gt;"",D156&lt;&gt;""),IF(C156=0,"",D156/C156-1),"")</f>
        <v/>
      </c>
      <c r="K156" s="5" t="n"/>
    </row>
    <row r="157">
      <c r="A157" s="5" t="inlineStr">
        <is>
          <t>INESCU SERVICES</t>
        </is>
      </c>
      <c r="B157" s="5" t="inlineStr">
        <is>
          <t>BOLSA ATUN</t>
        </is>
      </c>
      <c r="C157" s="11" t="n"/>
      <c r="D157" s="11" t="n"/>
      <c r="E157" s="11" t="n">
        <v>7.95</v>
      </c>
      <c r="F157" s="11">
        <f>IF(D157&lt;&gt;"",D157,IF(C157&lt;&gt;"",C157,""))</f>
        <v/>
      </c>
      <c r="G157" s="11">
        <f>IF(AND(E157&lt;&gt;"",F157&lt;&gt;""),E157-F157,"")</f>
        <v/>
      </c>
      <c r="H157" s="17">
        <f>IF(G157="","",IF(F157=0,"",G157/F157))</f>
        <v/>
      </c>
      <c r="I157" s="18">
        <f>IF(E157="","SIN COMPRA",IF(F157="","NUEVO",IF(AND(ABS(G157)&lt;0.015,ABS(G157)&lt;F157*0.005),"IGUAL",IF(G157&gt;0,"SUBE","BAJA"))))</f>
        <v/>
      </c>
      <c r="J157" s="17">
        <f>IF(AND(C157&lt;&gt;"",D157&lt;&gt;""),IF(C157=0,"",D157/C157-1),"")</f>
        <v/>
      </c>
      <c r="K157" s="5" t="n"/>
    </row>
    <row r="158">
      <c r="A158" s="5" t="inlineStr">
        <is>
          <t>INESCU SERVICES</t>
        </is>
      </c>
      <c r="B158" s="5" t="inlineStr">
        <is>
          <t>GARRAFA ACEITE GIRASOL 5L</t>
        </is>
      </c>
      <c r="C158" s="11" t="n"/>
      <c r="D158" s="11" t="n"/>
      <c r="E158" s="11" t="n">
        <v>10.85</v>
      </c>
      <c r="F158" s="11">
        <f>IF(D158&lt;&gt;"",D158,IF(C158&lt;&gt;"",C158,""))</f>
        <v/>
      </c>
      <c r="G158" s="11">
        <f>IF(AND(E158&lt;&gt;"",F158&lt;&gt;""),E158-F158,"")</f>
        <v/>
      </c>
      <c r="H158" s="17">
        <f>IF(G158="","",IF(F158=0,"",G158/F158))</f>
        <v/>
      </c>
      <c r="I158" s="18">
        <f>IF(E158="","SIN COMPRA",IF(F158="","NUEVO",IF(AND(ABS(G158)&lt;0.015,ABS(G158)&lt;F158*0.005),"IGUAL",IF(G158&gt;0,"SUBE","BAJA"))))</f>
        <v/>
      </c>
      <c r="J158" s="17">
        <f>IF(AND(C158&lt;&gt;"",D158&lt;&gt;""),IF(C158=0,"",D158/C158-1),"")</f>
        <v/>
      </c>
      <c r="K158" s="5" t="n"/>
    </row>
    <row r="159">
      <c r="A159" s="5" t="inlineStr">
        <is>
          <t>JC MACKINTOSH</t>
        </is>
      </c>
      <c r="B159" s="5" t="inlineStr">
        <is>
          <t>VENTRESCA ATUN ROJO AHUMADO LONCHEADO 1 KG</t>
        </is>
      </c>
      <c r="C159" s="11" t="n"/>
      <c r="D159" s="11" t="n">
        <v>83.5</v>
      </c>
      <c r="E159" s="11" t="n"/>
      <c r="F159" s="11">
        <f>IF(D159&lt;&gt;"",D159,IF(C159&lt;&gt;"",C159,""))</f>
        <v/>
      </c>
      <c r="G159" s="11">
        <f>IF(AND(E159&lt;&gt;"",F159&lt;&gt;""),E159-F159,"")</f>
        <v/>
      </c>
      <c r="H159" s="17">
        <f>IF(G159="","",IF(F159=0,"",G159/F159))</f>
        <v/>
      </c>
      <c r="I159" s="18">
        <f>IF(E159="","SIN COMPRA",IF(F159="","NUEVO",IF(AND(ABS(G159)&lt;0.015,ABS(G159)&lt;F159*0.005),"IGUAL",IF(G159&gt;0,"SUBE","BAJA"))))</f>
        <v/>
      </c>
      <c r="J159" s="17">
        <f>IF(AND(C159&lt;&gt;"",D159&lt;&gt;""),IF(C159=0,"",D159/C159-1),"")</f>
        <v/>
      </c>
      <c r="K159" s="5" t="n"/>
    </row>
    <row r="160">
      <c r="A160" s="5" t="inlineStr">
        <is>
          <t>JOSE PEÑA</t>
        </is>
      </c>
      <c r="B160" s="5" t="inlineStr">
        <is>
          <t>VENTRESCA ATUN CLARO OLIVA RO1030 (LATAS)</t>
        </is>
      </c>
      <c r="C160" s="11" t="n">
        <v>24.95</v>
      </c>
      <c r="D160" s="11" t="n"/>
      <c r="E160" s="11" t="n"/>
      <c r="F160" s="11">
        <f>IF(D160&lt;&gt;"",D160,IF(C160&lt;&gt;"",C160,""))</f>
        <v/>
      </c>
      <c r="G160" s="11">
        <f>IF(AND(E160&lt;&gt;"",F160&lt;&gt;""),E160-F160,"")</f>
        <v/>
      </c>
      <c r="H160" s="17">
        <f>IF(G160="","",IF(F160=0,"",G160/F160))</f>
        <v/>
      </c>
      <c r="I160" s="18">
        <f>IF(E160="","SIN COMPRA",IF(F160="","NUEVO",IF(AND(ABS(G160)&lt;0.015,ABS(G160)&lt;F160*0.005),"IGUAL",IF(G160&gt;0,"SUBE","BAJA"))))</f>
        <v/>
      </c>
      <c r="J160" s="17">
        <f>IF(AND(C160&lt;&gt;"",D160&lt;&gt;""),IF(C160=0,"",D160/C160-1),"")</f>
        <v/>
      </c>
      <c r="K160" s="5" t="n"/>
    </row>
    <row r="161">
      <c r="A161" s="5" t="inlineStr">
        <is>
          <t>JOSE ROMERO PLAZA</t>
        </is>
      </c>
      <c r="B161" s="5" t="inlineStr">
        <is>
          <t>BOQUERON GORDO</t>
        </is>
      </c>
      <c r="C161" s="11" t="n">
        <v>12</v>
      </c>
      <c r="D161" s="11" t="n"/>
      <c r="E161" s="11" t="n">
        <v>11</v>
      </c>
      <c r="F161" s="11">
        <f>IF(D161&lt;&gt;"",D161,IF(C161&lt;&gt;"",C161,""))</f>
        <v/>
      </c>
      <c r="G161" s="11">
        <f>IF(AND(E161&lt;&gt;"",F161&lt;&gt;""),E161-F161,"")</f>
        <v/>
      </c>
      <c r="H161" s="17">
        <f>IF(G161="","",IF(F161=0,"",G161/F161))</f>
        <v/>
      </c>
      <c r="I161" s="18">
        <f>IF(E161="","SIN COMPRA",IF(F161="","NUEVO",IF(AND(ABS(G161)&lt;0.015,ABS(G161)&lt;F161*0.005),"IGUAL",IF(G161&gt;0,"SUBE","BAJA"))))</f>
        <v/>
      </c>
      <c r="J161" s="17">
        <f>IF(AND(C161&lt;&gt;"",D161&lt;&gt;""),IF(C161=0,"",D161/C161-1),"")</f>
        <v/>
      </c>
      <c r="K161" s="5" t="inlineStr">
        <is>
          <t>Producto fresco: precio de mercado, fluctúa. Varios precios en julio: 9,50 / 10,00 / 11,00 / 12,00. Varios precios en septiembre: 10,00 / 11,00</t>
        </is>
      </c>
    </row>
    <row r="162">
      <c r="A162" s="5" t="inlineStr">
        <is>
          <t>JOSE ROMERO PLAZA</t>
        </is>
      </c>
      <c r="B162" s="5" t="inlineStr">
        <is>
          <t>PARROCHAS</t>
        </is>
      </c>
      <c r="C162" s="11" t="n">
        <v>7.8</v>
      </c>
      <c r="D162" s="11" t="n"/>
      <c r="E162" s="11" t="n">
        <v>8</v>
      </c>
      <c r="F162" s="11">
        <f>IF(D162&lt;&gt;"",D162,IF(C162&lt;&gt;"",C162,""))</f>
        <v/>
      </c>
      <c r="G162" s="11">
        <f>IF(AND(E162&lt;&gt;"",F162&lt;&gt;""),E162-F162,"")</f>
        <v/>
      </c>
      <c r="H162" s="17">
        <f>IF(G162="","",IF(F162=0,"",G162/F162))</f>
        <v/>
      </c>
      <c r="I162" s="18">
        <f>IF(E162="","SIN COMPRA",IF(F162="","NUEVO",IF(AND(ABS(G162)&lt;0.015,ABS(G162)&lt;F162*0.005),"IGUAL",IF(G162&gt;0,"SUBE","BAJA"))))</f>
        <v/>
      </c>
      <c r="J162" s="17">
        <f>IF(AND(C162&lt;&gt;"",D162&lt;&gt;""),IF(C162=0,"",D162/C162-1),"")</f>
        <v/>
      </c>
      <c r="K162" s="5" t="inlineStr">
        <is>
          <t>Producto fresco: precio de mercado, fluctúa. Varios precios en julio: 7,00 / 7,80</t>
        </is>
      </c>
    </row>
    <row r="163">
      <c r="A163" s="5" t="inlineStr">
        <is>
          <t>LEVADURA MADRE</t>
        </is>
      </c>
      <c r="B163" s="5" t="inlineStr">
        <is>
          <t>ESPIGA (PAN, UD; 1,00 € IVA INCL.)</t>
        </is>
      </c>
      <c r="C163" s="11" t="n"/>
      <c r="D163" s="11" t="n"/>
      <c r="E163" s="11" t="n">
        <v>0.96</v>
      </c>
      <c r="F163" s="11">
        <f>IF(D163&lt;&gt;"",D163,IF(C163&lt;&gt;"",C163,""))</f>
        <v/>
      </c>
      <c r="G163" s="11">
        <f>IF(AND(E163&lt;&gt;"",F163&lt;&gt;""),E163-F163,"")</f>
        <v/>
      </c>
      <c r="H163" s="17">
        <f>IF(G163="","",IF(F163=0,"",G163/F163))</f>
        <v/>
      </c>
      <c r="I163" s="18">
        <f>IF(E163="","SIN COMPRA",IF(F163="","NUEVO",IF(AND(ABS(G163)&lt;0.015,ABS(G163)&lt;F163*0.005),"IGUAL",IF(G163&gt;0,"SUBE","BAJA"))))</f>
        <v/>
      </c>
      <c r="J163" s="17">
        <f>IF(AND(C163&lt;&gt;"",D163&lt;&gt;""),IF(C163=0,"",D163/C163-1),"")</f>
        <v/>
      </c>
      <c r="K163" s="5" t="n"/>
    </row>
    <row r="164">
      <c r="A164" s="5" t="inlineStr">
        <is>
          <t>MAGOASE</t>
        </is>
      </c>
      <c r="B164" s="5" t="inlineStr">
        <is>
          <t>BID. PET A.GIRASOL ALTO OLEICO</t>
        </is>
      </c>
      <c r="C164" s="11" t="n">
        <v>44.95</v>
      </c>
      <c r="D164" s="11" t="n">
        <v>45.95</v>
      </c>
      <c r="E164" s="11" t="n">
        <v>46.95</v>
      </c>
      <c r="F164" s="11">
        <f>IF(D164&lt;&gt;"",D164,IF(C164&lt;&gt;"",C164,""))</f>
        <v/>
      </c>
      <c r="G164" s="11">
        <f>IF(AND(E164&lt;&gt;"",F164&lt;&gt;""),E164-F164,"")</f>
        <v/>
      </c>
      <c r="H164" s="17">
        <f>IF(G164="","",IF(F164=0,"",G164/F164))</f>
        <v/>
      </c>
      <c r="I164" s="18">
        <f>IF(E164="","SIN COMPRA",IF(F164="","NUEVO",IF(AND(ABS(G164)&lt;0.015,ABS(G164)&lt;F164*0.005),"IGUAL",IF(G164&gt;0,"SUBE","BAJA"))))</f>
        <v/>
      </c>
      <c r="J164" s="17">
        <f>IF(AND(C164&lt;&gt;"",D164&lt;&gt;""),IF(C164=0,"",D164/C164-1),"")</f>
        <v/>
      </c>
      <c r="K164" s="5" t="inlineStr">
        <is>
          <t>Varios precios en agosto: 44,95 / 45,95. Varios precios en septiembre: 44,95 / 46,95</t>
        </is>
      </c>
    </row>
    <row r="165">
      <c r="A165" s="5" t="inlineStr">
        <is>
          <t>MAGOASE</t>
        </is>
      </c>
      <c r="B165" s="5" t="inlineStr">
        <is>
          <t>BID. PET CUAD. A.O. SUAVE GUADALIMAR 5L</t>
        </is>
      </c>
      <c r="C165" s="11" t="n">
        <v>23.95</v>
      </c>
      <c r="D165" s="11" t="n">
        <v>24.95</v>
      </c>
      <c r="E165" s="11" t="n">
        <v>23.95</v>
      </c>
      <c r="F165" s="11">
        <f>IF(D165&lt;&gt;"",D165,IF(C165&lt;&gt;"",C165,""))</f>
        <v/>
      </c>
      <c r="G165" s="11">
        <f>IF(AND(E165&lt;&gt;"",F165&lt;&gt;""),E165-F165,"")</f>
        <v/>
      </c>
      <c r="H165" s="17">
        <f>IF(G165="","",IF(F165=0,"",G165/F165))</f>
        <v/>
      </c>
      <c r="I165" s="18">
        <f>IF(E165="","SIN COMPRA",IF(F165="","NUEVO",IF(AND(ABS(G165)&lt;0.015,ABS(G165)&lt;F165*0.005),"IGUAL",IF(G165&gt;0,"SUBE","BAJA"))))</f>
        <v/>
      </c>
      <c r="J165" s="17">
        <f>IF(AND(C165&lt;&gt;"",D165&lt;&gt;""),IF(C165=0,"",D165/C165-1),"")</f>
        <v/>
      </c>
      <c r="K165" s="5" t="inlineStr">
        <is>
          <t>Varios precios en agosto: 23,95 / 24,95</t>
        </is>
      </c>
    </row>
    <row r="166">
      <c r="A166" s="5" t="inlineStr">
        <is>
          <t>MAGOASE</t>
        </is>
      </c>
      <c r="B166" s="5" t="inlineStr">
        <is>
          <t>LATA A.O.V.E. AU LINGOTE TEMPRANO</t>
        </is>
      </c>
      <c r="C166" s="11" t="n">
        <v>7.95</v>
      </c>
      <c r="D166" s="11" t="n">
        <v>7.95</v>
      </c>
      <c r="E166" s="11" t="n">
        <v>7.95</v>
      </c>
      <c r="F166" s="11">
        <f>IF(D166&lt;&gt;"",D166,IF(C166&lt;&gt;"",C166,""))</f>
        <v/>
      </c>
      <c r="G166" s="11">
        <f>IF(AND(E166&lt;&gt;"",F166&lt;&gt;""),E166-F166,"")</f>
        <v/>
      </c>
      <c r="H166" s="17">
        <f>IF(G166="","",IF(F166=0,"",G166/F166))</f>
        <v/>
      </c>
      <c r="I166" s="18">
        <f>IF(E166="","SIN COMPRA",IF(F166="","NUEVO",IF(AND(ABS(G166)&lt;0.015,ABS(G166)&lt;F166*0.005),"IGUAL",IF(G166&gt;0,"SUBE","BAJA"))))</f>
        <v/>
      </c>
      <c r="J166" s="17">
        <f>IF(AND(C166&lt;&gt;"",D166&lt;&gt;""),IF(C166=0,"",D166/C166-1),"")</f>
        <v/>
      </c>
      <c r="K166" s="5" t="n"/>
    </row>
    <row r="167">
      <c r="A167" s="5" t="inlineStr">
        <is>
          <t>MAHOU</t>
        </is>
      </c>
      <c r="B167" s="5" t="inlineStr">
        <is>
          <t>MAHOU CLASICA DUOTANK 1L</t>
        </is>
      </c>
      <c r="C167" s="11" t="n"/>
      <c r="D167" s="11" t="n"/>
      <c r="E167" s="11" t="n">
        <v>3.9</v>
      </c>
      <c r="F167" s="11">
        <f>IF(D167&lt;&gt;"",D167,IF(C167&lt;&gt;"",C167,""))</f>
        <v/>
      </c>
      <c r="G167" s="11">
        <f>IF(AND(E167&lt;&gt;"",F167&lt;&gt;""),E167-F167,"")</f>
        <v/>
      </c>
      <c r="H167" s="17">
        <f>IF(G167="","",IF(F167=0,"",G167/F167))</f>
        <v/>
      </c>
      <c r="I167" s="18">
        <f>IF(E167="","SIN COMPRA",IF(F167="","NUEVO",IF(AND(ABS(G167)&lt;0.015,ABS(G167)&lt;F167*0.005),"IGUAL",IF(G167&gt;0,"SUBE","BAJA"))))</f>
        <v/>
      </c>
      <c r="J167" s="17">
        <f>IF(AND(C167&lt;&gt;"",D167&lt;&gt;""),IF(C167=0,"",D167/C167-1),"")</f>
        <v/>
      </c>
      <c r="K167" s="5" t="inlineStr">
        <is>
          <t>Precio estimado (albaranes sin valorar): el de la última carga facturada por Mahou. Más 0,10 €/l de impuesto especial de la cerveza (total 4,00 €/l)</t>
        </is>
      </c>
    </row>
    <row r="168">
      <c r="A168" s="5" t="inlineStr">
        <is>
          <t>MAKRO</t>
        </is>
      </c>
      <c r="B168" s="5" t="inlineStr">
        <is>
          <t>AGUACATE PREMADURO MC 1KG</t>
        </is>
      </c>
      <c r="C168" s="11" t="n"/>
      <c r="D168" s="11" t="n"/>
      <c r="E168" s="11" t="n">
        <v>6.25</v>
      </c>
      <c r="F168" s="11">
        <f>IF(D168&lt;&gt;"",D168,IF(C168&lt;&gt;"",C168,""))</f>
        <v/>
      </c>
      <c r="G168" s="11">
        <f>IF(AND(E168&lt;&gt;"",F168&lt;&gt;""),E168-F168,"")</f>
        <v/>
      </c>
      <c r="H168" s="17">
        <f>IF(G168="","",IF(F168=0,"",G168/F168))</f>
        <v/>
      </c>
      <c r="I168" s="18">
        <f>IF(E168="","SIN COMPRA",IF(F168="","NUEVO",IF(AND(ABS(G168)&lt;0.015,ABS(G168)&lt;F168*0.005),"IGUAL",IF(G168&gt;0,"SUBE","BAJA"))))</f>
        <v/>
      </c>
      <c r="J168" s="17">
        <f>IF(AND(C168&lt;&gt;"",D168&lt;&gt;""),IF(C168=0,"",D168/C168-1),"")</f>
        <v/>
      </c>
      <c r="K168" s="5" t="inlineStr">
        <is>
          <t>Producto fresco: precio de mercado, fluctúa</t>
        </is>
      </c>
    </row>
    <row r="169">
      <c r="A169" s="5" t="inlineStr">
        <is>
          <t>MAKRO</t>
        </is>
      </c>
      <c r="B169" s="5" t="inlineStr">
        <is>
          <t>AGUACATE PREMADURO MC C-12/16 4KG</t>
        </is>
      </c>
      <c r="C169" s="11" t="n"/>
      <c r="D169" s="11" t="n"/>
      <c r="E169" s="11" t="n">
        <v>22.72</v>
      </c>
      <c r="F169" s="11">
        <f>IF(D169&lt;&gt;"",D169,IF(C169&lt;&gt;"",C169,""))</f>
        <v/>
      </c>
      <c r="G169" s="11">
        <f>IF(AND(E169&lt;&gt;"",F169&lt;&gt;""),E169-F169,"")</f>
        <v/>
      </c>
      <c r="H169" s="17">
        <f>IF(G169="","",IF(F169=0,"",G169/F169))</f>
        <v/>
      </c>
      <c r="I169" s="18">
        <f>IF(E169="","SIN COMPRA",IF(F169="","NUEVO",IF(AND(ABS(G169)&lt;0.015,ABS(G169)&lt;F169*0.005),"IGUAL",IF(G169&gt;0,"SUBE","BAJA"))))</f>
        <v/>
      </c>
      <c r="J169" s="17">
        <f>IF(AND(C169&lt;&gt;"",D169&lt;&gt;""),IF(C169=0,"",D169/C169-1),"")</f>
        <v/>
      </c>
      <c r="K169" s="5" t="inlineStr">
        <is>
          <t>Producto fresco: precio de mercado, fluctúa. Varios precios en septiembre: 21,77 / 22,72</t>
        </is>
      </c>
    </row>
    <row r="170">
      <c r="A170" s="5" t="inlineStr">
        <is>
          <t>MAKRO</t>
        </is>
      </c>
      <c r="B170" s="5" t="inlineStr">
        <is>
          <t>AJO BLANCO PELADO MC BL 1KG</t>
        </is>
      </c>
      <c r="C170" s="11" t="n"/>
      <c r="D170" s="11" t="n"/>
      <c r="E170" s="11" t="n">
        <v>5.39</v>
      </c>
      <c r="F170" s="11">
        <f>IF(D170&lt;&gt;"",D170,IF(C170&lt;&gt;"",C170,""))</f>
        <v/>
      </c>
      <c r="G170" s="11">
        <f>IF(AND(E170&lt;&gt;"",F170&lt;&gt;""),E170-F170,"")</f>
        <v/>
      </c>
      <c r="H170" s="17">
        <f>IF(G170="","",IF(F170=0,"",G170/F170))</f>
        <v/>
      </c>
      <c r="I170" s="18">
        <f>IF(E170="","SIN COMPRA",IF(F170="","NUEVO",IF(AND(ABS(G170)&lt;0.015,ABS(G170)&lt;F170*0.005),"IGUAL",IF(G170&gt;0,"SUBE","BAJA"))))</f>
        <v/>
      </c>
      <c r="J170" s="17">
        <f>IF(AND(C170&lt;&gt;"",D170&lt;&gt;""),IF(C170=0,"",D170/C170-1),"")</f>
        <v/>
      </c>
      <c r="K170" s="5" t="inlineStr">
        <is>
          <t>Producto fresco: precio de mercado, fluctúa. Varios precios en septiembre: 5,07 / 5,39</t>
        </is>
      </c>
    </row>
    <row r="171">
      <c r="A171" s="5" t="inlineStr">
        <is>
          <t>MAKRO</t>
        </is>
      </c>
      <c r="B171" s="5" t="inlineStr">
        <is>
          <t>ALBAHACA MC BJ 125G</t>
        </is>
      </c>
      <c r="C171" s="11" t="n"/>
      <c r="D171" s="11" t="n"/>
      <c r="E171" s="11" t="n">
        <v>3.47</v>
      </c>
      <c r="F171" s="11">
        <f>IF(D171&lt;&gt;"",D171,IF(C171&lt;&gt;"",C171,""))</f>
        <v/>
      </c>
      <c r="G171" s="11">
        <f>IF(AND(E171&lt;&gt;"",F171&lt;&gt;""),E171-F171,"")</f>
        <v/>
      </c>
      <c r="H171" s="17">
        <f>IF(G171="","",IF(F171=0,"",G171/F171))</f>
        <v/>
      </c>
      <c r="I171" s="18">
        <f>IF(E171="","SIN COMPRA",IF(F171="","NUEVO",IF(AND(ABS(G171)&lt;0.015,ABS(G171)&lt;F171*0.005),"IGUAL",IF(G171&gt;0,"SUBE","BAJA"))))</f>
        <v/>
      </c>
      <c r="J171" s="17">
        <f>IF(AND(C171&lt;&gt;"",D171&lt;&gt;""),IF(C171=0,"",D171/C171-1),"")</f>
        <v/>
      </c>
      <c r="K171" s="5" t="inlineStr">
        <is>
          <t>Producto fresco: precio de mercado, fluctúa</t>
        </is>
      </c>
    </row>
    <row r="172">
      <c r="A172" s="5" t="inlineStr">
        <is>
          <t>MAKRO</t>
        </is>
      </c>
      <c r="B172" s="5" t="inlineStr">
        <is>
          <t>ARROZ LARGO MC 1KG (PACK 10)</t>
        </is>
      </c>
      <c r="C172" s="11" t="n"/>
      <c r="D172" s="11" t="n"/>
      <c r="E172" s="11" t="n">
        <v>1.39</v>
      </c>
      <c r="F172" s="11">
        <f>IF(D172&lt;&gt;"",D172,IF(C172&lt;&gt;"",C172,""))</f>
        <v/>
      </c>
      <c r="G172" s="11">
        <f>IF(AND(E172&lt;&gt;"",F172&lt;&gt;""),E172-F172,"")</f>
        <v/>
      </c>
      <c r="H172" s="17">
        <f>IF(G172="","",IF(F172=0,"",G172/F172))</f>
        <v/>
      </c>
      <c r="I172" s="18">
        <f>IF(E172="","SIN COMPRA",IF(F172="","NUEVO",IF(AND(ABS(G172)&lt;0.015,ABS(G172)&lt;F172*0.005),"IGUAL",IF(G172&gt;0,"SUBE","BAJA"))))</f>
        <v/>
      </c>
      <c r="J172" s="17">
        <f>IF(AND(C172&lt;&gt;"",D172&lt;&gt;""),IF(C172=0,"",D172/C172-1),"")</f>
        <v/>
      </c>
      <c r="K172" s="5" t="n"/>
    </row>
    <row r="173">
      <c r="A173" s="5" t="inlineStr">
        <is>
          <t>MAKRO</t>
        </is>
      </c>
      <c r="B173" s="5" t="inlineStr">
        <is>
          <t>AZUCAR MORENO ACOR 1KG</t>
        </is>
      </c>
      <c r="C173" s="11" t="n"/>
      <c r="D173" s="11" t="n"/>
      <c r="E173" s="11" t="n">
        <v>2.3</v>
      </c>
      <c r="F173" s="11">
        <f>IF(D173&lt;&gt;"",D173,IF(C173&lt;&gt;"",C173,""))</f>
        <v/>
      </c>
      <c r="G173" s="11">
        <f>IF(AND(E173&lt;&gt;"",F173&lt;&gt;""),E173-F173,"")</f>
        <v/>
      </c>
      <c r="H173" s="17">
        <f>IF(G173="","",IF(F173=0,"",G173/F173))</f>
        <v/>
      </c>
      <c r="I173" s="18">
        <f>IF(E173="","SIN COMPRA",IF(F173="","NUEVO",IF(AND(ABS(G173)&lt;0.015,ABS(G173)&lt;F173*0.005),"IGUAL",IF(G173&gt;0,"SUBE","BAJA"))))</f>
        <v/>
      </c>
      <c r="J173" s="17">
        <f>IF(AND(C173&lt;&gt;"",D173&lt;&gt;""),IF(C173=0,"",D173/C173-1),"")</f>
        <v/>
      </c>
      <c r="K173" s="5" t="n"/>
    </row>
    <row r="174">
      <c r="A174" s="5" t="inlineStr">
        <is>
          <t>MAKRO</t>
        </is>
      </c>
      <c r="B174" s="5" t="inlineStr">
        <is>
          <t>BAYETA MPRO ROLLO PUNTO AZUL 3KG</t>
        </is>
      </c>
      <c r="C174" s="11" t="n"/>
      <c r="D174" s="11" t="n"/>
      <c r="E174" s="11" t="n">
        <v>18.47</v>
      </c>
      <c r="F174" s="11">
        <f>IF(D174&lt;&gt;"",D174,IF(C174&lt;&gt;"",C174,""))</f>
        <v/>
      </c>
      <c r="G174" s="11">
        <f>IF(AND(E174&lt;&gt;"",F174&lt;&gt;""),E174-F174,"")</f>
        <v/>
      </c>
      <c r="H174" s="17">
        <f>IF(G174="","",IF(F174=0,"",G174/F174))</f>
        <v/>
      </c>
      <c r="I174" s="18">
        <f>IF(E174="","SIN COMPRA",IF(F174="","NUEVO",IF(AND(ABS(G174)&lt;0.015,ABS(G174)&lt;F174*0.005),"IGUAL",IF(G174&gt;0,"SUBE","BAJA"))))</f>
        <v/>
      </c>
      <c r="J174" s="17">
        <f>IF(AND(C174&lt;&gt;"",D174&lt;&gt;""),IF(C174=0,"",D174/C174-1),"")</f>
        <v/>
      </c>
      <c r="K174" s="5" t="n"/>
    </row>
    <row r="175">
      <c r="A175" s="5" t="inlineStr">
        <is>
          <t>MAKRO</t>
        </is>
      </c>
      <c r="B175" s="5" t="inlineStr">
        <is>
          <t>BOLSA VACIO MPRO 20X30 100PZA</t>
        </is>
      </c>
      <c r="C175" s="11" t="n"/>
      <c r="D175" s="11" t="n"/>
      <c r="E175" s="11" t="n">
        <v>11.95</v>
      </c>
      <c r="F175" s="11">
        <f>IF(D175&lt;&gt;"",D175,IF(C175&lt;&gt;"",C175,""))</f>
        <v/>
      </c>
      <c r="G175" s="11">
        <f>IF(AND(E175&lt;&gt;"",F175&lt;&gt;""),E175-F175,"")</f>
        <v/>
      </c>
      <c r="H175" s="17">
        <f>IF(G175="","",IF(F175=0,"",G175/F175))</f>
        <v/>
      </c>
      <c r="I175" s="18">
        <f>IF(E175="","SIN COMPRA",IF(F175="","NUEVO",IF(AND(ABS(G175)&lt;0.015,ABS(G175)&lt;F175*0.005),"IGUAL",IF(G175&gt;0,"SUBE","BAJA"))))</f>
        <v/>
      </c>
      <c r="J175" s="17">
        <f>IF(AND(C175&lt;&gt;"",D175&lt;&gt;""),IF(C175=0,"",D175/C175-1),"")</f>
        <v/>
      </c>
      <c r="K175" s="5" t="n"/>
    </row>
    <row r="176">
      <c r="A176" s="5" t="inlineStr">
        <is>
          <t>MAKRO</t>
        </is>
      </c>
      <c r="B176" s="5" t="inlineStr">
        <is>
          <t>CALABACIN 2A MA 2KG</t>
        </is>
      </c>
      <c r="C176" s="11" t="n"/>
      <c r="D176" s="11" t="n"/>
      <c r="E176" s="11" t="n">
        <v>4.39</v>
      </c>
      <c r="F176" s="11">
        <f>IF(D176&lt;&gt;"",D176,IF(C176&lt;&gt;"",C176,""))</f>
        <v/>
      </c>
      <c r="G176" s="11">
        <f>IF(AND(E176&lt;&gt;"",F176&lt;&gt;""),E176-F176,"")</f>
        <v/>
      </c>
      <c r="H176" s="17">
        <f>IF(G176="","",IF(F176=0,"",G176/F176))</f>
        <v/>
      </c>
      <c r="I176" s="18">
        <f>IF(E176="","SIN COMPRA",IF(F176="","NUEVO",IF(AND(ABS(G176)&lt;0.015,ABS(G176)&lt;F176*0.005),"IGUAL",IF(G176&gt;0,"SUBE","BAJA"))))</f>
        <v/>
      </c>
      <c r="J176" s="17">
        <f>IF(AND(C176&lt;&gt;"",D176&lt;&gt;""),IF(C176=0,"",D176/C176-1),"")</f>
        <v/>
      </c>
      <c r="K176" s="5" t="inlineStr">
        <is>
          <t>Producto fresco: precio de mercado, fluctúa</t>
        </is>
      </c>
    </row>
    <row r="177">
      <c r="A177" s="5" t="inlineStr">
        <is>
          <t>MAKRO</t>
        </is>
      </c>
      <c r="B177" s="5" t="inlineStr">
        <is>
          <t>CALDO PESCADO KNORR 1KG</t>
        </is>
      </c>
      <c r="C177" s="11" t="n"/>
      <c r="D177" s="11" t="n"/>
      <c r="E177" s="11" t="n">
        <v>10.35</v>
      </c>
      <c r="F177" s="11">
        <f>IF(D177&lt;&gt;"",D177,IF(C177&lt;&gt;"",C177,""))</f>
        <v/>
      </c>
      <c r="G177" s="11">
        <f>IF(AND(E177&lt;&gt;"",F177&lt;&gt;""),E177-F177,"")</f>
        <v/>
      </c>
      <c r="H177" s="17">
        <f>IF(G177="","",IF(F177=0,"",G177/F177))</f>
        <v/>
      </c>
      <c r="I177" s="18">
        <f>IF(E177="","SIN COMPRA",IF(F177="","NUEVO",IF(AND(ABS(G177)&lt;0.015,ABS(G177)&lt;F177*0.005),"IGUAL",IF(G177&gt;0,"SUBE","BAJA"))))</f>
        <v/>
      </c>
      <c r="J177" s="17">
        <f>IF(AND(C177&lt;&gt;"",D177&lt;&gt;""),IF(C177=0,"",D177/C177-1),"")</f>
        <v/>
      </c>
      <c r="K177" s="5" t="n"/>
    </row>
    <row r="178">
      <c r="A178" s="5" t="inlineStr">
        <is>
          <t>MAKRO</t>
        </is>
      </c>
      <c r="B178" s="5" t="inlineStr">
        <is>
          <t>CALDO POLLO KNORR 1KG</t>
        </is>
      </c>
      <c r="C178" s="11" t="n"/>
      <c r="D178" s="11" t="n"/>
      <c r="E178" s="11" t="n">
        <v>8.5</v>
      </c>
      <c r="F178" s="11">
        <f>IF(D178&lt;&gt;"",D178,IF(C178&lt;&gt;"",C178,""))</f>
        <v/>
      </c>
      <c r="G178" s="11">
        <f>IF(AND(E178&lt;&gt;"",F178&lt;&gt;""),E178-F178,"")</f>
        <v/>
      </c>
      <c r="H178" s="17">
        <f>IF(G178="","",IF(F178=0,"",G178/F178))</f>
        <v/>
      </c>
      <c r="I178" s="18">
        <f>IF(E178="","SIN COMPRA",IF(F178="","NUEVO",IF(AND(ABS(G178)&lt;0.015,ABS(G178)&lt;F178*0.005),"IGUAL",IF(G178&gt;0,"SUBE","BAJA"))))</f>
        <v/>
      </c>
      <c r="J178" s="17">
        <f>IF(AND(C178&lt;&gt;"",D178&lt;&gt;""),IF(C178=0,"",D178/C178-1),"")</f>
        <v/>
      </c>
      <c r="K178" s="5" t="inlineStr">
        <is>
          <t>Producto fresco: precio de mercado, fluctúa</t>
        </is>
      </c>
    </row>
    <row r="179">
      <c r="A179" s="5" t="inlineStr">
        <is>
          <t>MAKRO</t>
        </is>
      </c>
      <c r="B179" s="5" t="inlineStr">
        <is>
          <t>CEBOLLA GUISOS MC SC 5KG</t>
        </is>
      </c>
      <c r="C179" s="11" t="n">
        <v>4.68</v>
      </c>
      <c r="D179" s="11" t="n"/>
      <c r="E179" s="11" t="n">
        <v>5.67</v>
      </c>
      <c r="F179" s="11">
        <f>IF(D179&lt;&gt;"",D179,IF(C179&lt;&gt;"",C179,""))</f>
        <v/>
      </c>
      <c r="G179" s="11">
        <f>IF(AND(E179&lt;&gt;"",F179&lt;&gt;""),E179-F179,"")</f>
        <v/>
      </c>
      <c r="H179" s="17">
        <f>IF(G179="","",IF(F179=0,"",G179/F179))</f>
        <v/>
      </c>
      <c r="I179" s="18">
        <f>IF(E179="","SIN COMPRA",IF(F179="","NUEVO",IF(AND(ABS(G179)&lt;0.015,ABS(G179)&lt;F179*0.005),"IGUAL",IF(G179&gt;0,"SUBE","BAJA"))))</f>
        <v/>
      </c>
      <c r="J179" s="17">
        <f>IF(AND(C179&lt;&gt;"",D179&lt;&gt;""),IF(C179=0,"",D179/C179-1),"")</f>
        <v/>
      </c>
      <c r="K179" s="5" t="inlineStr">
        <is>
          <t>Producto fresco: precio de mercado, fluctúa. Varios precios en septiembre: 4,13 / 4,72 / 4,83 / 5,67</t>
        </is>
      </c>
    </row>
    <row r="180">
      <c r="A180" s="5" t="inlineStr">
        <is>
          <t>MAKRO</t>
        </is>
      </c>
      <c r="B180" s="5" t="inlineStr">
        <is>
          <t>CEBOLLETA BCA MJ</t>
        </is>
      </c>
      <c r="C180" s="11" t="n">
        <v>2.04</v>
      </c>
      <c r="D180" s="11" t="n"/>
      <c r="E180" s="11" t="n">
        <v>2.04</v>
      </c>
      <c r="F180" s="11">
        <f>IF(D180&lt;&gt;"",D180,IF(C180&lt;&gt;"",C180,""))</f>
        <v/>
      </c>
      <c r="G180" s="11">
        <f>IF(AND(E180&lt;&gt;"",F180&lt;&gt;""),E180-F180,"")</f>
        <v/>
      </c>
      <c r="H180" s="17">
        <f>IF(G180="","",IF(F180=0,"",G180/F180))</f>
        <v/>
      </c>
      <c r="I180" s="18">
        <f>IF(E180="","SIN COMPRA",IF(F180="","NUEVO",IF(AND(ABS(G180)&lt;0.015,ABS(G180)&lt;F180*0.005),"IGUAL",IF(G180&gt;0,"SUBE","BAJA"))))</f>
        <v/>
      </c>
      <c r="J180" s="17">
        <f>IF(AND(C180&lt;&gt;"",D180&lt;&gt;""),IF(C180=0,"",D180/C180-1),"")</f>
        <v/>
      </c>
      <c r="K180" s="5" t="inlineStr">
        <is>
          <t>Producto fresco: precio de mercado, fluctúa</t>
        </is>
      </c>
    </row>
    <row r="181">
      <c r="A181" s="5" t="inlineStr">
        <is>
          <t>MAKRO</t>
        </is>
      </c>
      <c r="B181" s="5" t="inlineStr">
        <is>
          <t>CEBOLLETA CHINA MJ</t>
        </is>
      </c>
      <c r="C181" s="11" t="n">
        <v>1.49</v>
      </c>
      <c r="D181" s="11" t="n"/>
      <c r="E181" s="11" t="n">
        <v>1.49</v>
      </c>
      <c r="F181" s="11">
        <f>IF(D181&lt;&gt;"",D181,IF(C181&lt;&gt;"",C181,""))</f>
        <v/>
      </c>
      <c r="G181" s="11">
        <f>IF(AND(E181&lt;&gt;"",F181&lt;&gt;""),E181-F181,"")</f>
        <v/>
      </c>
      <c r="H181" s="17">
        <f>IF(G181="","",IF(F181=0,"",G181/F181))</f>
        <v/>
      </c>
      <c r="I181" s="18">
        <f>IF(E181="","SIN COMPRA",IF(F181="","NUEVO",IF(AND(ABS(G181)&lt;0.015,ABS(G181)&lt;F181*0.005),"IGUAL",IF(G181&gt;0,"SUBE","BAJA"))))</f>
        <v/>
      </c>
      <c r="J181" s="17">
        <f>IF(AND(C181&lt;&gt;"",D181&lt;&gt;""),IF(C181=0,"",D181/C181-1),"")</f>
        <v/>
      </c>
      <c r="K181" s="5" t="inlineStr">
        <is>
          <t>Producto fresco: precio de mercado, fluctúa</t>
        </is>
      </c>
    </row>
    <row r="182">
      <c r="A182" s="5" t="inlineStr">
        <is>
          <t>MAKRO</t>
        </is>
      </c>
      <c r="B182" s="5" t="inlineStr">
        <is>
          <t>CEBOLLINO MC MJ 125G</t>
        </is>
      </c>
      <c r="C182" s="11" t="n">
        <v>2.81</v>
      </c>
      <c r="D182" s="11" t="n"/>
      <c r="E182" s="11" t="n">
        <v>3.73</v>
      </c>
      <c r="F182" s="11">
        <f>IF(D182&lt;&gt;"",D182,IF(C182&lt;&gt;"",C182,""))</f>
        <v/>
      </c>
      <c r="G182" s="11">
        <f>IF(AND(E182&lt;&gt;"",F182&lt;&gt;""),E182-F182,"")</f>
        <v/>
      </c>
      <c r="H182" s="17">
        <f>IF(G182="","",IF(F182=0,"",G182/F182))</f>
        <v/>
      </c>
      <c r="I182" s="18">
        <f>IF(E182="","SIN COMPRA",IF(F182="","NUEVO",IF(AND(ABS(G182)&lt;0.015,ABS(G182)&lt;F182*0.005),"IGUAL",IF(G182&gt;0,"SUBE","BAJA"))))</f>
        <v/>
      </c>
      <c r="J182" s="17">
        <f>IF(AND(C182&lt;&gt;"",D182&lt;&gt;""),IF(C182=0,"",D182/C182-1),"")</f>
        <v/>
      </c>
      <c r="K182" s="5" t="inlineStr">
        <is>
          <t>Producto fresco: precio de mercado, fluctúa. Varios precios en septiembre: 2,81 / 3,62 / 3,73</t>
        </is>
      </c>
    </row>
    <row r="183">
      <c r="A183" s="5" t="inlineStr">
        <is>
          <t>MAKRO</t>
        </is>
      </c>
      <c r="B183" s="5" t="inlineStr">
        <is>
          <t>CINTA LOMO ADB EXTRATIERNA EPZ</t>
        </is>
      </c>
      <c r="C183" s="11" t="n"/>
      <c r="D183" s="11" t="n"/>
      <c r="E183" s="11" t="n">
        <v>7.02</v>
      </c>
      <c r="F183" s="11">
        <f>IF(D183&lt;&gt;"",D183,IF(C183&lt;&gt;"",C183,""))</f>
        <v/>
      </c>
      <c r="G183" s="11">
        <f>IF(AND(E183&lt;&gt;"",F183&lt;&gt;""),E183-F183,"")</f>
        <v/>
      </c>
      <c r="H183" s="17">
        <f>IF(G183="","",IF(F183=0,"",G183/F183))</f>
        <v/>
      </c>
      <c r="I183" s="18">
        <f>IF(E183="","SIN COMPRA",IF(F183="","NUEVO",IF(AND(ABS(G183)&lt;0.015,ABS(G183)&lt;F183*0.005),"IGUAL",IF(G183&gt;0,"SUBE","BAJA"))))</f>
        <v/>
      </c>
      <c r="J183" s="17">
        <f>IF(AND(C183&lt;&gt;"",D183&lt;&gt;""),IF(C183=0,"",D183/C183-1),"")</f>
        <v/>
      </c>
      <c r="K183" s="5" t="inlineStr">
        <is>
          <t>Producto fresco: precio de mercado, fluctúa</t>
        </is>
      </c>
    </row>
    <row r="184">
      <c r="A184" s="5" t="inlineStr">
        <is>
          <t>MAKRO</t>
        </is>
      </c>
      <c r="B184" s="5" t="inlineStr">
        <is>
          <t>CORAZON LECHUGA ROMANA 2UD</t>
        </is>
      </c>
      <c r="C184" s="11" t="n"/>
      <c r="D184" s="11" t="n"/>
      <c r="E184" s="11" t="n">
        <v>1.97</v>
      </c>
      <c r="F184" s="11">
        <f>IF(D184&lt;&gt;"",D184,IF(C184&lt;&gt;"",C184,""))</f>
        <v/>
      </c>
      <c r="G184" s="11">
        <f>IF(AND(E184&lt;&gt;"",F184&lt;&gt;""),E184-F184,"")</f>
        <v/>
      </c>
      <c r="H184" s="17">
        <f>IF(G184="","",IF(F184=0,"",G184/F184))</f>
        <v/>
      </c>
      <c r="I184" s="18">
        <f>IF(E184="","SIN COMPRA",IF(F184="","NUEVO",IF(AND(ABS(G184)&lt;0.015,ABS(G184)&lt;F184*0.005),"IGUAL",IF(G184&gt;0,"SUBE","BAJA"))))</f>
        <v/>
      </c>
      <c r="J184" s="17">
        <f>IF(AND(C184&lt;&gt;"",D184&lt;&gt;""),IF(C184=0,"",D184/C184-1),"")</f>
        <v/>
      </c>
      <c r="K184" s="5" t="inlineStr">
        <is>
          <t>Producto fresco: precio de mercado, fluctúa</t>
        </is>
      </c>
    </row>
    <row r="185">
      <c r="A185" s="5" t="inlineStr">
        <is>
          <t>MAKRO</t>
        </is>
      </c>
      <c r="B185" s="5" t="inlineStr">
        <is>
          <t>ENELDO MC BJ 125G</t>
        </is>
      </c>
      <c r="C185" s="11" t="n"/>
      <c r="D185" s="11" t="n"/>
      <c r="E185" s="11" t="n">
        <v>3.07</v>
      </c>
      <c r="F185" s="11">
        <f>IF(D185&lt;&gt;"",D185,IF(C185&lt;&gt;"",C185,""))</f>
        <v/>
      </c>
      <c r="G185" s="11">
        <f>IF(AND(E185&lt;&gt;"",F185&lt;&gt;""),E185-F185,"")</f>
        <v/>
      </c>
      <c r="H185" s="17">
        <f>IF(G185="","",IF(F185=0,"",G185/F185))</f>
        <v/>
      </c>
      <c r="I185" s="18">
        <f>IF(E185="","SIN COMPRA",IF(F185="","NUEVO",IF(AND(ABS(G185)&lt;0.015,ABS(G185)&lt;F185*0.005),"IGUAL",IF(G185&gt;0,"SUBE","BAJA"))))</f>
        <v/>
      </c>
      <c r="J185" s="17">
        <f>IF(AND(C185&lt;&gt;"",D185&lt;&gt;""),IF(C185=0,"",D185/C185-1),"")</f>
        <v/>
      </c>
      <c r="K185" s="5" t="inlineStr">
        <is>
          <t>Producto fresco: precio de mercado, fluctúa</t>
        </is>
      </c>
    </row>
    <row r="186">
      <c r="A186" s="5" t="inlineStr">
        <is>
          <t>MAKRO</t>
        </is>
      </c>
      <c r="B186" s="5" t="inlineStr">
        <is>
          <t>ESTRAGON MC BJ 125G</t>
        </is>
      </c>
      <c r="C186" s="11" t="n"/>
      <c r="D186" s="11" t="n"/>
      <c r="E186" s="11" t="n">
        <v>3.47</v>
      </c>
      <c r="F186" s="11">
        <f>IF(D186&lt;&gt;"",D186,IF(C186&lt;&gt;"",C186,""))</f>
        <v/>
      </c>
      <c r="G186" s="11">
        <f>IF(AND(E186&lt;&gt;"",F186&lt;&gt;""),E186-F186,"")</f>
        <v/>
      </c>
      <c r="H186" s="17">
        <f>IF(G186="","",IF(F186=0,"",G186/F186))</f>
        <v/>
      </c>
      <c r="I186" s="18">
        <f>IF(E186="","SIN COMPRA",IF(F186="","NUEVO",IF(AND(ABS(G186)&lt;0.015,ABS(G186)&lt;F186*0.005),"IGUAL",IF(G186&gt;0,"SUBE","BAJA"))))</f>
        <v/>
      </c>
      <c r="J186" s="17">
        <f>IF(AND(C186&lt;&gt;"",D186&lt;&gt;""),IF(C186=0,"",D186/C186-1),"")</f>
        <v/>
      </c>
      <c r="K186" s="5" t="inlineStr">
        <is>
          <t>Producto fresco: precio de mercado, fluctúa</t>
        </is>
      </c>
    </row>
    <row r="187">
      <c r="A187" s="5" t="inlineStr">
        <is>
          <t>MAKRO</t>
        </is>
      </c>
      <c r="B187" s="5" t="inlineStr">
        <is>
          <t>FOIE MICUIT ENTER MARTIKO 500G</t>
        </is>
      </c>
      <c r="C187" s="11" t="n"/>
      <c r="D187" s="11" t="n"/>
      <c r="E187" s="11" t="n">
        <v>47.22</v>
      </c>
      <c r="F187" s="11">
        <f>IF(D187&lt;&gt;"",D187,IF(C187&lt;&gt;"",C187,""))</f>
        <v/>
      </c>
      <c r="G187" s="11">
        <f>IF(AND(E187&lt;&gt;"",F187&lt;&gt;""),E187-F187,"")</f>
        <v/>
      </c>
      <c r="H187" s="17">
        <f>IF(G187="","",IF(F187=0,"",G187/F187))</f>
        <v/>
      </c>
      <c r="I187" s="18">
        <f>IF(E187="","SIN COMPRA",IF(F187="","NUEVO",IF(AND(ABS(G187)&lt;0.015,ABS(G187)&lt;F187*0.005),"IGUAL",IF(G187&gt;0,"SUBE","BAJA"))))</f>
        <v/>
      </c>
      <c r="J187" s="17">
        <f>IF(AND(C187&lt;&gt;"",D187&lt;&gt;""),IF(C187=0,"",D187/C187-1),"")</f>
        <v/>
      </c>
      <c r="K187" s="5" t="n"/>
    </row>
    <row r="188">
      <c r="A188" s="5" t="inlineStr">
        <is>
          <t>MAKRO</t>
        </is>
      </c>
      <c r="B188" s="5" t="inlineStr">
        <is>
          <t>GUINDILLA 300G</t>
        </is>
      </c>
      <c r="C188" s="11" t="n"/>
      <c r="D188" s="11" t="n"/>
      <c r="E188" s="11" t="n">
        <v>11.76</v>
      </c>
      <c r="F188" s="11">
        <f>IF(D188&lt;&gt;"",D188,IF(C188&lt;&gt;"",C188,""))</f>
        <v/>
      </c>
      <c r="G188" s="11">
        <f>IF(AND(E188&lt;&gt;"",F188&lt;&gt;""),E188-F188,"")</f>
        <v/>
      </c>
      <c r="H188" s="17">
        <f>IF(G188="","",IF(F188=0,"",G188/F188))</f>
        <v/>
      </c>
      <c r="I188" s="18">
        <f>IF(E188="","SIN COMPRA",IF(F188="","NUEVO",IF(AND(ABS(G188)&lt;0.015,ABS(G188)&lt;F188*0.005),"IGUAL",IF(G188&gt;0,"SUBE","BAJA"))))</f>
        <v/>
      </c>
      <c r="J188" s="17">
        <f>IF(AND(C188&lt;&gt;"",D188&lt;&gt;""),IF(C188=0,"",D188/C188-1),"")</f>
        <v/>
      </c>
      <c r="K188" s="5" t="inlineStr">
        <is>
          <t>Producto fresco: precio de mercado, fluctúa</t>
        </is>
      </c>
    </row>
    <row r="189">
      <c r="A189" s="5" t="inlineStr">
        <is>
          <t>MAKRO</t>
        </is>
      </c>
      <c r="B189" s="5" t="inlineStr">
        <is>
          <t>HARINA TRIGO ESPECIAL FRITURA MC 1KG (PACK 10)</t>
        </is>
      </c>
      <c r="C189" s="11" t="n"/>
      <c r="D189" s="11" t="n"/>
      <c r="E189" s="11" t="n">
        <v>1.19</v>
      </c>
      <c r="F189" s="11">
        <f>IF(D189&lt;&gt;"",D189,IF(C189&lt;&gt;"",C189,""))</f>
        <v/>
      </c>
      <c r="G189" s="11">
        <f>IF(AND(E189&lt;&gt;"",F189&lt;&gt;""),E189-F189,"")</f>
        <v/>
      </c>
      <c r="H189" s="17">
        <f>IF(G189="","",IF(F189=0,"",G189/F189))</f>
        <v/>
      </c>
      <c r="I189" s="18">
        <f>IF(E189="","SIN COMPRA",IF(F189="","NUEVO",IF(AND(ABS(G189)&lt;0.015,ABS(G189)&lt;F189*0.005),"IGUAL",IF(G189&gt;0,"SUBE","BAJA"))))</f>
        <v/>
      </c>
      <c r="J189" s="17">
        <f>IF(AND(C189&lt;&gt;"",D189&lt;&gt;""),IF(C189=0,"",D189/C189-1),"")</f>
        <v/>
      </c>
      <c r="K189" s="5" t="n"/>
    </row>
    <row r="190">
      <c r="A190" s="5" t="inlineStr">
        <is>
          <t>MAKRO</t>
        </is>
      </c>
      <c r="B190" s="5" t="inlineStr">
        <is>
          <t>HIERBABUENA MC BJ 125G</t>
        </is>
      </c>
      <c r="C190" s="11" t="n"/>
      <c r="D190" s="11" t="n"/>
      <c r="E190" s="11" t="n">
        <v>3.07</v>
      </c>
      <c r="F190" s="11">
        <f>IF(D190&lt;&gt;"",D190,IF(C190&lt;&gt;"",C190,""))</f>
        <v/>
      </c>
      <c r="G190" s="11">
        <f>IF(AND(E190&lt;&gt;"",F190&lt;&gt;""),E190-F190,"")</f>
        <v/>
      </c>
      <c r="H190" s="17">
        <f>IF(G190="","",IF(F190=0,"",G190/F190))</f>
        <v/>
      </c>
      <c r="I190" s="18">
        <f>IF(E190="","SIN COMPRA",IF(F190="","NUEVO",IF(AND(ABS(G190)&lt;0.015,ABS(G190)&lt;F190*0.005),"IGUAL",IF(G190&gt;0,"SUBE","BAJA"))))</f>
        <v/>
      </c>
      <c r="J190" s="17">
        <f>IF(AND(C190&lt;&gt;"",D190&lt;&gt;""),IF(C190=0,"",D190/C190-1),"")</f>
        <v/>
      </c>
      <c r="K190" s="5" t="inlineStr">
        <is>
          <t>Producto fresco: precio de mercado, fluctúa</t>
        </is>
      </c>
    </row>
    <row r="191">
      <c r="A191" s="5" t="inlineStr">
        <is>
          <t>MAKRO</t>
        </is>
      </c>
      <c r="B191" s="5" t="inlineStr">
        <is>
          <t>HUEVO LIQUIDO MC BT 1L</t>
        </is>
      </c>
      <c r="C191" s="11" t="n"/>
      <c r="D191" s="11" t="n"/>
      <c r="E191" s="11" t="n">
        <v>5.14</v>
      </c>
      <c r="F191" s="11">
        <f>IF(D191&lt;&gt;"",D191,IF(C191&lt;&gt;"",C191,""))</f>
        <v/>
      </c>
      <c r="G191" s="11">
        <f>IF(AND(E191&lt;&gt;"",F191&lt;&gt;""),E191-F191,"")</f>
        <v/>
      </c>
      <c r="H191" s="17">
        <f>IF(G191="","",IF(F191=0,"",G191/F191))</f>
        <v/>
      </c>
      <c r="I191" s="18">
        <f>IF(E191="","SIN COMPRA",IF(F191="","NUEVO",IF(AND(ABS(G191)&lt;0.015,ABS(G191)&lt;F191*0.005),"IGUAL",IF(G191&gt;0,"SUBE","BAJA"))))</f>
        <v/>
      </c>
      <c r="J191" s="17">
        <f>IF(AND(C191&lt;&gt;"",D191&lt;&gt;""),IF(C191=0,"",D191/C191-1),"")</f>
        <v/>
      </c>
      <c r="K191" s="5" t="n"/>
    </row>
    <row r="192">
      <c r="A192" s="5" t="inlineStr">
        <is>
          <t>MAKRO</t>
        </is>
      </c>
      <c r="B192" s="5" t="inlineStr">
        <is>
          <t>KETCHUP ARO 1,85KG</t>
        </is>
      </c>
      <c r="C192" s="11" t="n"/>
      <c r="D192" s="11" t="n"/>
      <c r="E192" s="11" t="n">
        <v>3.9</v>
      </c>
      <c r="F192" s="11">
        <f>IF(D192&lt;&gt;"",D192,IF(C192&lt;&gt;"",C192,""))</f>
        <v/>
      </c>
      <c r="G192" s="11">
        <f>IF(AND(E192&lt;&gt;"",F192&lt;&gt;""),E192-F192,"")</f>
        <v/>
      </c>
      <c r="H192" s="17">
        <f>IF(G192="","",IF(F192=0,"",G192/F192))</f>
        <v/>
      </c>
      <c r="I192" s="18">
        <f>IF(E192="","SIN COMPRA",IF(F192="","NUEVO",IF(AND(ABS(G192)&lt;0.015,ABS(G192)&lt;F192*0.005),"IGUAL",IF(G192&gt;0,"SUBE","BAJA"))))</f>
        <v/>
      </c>
      <c r="J192" s="17">
        <f>IF(AND(C192&lt;&gt;"",D192&lt;&gt;""),IF(C192=0,"",D192/C192-1),"")</f>
        <v/>
      </c>
      <c r="K192" s="5" t="n"/>
    </row>
    <row r="193">
      <c r="A193" s="5" t="inlineStr">
        <is>
          <t>MAKRO</t>
        </is>
      </c>
      <c r="B193" s="5" t="inlineStr">
        <is>
          <t>LAUREL HOJA ARO 600G</t>
        </is>
      </c>
      <c r="C193" s="11" t="n"/>
      <c r="D193" s="11" t="n"/>
      <c r="E193" s="11" t="n">
        <v>17.82</v>
      </c>
      <c r="F193" s="11">
        <f>IF(D193&lt;&gt;"",D193,IF(C193&lt;&gt;"",C193,""))</f>
        <v/>
      </c>
      <c r="G193" s="11">
        <f>IF(AND(E193&lt;&gt;"",F193&lt;&gt;""),E193-F193,"")</f>
        <v/>
      </c>
      <c r="H193" s="17">
        <f>IF(G193="","",IF(F193=0,"",G193/F193))</f>
        <v/>
      </c>
      <c r="I193" s="18">
        <f>IF(E193="","SIN COMPRA",IF(F193="","NUEVO",IF(AND(ABS(G193)&lt;0.015,ABS(G193)&lt;F193*0.005),"IGUAL",IF(G193&gt;0,"SUBE","BAJA"))))</f>
        <v/>
      </c>
      <c r="J193" s="17">
        <f>IF(AND(C193&lt;&gt;"",D193&lt;&gt;""),IF(C193=0,"",D193/C193-1),"")</f>
        <v/>
      </c>
      <c r="K193" s="5" t="n"/>
    </row>
    <row r="194">
      <c r="A194" s="5" t="inlineStr">
        <is>
          <t>MAKRO</t>
        </is>
      </c>
      <c r="B194" s="5" t="inlineStr">
        <is>
          <t>LEA &amp; PERRINS SALSA WORCESTERSHIRE BIDON 2L</t>
        </is>
      </c>
      <c r="C194" s="11" t="n"/>
      <c r="D194" s="11" t="n"/>
      <c r="E194" s="11" t="n">
        <v>20.44</v>
      </c>
      <c r="F194" s="11">
        <f>IF(D194&lt;&gt;"",D194,IF(C194&lt;&gt;"",C194,""))</f>
        <v/>
      </c>
      <c r="G194" s="11">
        <f>IF(AND(E194&lt;&gt;"",F194&lt;&gt;""),E194-F194,"")</f>
        <v/>
      </c>
      <c r="H194" s="17">
        <f>IF(G194="","",IF(F194=0,"",G194/F194))</f>
        <v/>
      </c>
      <c r="I194" s="18">
        <f>IF(E194="","SIN COMPRA",IF(F194="","NUEVO",IF(AND(ABS(G194)&lt;0.015,ABS(G194)&lt;F194*0.005),"IGUAL",IF(G194&gt;0,"SUBE","BAJA"))))</f>
        <v/>
      </c>
      <c r="J194" s="17">
        <f>IF(AND(C194&lt;&gt;"",D194&lt;&gt;""),IF(C194=0,"",D194/C194-1),"")</f>
        <v/>
      </c>
      <c r="K194" s="5" t="n"/>
    </row>
    <row r="195">
      <c r="A195" s="5" t="inlineStr">
        <is>
          <t>MAKRO</t>
        </is>
      </c>
      <c r="B195" s="5" t="inlineStr">
        <is>
          <t>LECHE ENT ARO BK 1L (CAJA 6)</t>
        </is>
      </c>
      <c r="C195" s="11" t="n"/>
      <c r="D195" s="11" t="n"/>
      <c r="E195" s="11" t="n">
        <v>0.99</v>
      </c>
      <c r="F195" s="11">
        <f>IF(D195&lt;&gt;"",D195,IF(C195&lt;&gt;"",C195,""))</f>
        <v/>
      </c>
      <c r="G195" s="11">
        <f>IF(AND(E195&lt;&gt;"",F195&lt;&gt;""),E195-F195,"")</f>
        <v/>
      </c>
      <c r="H195" s="17">
        <f>IF(G195="","",IF(F195=0,"",G195/F195))</f>
        <v/>
      </c>
      <c r="I195" s="18">
        <f>IF(E195="","SIN COMPRA",IF(F195="","NUEVO",IF(AND(ABS(G195)&lt;0.015,ABS(G195)&lt;F195*0.005),"IGUAL",IF(G195&gt;0,"SUBE","BAJA"))))</f>
        <v/>
      </c>
      <c r="J195" s="17">
        <f>IF(AND(C195&lt;&gt;"",D195&lt;&gt;""),IF(C195=0,"",D195/C195-1),"")</f>
        <v/>
      </c>
      <c r="K195" s="5" t="n"/>
    </row>
    <row r="196">
      <c r="A196" s="5" t="inlineStr">
        <is>
          <t>MAKRO</t>
        </is>
      </c>
      <c r="B196" s="5" t="inlineStr">
        <is>
          <t>LECHE FCA ENT PULEVA BT 1.5L</t>
        </is>
      </c>
      <c r="C196" s="11" t="n"/>
      <c r="D196" s="11" t="n"/>
      <c r="E196" s="11" t="n">
        <v>2.94</v>
      </c>
      <c r="F196" s="11">
        <f>IF(D196&lt;&gt;"",D196,IF(C196&lt;&gt;"",C196,""))</f>
        <v/>
      </c>
      <c r="G196" s="11">
        <f>IF(AND(E196&lt;&gt;"",F196&lt;&gt;""),E196-F196,"")</f>
        <v/>
      </c>
      <c r="H196" s="17">
        <f>IF(G196="","",IF(F196=0,"",G196/F196))</f>
        <v/>
      </c>
      <c r="I196" s="18">
        <f>IF(E196="","SIN COMPRA",IF(F196="","NUEVO",IF(AND(ABS(G196)&lt;0.015,ABS(G196)&lt;F196*0.005),"IGUAL",IF(G196&gt;0,"SUBE","BAJA"))))</f>
        <v/>
      </c>
      <c r="J196" s="17">
        <f>IF(AND(C196&lt;&gt;"",D196&lt;&gt;""),IF(C196=0,"",D196/C196-1),"")</f>
        <v/>
      </c>
      <c r="K196" s="5" t="n"/>
    </row>
    <row r="197">
      <c r="A197" s="5" t="inlineStr">
        <is>
          <t>MAKRO</t>
        </is>
      </c>
      <c r="B197" s="5" t="inlineStr">
        <is>
          <t>LIMAS CJ 4KG</t>
        </is>
      </c>
      <c r="C197" s="11" t="n"/>
      <c r="D197" s="11" t="n"/>
      <c r="E197" s="11" t="n">
        <v>12.97</v>
      </c>
      <c r="F197" s="11">
        <f>IF(D197&lt;&gt;"",D197,IF(C197&lt;&gt;"",C197,""))</f>
        <v/>
      </c>
      <c r="G197" s="11">
        <f>IF(AND(E197&lt;&gt;"",F197&lt;&gt;""),E197-F197,"")</f>
        <v/>
      </c>
      <c r="H197" s="17">
        <f>IF(G197="","",IF(F197=0,"",G197/F197))</f>
        <v/>
      </c>
      <c r="I197" s="18">
        <f>IF(E197="","SIN COMPRA",IF(F197="","NUEVO",IF(AND(ABS(G197)&lt;0.015,ABS(G197)&lt;F197*0.005),"IGUAL",IF(G197&gt;0,"SUBE","BAJA"))))</f>
        <v/>
      </c>
      <c r="J197" s="17">
        <f>IF(AND(C197&lt;&gt;"",D197&lt;&gt;""),IF(C197=0,"",D197/C197-1),"")</f>
        <v/>
      </c>
      <c r="K197" s="5" t="inlineStr">
        <is>
          <t>Producto fresco: precio de mercado, fluctúa</t>
        </is>
      </c>
    </row>
    <row r="198">
      <c r="A198" s="5" t="inlineStr">
        <is>
          <t>MAKRO</t>
        </is>
      </c>
      <c r="B198" s="5" t="inlineStr">
        <is>
          <t>LIMON 2A CJ 9KG</t>
        </is>
      </c>
      <c r="C198" s="11" t="n">
        <v>17.92</v>
      </c>
      <c r="D198" s="11" t="n"/>
      <c r="E198" s="11" t="n">
        <v>15.24</v>
      </c>
      <c r="F198" s="11">
        <f>IF(D198&lt;&gt;"",D198,IF(C198&lt;&gt;"",C198,""))</f>
        <v/>
      </c>
      <c r="G198" s="11">
        <f>IF(AND(E198&lt;&gt;"",F198&lt;&gt;""),E198-F198,"")</f>
        <v/>
      </c>
      <c r="H198" s="17">
        <f>IF(G198="","",IF(F198=0,"",G198/F198))</f>
        <v/>
      </c>
      <c r="I198" s="18">
        <f>IF(E198="","SIN COMPRA",IF(F198="","NUEVO",IF(AND(ABS(G198)&lt;0.015,ABS(G198)&lt;F198*0.005),"IGUAL",IF(G198&gt;0,"SUBE","BAJA"))))</f>
        <v/>
      </c>
      <c r="J198" s="17">
        <f>IF(AND(C198&lt;&gt;"",D198&lt;&gt;""),IF(C198=0,"",D198/C198-1),"")</f>
        <v/>
      </c>
      <c r="K198" s="5" t="inlineStr">
        <is>
          <t>Producto fresco: precio de mercado, fluctúa. Varios precios en septiembre: 12,31 / 12,97 / 13,41 / 13,70 / 15,24</t>
        </is>
      </c>
    </row>
    <row r="199">
      <c r="A199" s="5" t="inlineStr">
        <is>
          <t>MAKRO</t>
        </is>
      </c>
      <c r="B199" s="5" t="inlineStr">
        <is>
          <t>LIMON MC C-3/4 CJ 6KG</t>
        </is>
      </c>
      <c r="C199" s="11" t="n"/>
      <c r="D199" s="11" t="n"/>
      <c r="E199" s="11" t="n">
        <v>11.43</v>
      </c>
      <c r="F199" s="11">
        <f>IF(D199&lt;&gt;"",D199,IF(C199&lt;&gt;"",C199,""))</f>
        <v/>
      </c>
      <c r="G199" s="11">
        <f>IF(AND(E199&lt;&gt;"",F199&lt;&gt;""),E199-F199,"")</f>
        <v/>
      </c>
      <c r="H199" s="17">
        <f>IF(G199="","",IF(F199=0,"",G199/F199))</f>
        <v/>
      </c>
      <c r="I199" s="18">
        <f>IF(E199="","SIN COMPRA",IF(F199="","NUEVO",IF(AND(ABS(G199)&lt;0.015,ABS(G199)&lt;F199*0.005),"IGUAL",IF(G199&gt;0,"SUBE","BAJA"))))</f>
        <v/>
      </c>
      <c r="J199" s="17">
        <f>IF(AND(C199&lt;&gt;"",D199&lt;&gt;""),IF(C199=0,"",D199/C199-1),"")</f>
        <v/>
      </c>
      <c r="K199" s="5" t="inlineStr">
        <is>
          <t>Producto fresco: precio de mercado, fluctúa. Varios precios en septiembre: 10,73 / 11,17 / 11,43</t>
        </is>
      </c>
    </row>
    <row r="200">
      <c r="A200" s="5" t="inlineStr">
        <is>
          <t>MAKRO</t>
        </is>
      </c>
      <c r="B200" s="5" t="inlineStr">
        <is>
          <t>MANTEQUILLA PRESIDENT BQ 1KG</t>
        </is>
      </c>
      <c r="C200" s="11" t="n">
        <v>16.19</v>
      </c>
      <c r="D200" s="11" t="n"/>
      <c r="E200" s="11" t="n">
        <v>16.98</v>
      </c>
      <c r="F200" s="11">
        <f>IF(D200&lt;&gt;"",D200,IF(C200&lt;&gt;"",C200,""))</f>
        <v/>
      </c>
      <c r="G200" s="11">
        <f>IF(AND(E200&lt;&gt;"",F200&lt;&gt;""),E200-F200,"")</f>
        <v/>
      </c>
      <c r="H200" s="17">
        <f>IF(G200="","",IF(F200=0,"",G200/F200))</f>
        <v/>
      </c>
      <c r="I200" s="18">
        <f>IF(E200="","SIN COMPRA",IF(F200="","NUEVO",IF(AND(ABS(G200)&lt;0.015,ABS(G200)&lt;F200*0.005),"IGUAL",IF(G200&gt;0,"SUBE","BAJA"))))</f>
        <v/>
      </c>
      <c r="J200" s="17">
        <f>IF(AND(C200&lt;&gt;"",D200&lt;&gt;""),IF(C200=0,"",D200/C200-1),"")</f>
        <v/>
      </c>
      <c r="K200" s="5" t="n"/>
    </row>
    <row r="201">
      <c r="A201" s="5" t="inlineStr">
        <is>
          <t>MAKRO</t>
        </is>
      </c>
      <c r="B201" s="5" t="inlineStr">
        <is>
          <t>MANTEQUILLA PULEVA BQ 1KG</t>
        </is>
      </c>
      <c r="C201" s="11" t="n"/>
      <c r="D201" s="11" t="n"/>
      <c r="E201" s="11" t="n">
        <v>11.64</v>
      </c>
      <c r="F201" s="11">
        <f>IF(D201&lt;&gt;"",D201,IF(C201&lt;&gt;"",C201,""))</f>
        <v/>
      </c>
      <c r="G201" s="11">
        <f>IF(AND(E201&lt;&gt;"",F201&lt;&gt;""),E201-F201,"")</f>
        <v/>
      </c>
      <c r="H201" s="17">
        <f>IF(G201="","",IF(F201=0,"",G201/F201))</f>
        <v/>
      </c>
      <c r="I201" s="18">
        <f>IF(E201="","SIN COMPRA",IF(F201="","NUEVO",IF(AND(ABS(G201)&lt;0.015,ABS(G201)&lt;F201*0.005),"IGUAL",IF(G201&gt;0,"SUBE","BAJA"))))</f>
        <v/>
      </c>
      <c r="J201" s="17">
        <f>IF(AND(C201&lt;&gt;"",D201&lt;&gt;""),IF(C201=0,"",D201/C201-1),"")</f>
        <v/>
      </c>
      <c r="K201" s="5" t="n"/>
    </row>
    <row r="202">
      <c r="A202" s="5" t="inlineStr">
        <is>
          <t>MAKRO</t>
        </is>
      </c>
      <c r="B202" s="5" t="inlineStr">
        <is>
          <t>NARANJA ZUMO MC SC 5KG</t>
        </is>
      </c>
      <c r="C202" s="11" t="n">
        <v>7.65</v>
      </c>
      <c r="D202" s="11" t="n"/>
      <c r="E202" s="11" t="n">
        <v>9.52</v>
      </c>
      <c r="F202" s="11">
        <f>IF(D202&lt;&gt;"",D202,IF(C202&lt;&gt;"",C202,""))</f>
        <v/>
      </c>
      <c r="G202" s="11">
        <f>IF(AND(E202&lt;&gt;"",F202&lt;&gt;""),E202-F202,"")</f>
        <v/>
      </c>
      <c r="H202" s="17">
        <f>IF(G202="","",IF(F202=0,"",G202/F202))</f>
        <v/>
      </c>
      <c r="I202" s="18">
        <f>IF(E202="","SIN COMPRA",IF(F202="","NUEVO",IF(AND(ABS(G202)&lt;0.015,ABS(G202)&lt;F202*0.005),"IGUAL",IF(G202&gt;0,"SUBE","BAJA"))))</f>
        <v/>
      </c>
      <c r="J202" s="17">
        <f>IF(AND(C202&lt;&gt;"",D202&lt;&gt;""),IF(C202=0,"",D202/C202-1),"")</f>
        <v/>
      </c>
      <c r="K202" s="5" t="inlineStr">
        <is>
          <t>Producto fresco: precio de mercado, fluctúa. Varios precios en septiembre: 7,55 / 8,13 / 9,52</t>
        </is>
      </c>
    </row>
    <row r="203">
      <c r="A203" s="5" t="inlineStr">
        <is>
          <t>MAKRO</t>
        </is>
      </c>
      <c r="B203" s="5" t="inlineStr">
        <is>
          <t>NATA MONTAR 35% +FIRMEZA 1L DEBIC</t>
        </is>
      </c>
      <c r="C203" s="11" t="n"/>
      <c r="D203" s="11" t="n"/>
      <c r="E203" s="11" t="n">
        <v>7.07</v>
      </c>
      <c r="F203" s="11">
        <f>IF(D203&lt;&gt;"",D203,IF(C203&lt;&gt;"",C203,""))</f>
        <v/>
      </c>
      <c r="G203" s="11">
        <f>IF(AND(E203&lt;&gt;"",F203&lt;&gt;""),E203-F203,"")</f>
        <v/>
      </c>
      <c r="H203" s="17">
        <f>IF(G203="","",IF(F203=0,"",G203/F203))</f>
        <v/>
      </c>
      <c r="I203" s="18">
        <f>IF(E203="","SIN COMPRA",IF(F203="","NUEVO",IF(AND(ABS(G203)&lt;0.015,ABS(G203)&lt;F203*0.005),"IGUAL",IF(G203&gt;0,"SUBE","BAJA"))))</f>
        <v/>
      </c>
      <c r="J203" s="17">
        <f>IF(AND(C203&lt;&gt;"",D203&lt;&gt;""),IF(C203=0,"",D203/C203-1),"")</f>
        <v/>
      </c>
      <c r="K203" s="5" t="n"/>
    </row>
    <row r="204">
      <c r="A204" s="5" t="inlineStr">
        <is>
          <t>MAKRO</t>
        </is>
      </c>
      <c r="B204" s="5" t="inlineStr">
        <is>
          <t>PAN HOT DOG MC 12UD</t>
        </is>
      </c>
      <c r="C204" s="11" t="n"/>
      <c r="D204" s="11" t="n"/>
      <c r="E204" s="11" t="n">
        <v>2.74</v>
      </c>
      <c r="F204" s="11">
        <f>IF(D204&lt;&gt;"",D204,IF(C204&lt;&gt;"",C204,""))</f>
        <v/>
      </c>
      <c r="G204" s="11">
        <f>IF(AND(E204&lt;&gt;"",F204&lt;&gt;""),E204-F204,"")</f>
        <v/>
      </c>
      <c r="H204" s="17">
        <f>IF(G204="","",IF(F204=0,"",G204/F204))</f>
        <v/>
      </c>
      <c r="I204" s="18">
        <f>IF(E204="","SIN COMPRA",IF(F204="","NUEVO",IF(AND(ABS(G204)&lt;0.015,ABS(G204)&lt;F204*0.005),"IGUAL",IF(G204&gt;0,"SUBE","BAJA"))))</f>
        <v/>
      </c>
      <c r="J204" s="17">
        <f>IF(AND(C204&lt;&gt;"",D204&lt;&gt;""),IF(C204=0,"",D204/C204-1),"")</f>
        <v/>
      </c>
      <c r="K204" s="5" t="n"/>
    </row>
    <row r="205">
      <c r="A205" s="5" t="inlineStr">
        <is>
          <t>MAKRO</t>
        </is>
      </c>
      <c r="B205" s="5" t="inlineStr">
        <is>
          <t>PANGA FTE 120/170 ARO 800G</t>
        </is>
      </c>
      <c r="C205" s="11" t="n"/>
      <c r="D205" s="11" t="n"/>
      <c r="E205" s="11" t="n">
        <v>5.22</v>
      </c>
      <c r="F205" s="11">
        <f>IF(D205&lt;&gt;"",D205,IF(C205&lt;&gt;"",C205,""))</f>
        <v/>
      </c>
      <c r="G205" s="11">
        <f>IF(AND(E205&lt;&gt;"",F205&lt;&gt;""),E205-F205,"")</f>
        <v/>
      </c>
      <c r="H205" s="17">
        <f>IF(G205="","",IF(F205=0,"",G205/F205))</f>
        <v/>
      </c>
      <c r="I205" s="18">
        <f>IF(E205="","SIN COMPRA",IF(F205="","NUEVO",IF(AND(ABS(G205)&lt;0.015,ABS(G205)&lt;F205*0.005),"IGUAL",IF(G205&gt;0,"SUBE","BAJA"))))</f>
        <v/>
      </c>
      <c r="J205" s="17">
        <f>IF(AND(C205&lt;&gt;"",D205&lt;&gt;""),IF(C205=0,"",D205/C205-1),"")</f>
        <v/>
      </c>
      <c r="K205" s="5" t="n"/>
    </row>
    <row r="206">
      <c r="A206" s="5" t="inlineStr">
        <is>
          <t>MAKRO</t>
        </is>
      </c>
      <c r="B206" s="5" t="inlineStr">
        <is>
          <t>PATATA LAV AGRIA MC C60/80 12KG</t>
        </is>
      </c>
      <c r="C206" s="11" t="n">
        <v>11.5</v>
      </c>
      <c r="D206" s="11" t="n"/>
      <c r="E206" s="11" t="n"/>
      <c r="F206" s="11">
        <f>IF(D206&lt;&gt;"",D206,IF(C206&lt;&gt;"",C206,""))</f>
        <v/>
      </c>
      <c r="G206" s="11">
        <f>IF(AND(E206&lt;&gt;"",F206&lt;&gt;""),E206-F206,"")</f>
        <v/>
      </c>
      <c r="H206" s="17">
        <f>IF(G206="","",IF(F206=0,"",G206/F206))</f>
        <v/>
      </c>
      <c r="I206" s="18">
        <f>IF(E206="","SIN COMPRA",IF(F206="","NUEVO",IF(AND(ABS(G206)&lt;0.015,ABS(G206)&lt;F206*0.005),"IGUAL",IF(G206&gt;0,"SUBE","BAJA"))))</f>
        <v/>
      </c>
      <c r="J206" s="17">
        <f>IF(AND(C206&lt;&gt;"",D206&lt;&gt;""),IF(C206=0,"",D206/C206-1),"")</f>
        <v/>
      </c>
      <c r="K206" s="5" t="n"/>
    </row>
    <row r="207">
      <c r="A207" s="5" t="inlineStr">
        <is>
          <t>MAKRO</t>
        </is>
      </c>
      <c r="B207" s="5" t="inlineStr">
        <is>
          <t>PEREJIL GRANEL 800G</t>
        </is>
      </c>
      <c r="C207" s="11" t="n"/>
      <c r="D207" s="11" t="n"/>
      <c r="E207" s="11" t="n">
        <v>1.71</v>
      </c>
      <c r="F207" s="11">
        <f>IF(D207&lt;&gt;"",D207,IF(C207&lt;&gt;"",C207,""))</f>
        <v/>
      </c>
      <c r="G207" s="11">
        <f>IF(AND(E207&lt;&gt;"",F207&lt;&gt;""),E207-F207,"")</f>
        <v/>
      </c>
      <c r="H207" s="17">
        <f>IF(G207="","",IF(F207=0,"",G207/F207))</f>
        <v/>
      </c>
      <c r="I207" s="18">
        <f>IF(E207="","SIN COMPRA",IF(F207="","NUEVO",IF(AND(ABS(G207)&lt;0.015,ABS(G207)&lt;F207*0.005),"IGUAL",IF(G207&gt;0,"SUBE","BAJA"))))</f>
        <v/>
      </c>
      <c r="J207" s="17">
        <f>IF(AND(C207&lt;&gt;"",D207&lt;&gt;""),IF(C207=0,"",D207/C207-1),"")</f>
        <v/>
      </c>
      <c r="K207" s="5" t="inlineStr">
        <is>
          <t>Producto fresco: precio de mercado, fluctúa</t>
        </is>
      </c>
    </row>
    <row r="208">
      <c r="A208" s="5" t="inlineStr">
        <is>
          <t>MAKRO</t>
        </is>
      </c>
      <c r="B208" s="5" t="inlineStr">
        <is>
          <t>PIMENTON DULCE DOP DALIA 800G</t>
        </is>
      </c>
      <c r="C208" s="11" t="n"/>
      <c r="D208" s="11" t="n"/>
      <c r="E208" s="11" t="n">
        <v>14.7</v>
      </c>
      <c r="F208" s="11">
        <f>IF(D208&lt;&gt;"",D208,IF(C208&lt;&gt;"",C208,""))</f>
        <v/>
      </c>
      <c r="G208" s="11">
        <f>IF(AND(E208&lt;&gt;"",F208&lt;&gt;""),E208-F208,"")</f>
        <v/>
      </c>
      <c r="H208" s="17">
        <f>IF(G208="","",IF(F208=0,"",G208/F208))</f>
        <v/>
      </c>
      <c r="I208" s="18">
        <f>IF(E208="","SIN COMPRA",IF(F208="","NUEVO",IF(AND(ABS(G208)&lt;0.015,ABS(G208)&lt;F208*0.005),"IGUAL",IF(G208&gt;0,"SUBE","BAJA"))))</f>
        <v/>
      </c>
      <c r="J208" s="17">
        <f>IF(AND(C208&lt;&gt;"",D208&lt;&gt;""),IF(C208=0,"",D208/C208-1),"")</f>
        <v/>
      </c>
      <c r="K208" s="5" t="n"/>
    </row>
    <row r="209">
      <c r="A209" s="5" t="inlineStr">
        <is>
          <t>MAKRO</t>
        </is>
      </c>
      <c r="B209" s="5" t="inlineStr">
        <is>
          <t>PIMENTON PICANTE DOP DALIA 800G</t>
        </is>
      </c>
      <c r="C209" s="11" t="n"/>
      <c r="D209" s="11" t="n"/>
      <c r="E209" s="11" t="n">
        <v>14.7</v>
      </c>
      <c r="F209" s="11">
        <f>IF(D209&lt;&gt;"",D209,IF(C209&lt;&gt;"",C209,""))</f>
        <v/>
      </c>
      <c r="G209" s="11">
        <f>IF(AND(E209&lt;&gt;"",F209&lt;&gt;""),E209-F209,"")</f>
        <v/>
      </c>
      <c r="H209" s="17">
        <f>IF(G209="","",IF(F209=0,"",G209/F209))</f>
        <v/>
      </c>
      <c r="I209" s="18">
        <f>IF(E209="","SIN COMPRA",IF(F209="","NUEVO",IF(AND(ABS(G209)&lt;0.015,ABS(G209)&lt;F209*0.005),"IGUAL",IF(G209&gt;0,"SUBE","BAJA"))))</f>
        <v/>
      </c>
      <c r="J209" s="17">
        <f>IF(AND(C209&lt;&gt;"",D209&lt;&gt;""),IF(C209=0,"",D209/C209-1),"")</f>
        <v/>
      </c>
      <c r="K209" s="5" t="n"/>
    </row>
    <row r="210">
      <c r="A210" s="5" t="inlineStr">
        <is>
          <t>MAKRO</t>
        </is>
      </c>
      <c r="B210" s="5" t="inlineStr">
        <is>
          <t>PIMIENTO LAMYO RJ ARO CJ 4,5/5KG</t>
        </is>
      </c>
      <c r="C210" s="11" t="n"/>
      <c r="D210" s="11" t="n"/>
      <c r="E210" s="11" t="n">
        <v>13.3</v>
      </c>
      <c r="F210" s="11">
        <f>IF(D210&lt;&gt;"",D210,IF(C210&lt;&gt;"",C210,""))</f>
        <v/>
      </c>
      <c r="G210" s="11">
        <f>IF(AND(E210&lt;&gt;"",F210&lt;&gt;""),E210-F210,"")</f>
        <v/>
      </c>
      <c r="H210" s="17">
        <f>IF(G210="","",IF(F210=0,"",G210/F210))</f>
        <v/>
      </c>
      <c r="I210" s="18">
        <f>IF(E210="","SIN COMPRA",IF(F210="","NUEVO",IF(AND(ABS(G210)&lt;0.015,ABS(G210)&lt;F210*0.005),"IGUAL",IF(G210&gt;0,"SUBE","BAJA"))))</f>
        <v/>
      </c>
      <c r="J210" s="17">
        <f>IF(AND(C210&lt;&gt;"",D210&lt;&gt;""),IF(C210=0,"",D210/C210-1),"")</f>
        <v/>
      </c>
      <c r="K210" s="5" t="inlineStr">
        <is>
          <t>Producto fresco: precio de mercado, fluctúa. Varios precios en septiembre: 11,54 / 12,75 / 12,86 / 13,30</t>
        </is>
      </c>
    </row>
    <row r="211">
      <c r="A211" s="5" t="inlineStr">
        <is>
          <t>MAKRO</t>
        </is>
      </c>
      <c r="B211" s="5" t="inlineStr">
        <is>
          <t>PIMIENTO LAMYO VDE ARO CJ 4,5/5KG</t>
        </is>
      </c>
      <c r="C211" s="11" t="n">
        <v>10.62</v>
      </c>
      <c r="D211" s="11" t="n"/>
      <c r="E211" s="11" t="n">
        <v>14.73</v>
      </c>
      <c r="F211" s="11">
        <f>IF(D211&lt;&gt;"",D211,IF(C211&lt;&gt;"",C211,""))</f>
        <v/>
      </c>
      <c r="G211" s="11">
        <f>IF(AND(E211&lt;&gt;"",F211&lt;&gt;""),E211-F211,"")</f>
        <v/>
      </c>
      <c r="H211" s="17">
        <f>IF(G211="","",IF(F211=0,"",G211/F211))</f>
        <v/>
      </c>
      <c r="I211" s="18">
        <f>IF(E211="","SIN COMPRA",IF(F211="","NUEVO",IF(AND(ABS(G211)&lt;0.015,ABS(G211)&lt;F211*0.005),"IGUAL",IF(G211&gt;0,"SUBE","BAJA"))))</f>
        <v/>
      </c>
      <c r="J211" s="17">
        <f>IF(AND(C211&lt;&gt;"",D211&lt;&gt;""),IF(C211=0,"",D211/C211-1),"")</f>
        <v/>
      </c>
      <c r="K211" s="5" t="inlineStr">
        <is>
          <t>Producto fresco: precio de mercado, fluctúa. Varios precios en septiembre: 10,07 / 10,33 / 14,29 / 14,73</t>
        </is>
      </c>
    </row>
    <row r="212">
      <c r="A212" s="5" t="inlineStr">
        <is>
          <t>MAKRO</t>
        </is>
      </c>
      <c r="B212" s="5" t="inlineStr">
        <is>
          <t>POLLO PECHUGA VC MC</t>
        </is>
      </c>
      <c r="C212" s="11" t="n"/>
      <c r="D212" s="11" t="n"/>
      <c r="E212" s="11" t="n">
        <v>5.93</v>
      </c>
      <c r="F212" s="11">
        <f>IF(D212&lt;&gt;"",D212,IF(C212&lt;&gt;"",C212,""))</f>
        <v/>
      </c>
      <c r="G212" s="11">
        <f>IF(AND(E212&lt;&gt;"",F212&lt;&gt;""),E212-F212,"")</f>
        <v/>
      </c>
      <c r="H212" s="17">
        <f>IF(G212="","",IF(F212=0,"",G212/F212))</f>
        <v/>
      </c>
      <c r="I212" s="18">
        <f>IF(E212="","SIN COMPRA",IF(F212="","NUEVO",IF(AND(ABS(G212)&lt;0.015,ABS(G212)&lt;F212*0.005),"IGUAL",IF(G212&gt;0,"SUBE","BAJA"))))</f>
        <v/>
      </c>
      <c r="J212" s="17">
        <f>IF(AND(C212&lt;&gt;"",D212&lt;&gt;""),IF(C212=0,"",D212/C212-1),"")</f>
        <v/>
      </c>
      <c r="K212" s="5" t="inlineStr">
        <is>
          <t>Producto fresco: precio de mercado, fluctúa</t>
        </is>
      </c>
    </row>
    <row r="213">
      <c r="A213" s="5" t="inlineStr">
        <is>
          <t>MAKRO</t>
        </is>
      </c>
      <c r="B213" s="5" t="inlineStr">
        <is>
          <t>POLLO TRASERO VC</t>
        </is>
      </c>
      <c r="C213" s="11" t="n"/>
      <c r="D213" s="11" t="n"/>
      <c r="E213" s="11" t="n">
        <v>2.6</v>
      </c>
      <c r="F213" s="11">
        <f>IF(D213&lt;&gt;"",D213,IF(C213&lt;&gt;"",C213,""))</f>
        <v/>
      </c>
      <c r="G213" s="11">
        <f>IF(AND(E213&lt;&gt;"",F213&lt;&gt;""),E213-F213,"")</f>
        <v/>
      </c>
      <c r="H213" s="17">
        <f>IF(G213="","",IF(F213=0,"",G213/F213))</f>
        <v/>
      </c>
      <c r="I213" s="18">
        <f>IF(E213="","SIN COMPRA",IF(F213="","NUEVO",IF(AND(ABS(G213)&lt;0.015,ABS(G213)&lt;F213*0.005),"IGUAL",IF(G213&gt;0,"SUBE","BAJA"))))</f>
        <v/>
      </c>
      <c r="J213" s="17">
        <f>IF(AND(C213&lt;&gt;"",D213&lt;&gt;""),IF(C213=0,"",D213/C213-1),"")</f>
        <v/>
      </c>
      <c r="K213" s="5" t="inlineStr">
        <is>
          <t>Producto fresco: precio de mercado, fluctúa</t>
        </is>
      </c>
    </row>
    <row r="214">
      <c r="A214" s="5" t="inlineStr">
        <is>
          <t>MAKRO</t>
        </is>
      </c>
      <c r="B214" s="5" t="inlineStr">
        <is>
          <t>PULCO BT 70CL LIMON</t>
        </is>
      </c>
      <c r="C214" s="11" t="n"/>
      <c r="D214" s="11" t="n"/>
      <c r="E214" s="11" t="n">
        <v>4.07</v>
      </c>
      <c r="F214" s="11">
        <f>IF(D214&lt;&gt;"",D214,IF(C214&lt;&gt;"",C214,""))</f>
        <v/>
      </c>
      <c r="G214" s="11">
        <f>IF(AND(E214&lt;&gt;"",F214&lt;&gt;""),E214-F214,"")</f>
        <v/>
      </c>
      <c r="H214" s="17">
        <f>IF(G214="","",IF(F214=0,"",G214/F214))</f>
        <v/>
      </c>
      <c r="I214" s="18">
        <f>IF(E214="","SIN COMPRA",IF(F214="","NUEVO",IF(AND(ABS(G214)&lt;0.015,ABS(G214)&lt;F214*0.005),"IGUAL",IF(G214&gt;0,"SUBE","BAJA"))))</f>
        <v/>
      </c>
      <c r="J214" s="17">
        <f>IF(AND(C214&lt;&gt;"",D214&lt;&gt;""),IF(C214=0,"",D214/C214-1),"")</f>
        <v/>
      </c>
      <c r="K214" s="5" t="inlineStr">
        <is>
          <t>Producto fresco: precio de mercado, fluctúa</t>
        </is>
      </c>
    </row>
    <row r="215">
      <c r="A215" s="5" t="inlineStr">
        <is>
          <t>MAKRO</t>
        </is>
      </c>
      <c r="B215" s="5" t="inlineStr">
        <is>
          <t>QUESO RALLADO 4 QUESOS MC 1KG</t>
        </is>
      </c>
      <c r="C215" s="11" t="n"/>
      <c r="D215" s="11" t="n"/>
      <c r="E215" s="11" t="n">
        <v>9.66</v>
      </c>
      <c r="F215" s="11">
        <f>IF(D215&lt;&gt;"",D215,IF(C215&lt;&gt;"",C215,""))</f>
        <v/>
      </c>
      <c r="G215" s="11">
        <f>IF(AND(E215&lt;&gt;"",F215&lt;&gt;""),E215-F215,"")</f>
        <v/>
      </c>
      <c r="H215" s="17">
        <f>IF(G215="","",IF(F215=0,"",G215/F215))</f>
        <v/>
      </c>
      <c r="I215" s="18">
        <f>IF(E215="","SIN COMPRA",IF(F215="","NUEVO",IF(AND(ABS(G215)&lt;0.015,ABS(G215)&lt;F215*0.005),"IGUAL",IF(G215&gt;0,"SUBE","BAJA"))))</f>
        <v/>
      </c>
      <c r="J215" s="17">
        <f>IF(AND(C215&lt;&gt;"",D215&lt;&gt;""),IF(C215=0,"",D215/C215-1),"")</f>
        <v/>
      </c>
      <c r="K215" s="5" t="n"/>
    </row>
    <row r="216">
      <c r="A216" s="5" t="inlineStr">
        <is>
          <t>MAKRO</t>
        </is>
      </c>
      <c r="B216" s="5" t="inlineStr">
        <is>
          <t>ROMERO MC BJ 125G</t>
        </is>
      </c>
      <c r="C216" s="11" t="n"/>
      <c r="D216" s="11" t="n"/>
      <c r="E216" s="11" t="n">
        <v>3.19</v>
      </c>
      <c r="F216" s="11">
        <f>IF(D216&lt;&gt;"",D216,IF(C216&lt;&gt;"",C216,""))</f>
        <v/>
      </c>
      <c r="G216" s="11">
        <f>IF(AND(E216&lt;&gt;"",F216&lt;&gt;""),E216-F216,"")</f>
        <v/>
      </c>
      <c r="H216" s="17">
        <f>IF(G216="","",IF(F216=0,"",G216/F216))</f>
        <v/>
      </c>
      <c r="I216" s="18">
        <f>IF(E216="","SIN COMPRA",IF(F216="","NUEVO",IF(AND(ABS(G216)&lt;0.015,ABS(G216)&lt;F216*0.005),"IGUAL",IF(G216&gt;0,"SUBE","BAJA"))))</f>
        <v/>
      </c>
      <c r="J216" s="17">
        <f>IF(AND(C216&lt;&gt;"",D216&lt;&gt;""),IF(C216=0,"",D216/C216-1),"")</f>
        <v/>
      </c>
      <c r="K216" s="5" t="inlineStr">
        <is>
          <t>Producto fresco: precio de mercado, fluctúa</t>
        </is>
      </c>
    </row>
    <row r="217">
      <c r="A217" s="5" t="inlineStr">
        <is>
          <t>MAKRO</t>
        </is>
      </c>
      <c r="B217" s="5" t="inlineStr">
        <is>
          <t>ROTULADOR PERM ARO NEGRO (CAJA 12)</t>
        </is>
      </c>
      <c r="C217" s="11" t="n"/>
      <c r="D217" s="11" t="n"/>
      <c r="E217" s="11" t="n">
        <v>13.27</v>
      </c>
      <c r="F217" s="11">
        <f>IF(D217&lt;&gt;"",D217,IF(C217&lt;&gt;"",C217,""))</f>
        <v/>
      </c>
      <c r="G217" s="11">
        <f>IF(AND(E217&lt;&gt;"",F217&lt;&gt;""),E217-F217,"")</f>
        <v/>
      </c>
      <c r="H217" s="17">
        <f>IF(G217="","",IF(F217=0,"",G217/F217))</f>
        <v/>
      </c>
      <c r="I217" s="18">
        <f>IF(E217="","SIN COMPRA",IF(F217="","NUEVO",IF(AND(ABS(G217)&lt;0.015,ABS(G217)&lt;F217*0.005),"IGUAL",IF(G217&gt;0,"SUBE","BAJA"))))</f>
        <v/>
      </c>
      <c r="J217" s="17">
        <f>IF(AND(C217&lt;&gt;"",D217&lt;&gt;""),IF(C217=0,"",D217/C217-1),"")</f>
        <v/>
      </c>
      <c r="K217" s="5" t="n"/>
    </row>
    <row r="218">
      <c r="A218" s="5" t="inlineStr">
        <is>
          <t>MAKRO</t>
        </is>
      </c>
      <c r="B218" s="5" t="inlineStr">
        <is>
          <t>SAL FINA MC 1KG (PACK 12)</t>
        </is>
      </c>
      <c r="C218" s="11" t="n"/>
      <c r="D218" s="11" t="n"/>
      <c r="E218" s="11" t="n">
        <v>0.42</v>
      </c>
      <c r="F218" s="11">
        <f>IF(D218&lt;&gt;"",D218,IF(C218&lt;&gt;"",C218,""))</f>
        <v/>
      </c>
      <c r="G218" s="11">
        <f>IF(AND(E218&lt;&gt;"",F218&lt;&gt;""),E218-F218,"")</f>
        <v/>
      </c>
      <c r="H218" s="17">
        <f>IF(G218="","",IF(F218=0,"",G218/F218))</f>
        <v/>
      </c>
      <c r="I218" s="18">
        <f>IF(E218="","SIN COMPRA",IF(F218="","NUEVO",IF(AND(ABS(G218)&lt;0.015,ABS(G218)&lt;F218*0.005),"IGUAL",IF(G218&gt;0,"SUBE","BAJA"))))</f>
        <v/>
      </c>
      <c r="J218" s="17">
        <f>IF(AND(C218&lt;&gt;"",D218&lt;&gt;""),IF(C218=0,"",D218/C218-1),"")</f>
        <v/>
      </c>
      <c r="K218" s="5" t="n"/>
    </row>
    <row r="219">
      <c r="A219" s="5" t="inlineStr">
        <is>
          <t>MAKRO</t>
        </is>
      </c>
      <c r="B219" s="5" t="inlineStr">
        <is>
          <t>SAL GRUESA SECA MC 1KG (PACK 12)</t>
        </is>
      </c>
      <c r="C219" s="11" t="n"/>
      <c r="D219" s="11" t="n"/>
      <c r="E219" s="11" t="n">
        <v>0.42</v>
      </c>
      <c r="F219" s="11">
        <f>IF(D219&lt;&gt;"",D219,IF(C219&lt;&gt;"",C219,""))</f>
        <v/>
      </c>
      <c r="G219" s="11">
        <f>IF(AND(E219&lt;&gt;"",F219&lt;&gt;""),E219-F219,"")</f>
        <v/>
      </c>
      <c r="H219" s="17">
        <f>IF(G219="","",IF(F219=0,"",G219/F219))</f>
        <v/>
      </c>
      <c r="I219" s="18">
        <f>IF(E219="","SIN COMPRA",IF(F219="","NUEVO",IF(AND(ABS(G219)&lt;0.015,ABS(G219)&lt;F219*0.005),"IGUAL",IF(G219&gt;0,"SUBE","BAJA"))))</f>
        <v/>
      </c>
      <c r="J219" s="17">
        <f>IF(AND(C219&lt;&gt;"",D219&lt;&gt;""),IF(C219=0,"",D219/C219-1),"")</f>
        <v/>
      </c>
      <c r="K219" s="5" t="n"/>
    </row>
    <row r="220">
      <c r="A220" s="5" t="inlineStr">
        <is>
          <t>MAKRO</t>
        </is>
      </c>
      <c r="B220" s="5" t="inlineStr">
        <is>
          <t>SAL MALDON 1.4 KG</t>
        </is>
      </c>
      <c r="C220" s="11" t="n">
        <v>23.64</v>
      </c>
      <c r="D220" s="11" t="n"/>
      <c r="E220" s="11" t="n">
        <v>23.64</v>
      </c>
      <c r="F220" s="11">
        <f>IF(D220&lt;&gt;"",D220,IF(C220&lt;&gt;"",C220,""))</f>
        <v/>
      </c>
      <c r="G220" s="11">
        <f>IF(AND(E220&lt;&gt;"",F220&lt;&gt;""),E220-F220,"")</f>
        <v/>
      </c>
      <c r="H220" s="17">
        <f>IF(G220="","",IF(F220=0,"",G220/F220))</f>
        <v/>
      </c>
      <c r="I220" s="18">
        <f>IF(E220="","SIN COMPRA",IF(F220="","NUEVO",IF(AND(ABS(G220)&lt;0.015,ABS(G220)&lt;F220*0.005),"IGUAL",IF(G220&gt;0,"SUBE","BAJA"))))</f>
        <v/>
      </c>
      <c r="J220" s="17">
        <f>IF(AND(C220&lt;&gt;"",D220&lt;&gt;""),IF(C220=0,"",D220/C220-1),"")</f>
        <v/>
      </c>
      <c r="K220" s="5" t="inlineStr">
        <is>
          <t>Varios precios en septiembre: 22,19 / 23,64</t>
        </is>
      </c>
    </row>
    <row r="221">
      <c r="A221" s="5" t="inlineStr">
        <is>
          <t>MAKRO</t>
        </is>
      </c>
      <c r="B221" s="5" t="inlineStr">
        <is>
          <t>SALCHICHA FRANK. HTDOG 1KG ARO</t>
        </is>
      </c>
      <c r="C221" s="11" t="n"/>
      <c r="D221" s="11" t="n"/>
      <c r="E221" s="11" t="n">
        <v>3.39</v>
      </c>
      <c r="F221" s="11">
        <f>IF(D221&lt;&gt;"",D221,IF(C221&lt;&gt;"",C221,""))</f>
        <v/>
      </c>
      <c r="G221" s="11">
        <f>IF(AND(E221&lt;&gt;"",F221&lt;&gt;""),E221-F221,"")</f>
        <v/>
      </c>
      <c r="H221" s="17">
        <f>IF(G221="","",IF(F221=0,"",G221/F221))</f>
        <v/>
      </c>
      <c r="I221" s="18">
        <f>IF(E221="","SIN COMPRA",IF(F221="","NUEVO",IF(AND(ABS(G221)&lt;0.015,ABS(G221)&lt;F221*0.005),"IGUAL",IF(G221&gt;0,"SUBE","BAJA"))))</f>
        <v/>
      </c>
      <c r="J221" s="17">
        <f>IF(AND(C221&lt;&gt;"",D221&lt;&gt;""),IF(C221=0,"",D221/C221-1),"")</f>
        <v/>
      </c>
      <c r="K221" s="5" t="n"/>
    </row>
    <row r="222">
      <c r="A222" s="5" t="inlineStr">
        <is>
          <t>MAKRO</t>
        </is>
      </c>
      <c r="B222" s="5" t="inlineStr">
        <is>
          <t>SOLOMILLO CERDO C/C CNG 5KG</t>
        </is>
      </c>
      <c r="C222" s="11" t="n"/>
      <c r="D222" s="11" t="n"/>
      <c r="E222" s="11" t="n">
        <v>29.1</v>
      </c>
      <c r="F222" s="11">
        <f>IF(D222&lt;&gt;"",D222,IF(C222&lt;&gt;"",C222,""))</f>
        <v/>
      </c>
      <c r="G222" s="11">
        <f>IF(AND(E222&lt;&gt;"",F222&lt;&gt;""),E222-F222,"")</f>
        <v/>
      </c>
      <c r="H222" s="17">
        <f>IF(G222="","",IF(F222=0,"",G222/F222))</f>
        <v/>
      </c>
      <c r="I222" s="18">
        <f>IF(E222="","SIN COMPRA",IF(F222="","NUEVO",IF(AND(ABS(G222)&lt;0.015,ABS(G222)&lt;F222*0.005),"IGUAL",IF(G222&gt;0,"SUBE","BAJA"))))</f>
        <v/>
      </c>
      <c r="J222" s="17">
        <f>IF(AND(C222&lt;&gt;"",D222&lt;&gt;""),IF(C222=0,"",D222/C222-1),"")</f>
        <v/>
      </c>
      <c r="K222" s="5" t="inlineStr">
        <is>
          <t>Producto fresco: precio de mercado, fluctúa</t>
        </is>
      </c>
    </row>
    <row r="223">
      <c r="A223" s="5" t="inlineStr">
        <is>
          <t>MAKRO</t>
        </is>
      </c>
      <c r="B223" s="5" t="inlineStr">
        <is>
          <t>SPAGHETTI ARO 5KG</t>
        </is>
      </c>
      <c r="C223" s="11" t="n"/>
      <c r="D223" s="11" t="n"/>
      <c r="E223" s="11" t="n">
        <v>6.45</v>
      </c>
      <c r="F223" s="11">
        <f>IF(D223&lt;&gt;"",D223,IF(C223&lt;&gt;"",C223,""))</f>
        <v/>
      </c>
      <c r="G223" s="11">
        <f>IF(AND(E223&lt;&gt;"",F223&lt;&gt;""),E223-F223,"")</f>
        <v/>
      </c>
      <c r="H223" s="17">
        <f>IF(G223="","",IF(F223=0,"",G223/F223))</f>
        <v/>
      </c>
      <c r="I223" s="18">
        <f>IF(E223="","SIN COMPRA",IF(F223="","NUEVO",IF(AND(ABS(G223)&lt;0.015,ABS(G223)&lt;F223*0.005),"IGUAL",IF(G223&gt;0,"SUBE","BAJA"))))</f>
        <v/>
      </c>
      <c r="J223" s="17">
        <f>IF(AND(C223&lt;&gt;"",D223&lt;&gt;""),IF(C223=0,"",D223/C223-1),"")</f>
        <v/>
      </c>
      <c r="K223" s="5" t="n"/>
    </row>
    <row r="224">
      <c r="A224" s="5" t="inlineStr">
        <is>
          <t>MAKRO</t>
        </is>
      </c>
      <c r="B224" s="5" t="inlineStr">
        <is>
          <t>SSA BBQ MC 1,85KG</t>
        </is>
      </c>
      <c r="C224" s="11" t="n"/>
      <c r="D224" s="11" t="n"/>
      <c r="E224" s="11" t="n">
        <v>5.77</v>
      </c>
      <c r="F224" s="11">
        <f>IF(D224&lt;&gt;"",D224,IF(C224&lt;&gt;"",C224,""))</f>
        <v/>
      </c>
      <c r="G224" s="11">
        <f>IF(AND(E224&lt;&gt;"",F224&lt;&gt;""),E224-F224,"")</f>
        <v/>
      </c>
      <c r="H224" s="17">
        <f>IF(G224="","",IF(F224=0,"",G224/F224))</f>
        <v/>
      </c>
      <c r="I224" s="18">
        <f>IF(E224="","SIN COMPRA",IF(F224="","NUEVO",IF(AND(ABS(G224)&lt;0.015,ABS(G224)&lt;F224*0.005),"IGUAL",IF(G224&gt;0,"SUBE","BAJA"))))</f>
        <v/>
      </c>
      <c r="J224" s="17">
        <f>IF(AND(C224&lt;&gt;"",D224&lt;&gt;""),IF(C224=0,"",D224/C224-1),"")</f>
        <v/>
      </c>
      <c r="K224" s="5" t="n"/>
    </row>
    <row r="225">
      <c r="A225" s="5" t="inlineStr">
        <is>
          <t>MAKRO</t>
        </is>
      </c>
      <c r="B225" s="5" t="inlineStr">
        <is>
          <t>SSA KIMCHI MOMOYA 1,2KG</t>
        </is>
      </c>
      <c r="C225" s="11" t="n"/>
      <c r="D225" s="11" t="n"/>
      <c r="E225" s="11" t="n">
        <v>16.85</v>
      </c>
      <c r="F225" s="11">
        <f>IF(D225&lt;&gt;"",D225,IF(C225&lt;&gt;"",C225,""))</f>
        <v/>
      </c>
      <c r="G225" s="11">
        <f>IF(AND(E225&lt;&gt;"",F225&lt;&gt;""),E225-F225,"")</f>
        <v/>
      </c>
      <c r="H225" s="17">
        <f>IF(G225="","",IF(F225=0,"",G225/F225))</f>
        <v/>
      </c>
      <c r="I225" s="18">
        <f>IF(E225="","SIN COMPRA",IF(F225="","NUEVO",IF(AND(ABS(G225)&lt;0.015,ABS(G225)&lt;F225*0.005),"IGUAL",IF(G225&gt;0,"SUBE","BAJA"))))</f>
        <v/>
      </c>
      <c r="J225" s="17">
        <f>IF(AND(C225&lt;&gt;"",D225&lt;&gt;""),IF(C225=0,"",D225/C225-1),"")</f>
        <v/>
      </c>
      <c r="K225" s="5" t="n"/>
    </row>
    <row r="226">
      <c r="A226" s="5" t="inlineStr">
        <is>
          <t>MAKRO</t>
        </is>
      </c>
      <c r="B226" s="5" t="inlineStr">
        <is>
          <t>SSA SOJA KIKKOMAN 1L</t>
        </is>
      </c>
      <c r="C226" s="11" t="n">
        <v>9.029999999999999</v>
      </c>
      <c r="D226" s="11" t="n"/>
      <c r="E226" s="11" t="n">
        <v>9.029999999999999</v>
      </c>
      <c r="F226" s="11">
        <f>IF(D226&lt;&gt;"",D226,IF(C226&lt;&gt;"",C226,""))</f>
        <v/>
      </c>
      <c r="G226" s="11">
        <f>IF(AND(E226&lt;&gt;"",F226&lt;&gt;""),E226-F226,"")</f>
        <v/>
      </c>
      <c r="H226" s="17">
        <f>IF(G226="","",IF(F226=0,"",G226/F226))</f>
        <v/>
      </c>
      <c r="I226" s="18">
        <f>IF(E226="","SIN COMPRA",IF(F226="","NUEVO",IF(AND(ABS(G226)&lt;0.015,ABS(G226)&lt;F226*0.005),"IGUAL",IF(G226&gt;0,"SUBE","BAJA"))))</f>
        <v/>
      </c>
      <c r="J226" s="17">
        <f>IF(AND(C226&lt;&gt;"",D226&lt;&gt;""),IF(C226=0,"",D226/C226-1),"")</f>
        <v/>
      </c>
      <c r="K226" s="5" t="n"/>
    </row>
    <row r="227">
      <c r="A227" s="5" t="inlineStr">
        <is>
          <t>MAKRO</t>
        </is>
      </c>
      <c r="B227" s="5" t="inlineStr">
        <is>
          <t>TABASCO SALSA PICANTE 60ML (PACK 6)</t>
        </is>
      </c>
      <c r="C227" s="11" t="n"/>
      <c r="D227" s="11" t="n"/>
      <c r="E227" s="11" t="n">
        <v>19.99</v>
      </c>
      <c r="F227" s="11">
        <f>IF(D227&lt;&gt;"",D227,IF(C227&lt;&gt;"",C227,""))</f>
        <v/>
      </c>
      <c r="G227" s="11">
        <f>IF(AND(E227&lt;&gt;"",F227&lt;&gt;""),E227-F227,"")</f>
        <v/>
      </c>
      <c r="H227" s="17">
        <f>IF(G227="","",IF(F227=0,"",G227/F227))</f>
        <v/>
      </c>
      <c r="I227" s="18">
        <f>IF(E227="","SIN COMPRA",IF(F227="","NUEVO",IF(AND(ABS(G227)&lt;0.015,ABS(G227)&lt;F227*0.005),"IGUAL",IF(G227&gt;0,"SUBE","BAJA"))))</f>
        <v/>
      </c>
      <c r="J227" s="17">
        <f>IF(AND(C227&lt;&gt;"",D227&lt;&gt;""),IF(C227=0,"",D227/C227-1),"")</f>
        <v/>
      </c>
      <c r="K227" s="5" t="n"/>
    </row>
    <row r="228">
      <c r="A228" s="5" t="inlineStr">
        <is>
          <t>MAKRO</t>
        </is>
      </c>
      <c r="B228" s="5" t="inlineStr">
        <is>
          <t>TOMATE C-GG MAD2/3 BJ</t>
        </is>
      </c>
      <c r="C228" s="11" t="n"/>
      <c r="D228" s="11" t="n"/>
      <c r="E228" s="11" t="n">
        <v>6.59</v>
      </c>
      <c r="F228" s="11">
        <f>IF(D228&lt;&gt;"",D228,IF(C228&lt;&gt;"",C228,""))</f>
        <v/>
      </c>
      <c r="G228" s="11">
        <f>IF(AND(E228&lt;&gt;"",F228&lt;&gt;""),E228-F228,"")</f>
        <v/>
      </c>
      <c r="H228" s="17">
        <f>IF(G228="","",IF(F228=0,"",G228/F228))</f>
        <v/>
      </c>
      <c r="I228" s="18">
        <f>IF(E228="","SIN COMPRA",IF(F228="","NUEVO",IF(AND(ABS(G228)&lt;0.015,ABS(G228)&lt;F228*0.005),"IGUAL",IF(G228&gt;0,"SUBE","BAJA"))))</f>
        <v/>
      </c>
      <c r="J228" s="17">
        <f>IF(AND(C228&lt;&gt;"",D228&lt;&gt;""),IF(C228=0,"",D228/C228-1),"")</f>
        <v/>
      </c>
      <c r="K228" s="5" t="inlineStr">
        <is>
          <t>Producto fresco: precio de mercado, fluctúa. Varios precios en septiembre: 3,51 / 5,12 / 6,59</t>
        </is>
      </c>
    </row>
    <row r="229">
      <c r="A229" s="5" t="inlineStr">
        <is>
          <t>MAKRO</t>
        </is>
      </c>
      <c r="B229" s="5" t="inlineStr">
        <is>
          <t>TOMATE DOBLE CONC MUTTI LT880G</t>
        </is>
      </c>
      <c r="C229" s="11" t="n"/>
      <c r="D229" s="11" t="n"/>
      <c r="E229" s="11" t="n">
        <v>7.15</v>
      </c>
      <c r="F229" s="11">
        <f>IF(D229&lt;&gt;"",D229,IF(C229&lt;&gt;"",C229,""))</f>
        <v/>
      </c>
      <c r="G229" s="11">
        <f>IF(AND(E229&lt;&gt;"",F229&lt;&gt;""),E229-F229,"")</f>
        <v/>
      </c>
      <c r="H229" s="17">
        <f>IF(G229="","",IF(F229=0,"",G229/F229))</f>
        <v/>
      </c>
      <c r="I229" s="18">
        <f>IF(E229="","SIN COMPRA",IF(F229="","NUEVO",IF(AND(ABS(G229)&lt;0.015,ABS(G229)&lt;F229*0.005),"IGUAL",IF(G229&gt;0,"SUBE","BAJA"))))</f>
        <v/>
      </c>
      <c r="J229" s="17">
        <f>IF(AND(C229&lt;&gt;"",D229&lt;&gt;""),IF(C229=0,"",D229/C229-1),"")</f>
        <v/>
      </c>
      <c r="K229" s="5" t="n"/>
    </row>
    <row r="230">
      <c r="A230" s="5" t="inlineStr">
        <is>
          <t>MAKRO</t>
        </is>
      </c>
      <c r="B230" s="5" t="inlineStr">
        <is>
          <t>TOMILLO MC BJ 125G</t>
        </is>
      </c>
      <c r="C230" s="11" t="n"/>
      <c r="D230" s="11" t="n"/>
      <c r="E230" s="11" t="n">
        <v>3.18</v>
      </c>
      <c r="F230" s="11">
        <f>IF(D230&lt;&gt;"",D230,IF(C230&lt;&gt;"",C230,""))</f>
        <v/>
      </c>
      <c r="G230" s="11">
        <f>IF(AND(E230&lt;&gt;"",F230&lt;&gt;""),E230-F230,"")</f>
        <v/>
      </c>
      <c r="H230" s="17">
        <f>IF(G230="","",IF(F230=0,"",G230/F230))</f>
        <v/>
      </c>
      <c r="I230" s="18">
        <f>IF(E230="","SIN COMPRA",IF(F230="","NUEVO",IF(AND(ABS(G230)&lt;0.015,ABS(G230)&lt;F230*0.005),"IGUAL",IF(G230&gt;0,"SUBE","BAJA"))))</f>
        <v/>
      </c>
      <c r="J230" s="17">
        <f>IF(AND(C230&lt;&gt;"",D230&lt;&gt;""),IF(C230=0,"",D230/C230-1),"")</f>
        <v/>
      </c>
      <c r="K230" s="5" t="inlineStr">
        <is>
          <t>Producto fresco: precio de mercado, fluctúa</t>
        </is>
      </c>
    </row>
    <row r="231">
      <c r="A231" s="5" t="inlineStr">
        <is>
          <t>MAKRO</t>
        </is>
      </c>
      <c r="B231" s="5" t="inlineStr">
        <is>
          <t>VINAGRE VINO BCO MC 5L</t>
        </is>
      </c>
      <c r="C231" s="11" t="n"/>
      <c r="D231" s="11" t="n"/>
      <c r="E231" s="11" t="n">
        <v>3.91</v>
      </c>
      <c r="F231" s="11">
        <f>IF(D231&lt;&gt;"",D231,IF(C231&lt;&gt;"",C231,""))</f>
        <v/>
      </c>
      <c r="G231" s="11">
        <f>IF(AND(E231&lt;&gt;"",F231&lt;&gt;""),E231-F231,"")</f>
        <v/>
      </c>
      <c r="H231" s="17">
        <f>IF(G231="","",IF(F231=0,"",G231/F231))</f>
        <v/>
      </c>
      <c r="I231" s="18">
        <f>IF(E231="","SIN COMPRA",IF(F231="","NUEVO",IF(AND(ABS(G231)&lt;0.015,ABS(G231)&lt;F231*0.005),"IGUAL",IF(G231&gt;0,"SUBE","BAJA"))))</f>
        <v/>
      </c>
      <c r="J231" s="17">
        <f>IF(AND(C231&lt;&gt;"",D231&lt;&gt;""),IF(C231=0,"",D231/C231-1),"")</f>
        <v/>
      </c>
      <c r="K231" s="5" t="n"/>
    </row>
    <row r="232">
      <c r="A232" s="5" t="inlineStr">
        <is>
          <t>MAKRO</t>
        </is>
      </c>
      <c r="B232" s="5" t="inlineStr">
        <is>
          <t>VINO BCO CERRO CRUZ BRIK 1L (CAJA 12)</t>
        </is>
      </c>
      <c r="C232" s="11" t="n"/>
      <c r="D232" s="11" t="n"/>
      <c r="E232" s="11" t="n">
        <v>1.15</v>
      </c>
      <c r="F232" s="11">
        <f>IF(D232&lt;&gt;"",D232,IF(C232&lt;&gt;"",C232,""))</f>
        <v/>
      </c>
      <c r="G232" s="11">
        <f>IF(AND(E232&lt;&gt;"",F232&lt;&gt;""),E232-F232,"")</f>
        <v/>
      </c>
      <c r="H232" s="17">
        <f>IF(G232="","",IF(F232=0,"",G232/F232))</f>
        <v/>
      </c>
      <c r="I232" s="18">
        <f>IF(E232="","SIN COMPRA",IF(F232="","NUEVO",IF(AND(ABS(G232)&lt;0.015,ABS(G232)&lt;F232*0.005),"IGUAL",IF(G232&gt;0,"SUBE","BAJA"))))</f>
        <v/>
      </c>
      <c r="J232" s="17">
        <f>IF(AND(C232&lt;&gt;"",D232&lt;&gt;""),IF(C232=0,"",D232/C232-1),"")</f>
        <v/>
      </c>
      <c r="K232" s="5" t="n"/>
    </row>
    <row r="233">
      <c r="A233" s="5" t="inlineStr">
        <is>
          <t>MAKRO</t>
        </is>
      </c>
      <c r="B233" s="5" t="inlineStr">
        <is>
          <t>ZANAHORIA MC 5KG</t>
        </is>
      </c>
      <c r="C233" s="11" t="n">
        <v>6.11</v>
      </c>
      <c r="D233" s="11" t="n"/>
      <c r="E233" s="11" t="n">
        <v>5.82</v>
      </c>
      <c r="F233" s="11">
        <f>IF(D233&lt;&gt;"",D233,IF(C233&lt;&gt;"",C233,""))</f>
        <v/>
      </c>
      <c r="G233" s="11">
        <f>IF(AND(E233&lt;&gt;"",F233&lt;&gt;""),E233-F233,"")</f>
        <v/>
      </c>
      <c r="H233" s="17">
        <f>IF(G233="","",IF(F233=0,"",G233/F233))</f>
        <v/>
      </c>
      <c r="I233" s="18">
        <f>IF(E233="","SIN COMPRA",IF(F233="","NUEVO",IF(AND(ABS(G233)&lt;0.015,ABS(G233)&lt;F233*0.005),"IGUAL",IF(G233&gt;0,"SUBE","BAJA"))))</f>
        <v/>
      </c>
      <c r="J233" s="17">
        <f>IF(AND(C233&lt;&gt;"",D233&lt;&gt;""),IF(C233=0,"",D233/C233-1),"")</f>
        <v/>
      </c>
      <c r="K233" s="5" t="inlineStr">
        <is>
          <t>Producto fresco: precio de mercado, fluctúa. Varios precios en septiembre: 5,25 / 5,49 / 5,82</t>
        </is>
      </c>
    </row>
    <row r="234">
      <c r="A234" s="5" t="inlineStr">
        <is>
          <t>MANUEL AMBRES</t>
        </is>
      </c>
      <c r="B234" s="5" t="inlineStr">
        <is>
          <t>RACION CECINA PREMIUM 100GR (BLACK ANGUS)</t>
        </is>
      </c>
      <c r="C234" s="11" t="n">
        <v>7.35</v>
      </c>
      <c r="D234" s="11" t="n">
        <v>7.35</v>
      </c>
      <c r="E234" s="11" t="n">
        <v>7.35</v>
      </c>
      <c r="F234" s="11">
        <f>IF(D234&lt;&gt;"",D234,IF(C234&lt;&gt;"",C234,""))</f>
        <v/>
      </c>
      <c r="G234" s="11">
        <f>IF(AND(E234&lt;&gt;"",F234&lt;&gt;""),E234-F234,"")</f>
        <v/>
      </c>
      <c r="H234" s="17">
        <f>IF(G234="","",IF(F234=0,"",G234/F234))</f>
        <v/>
      </c>
      <c r="I234" s="18">
        <f>IF(E234="","SIN COMPRA",IF(F234="","NUEVO",IF(AND(ABS(G234)&lt;0.015,ABS(G234)&lt;F234*0.005),"IGUAL",IF(G234&gt;0,"SUBE","BAJA"))))</f>
        <v/>
      </c>
      <c r="J234" s="17">
        <f>IF(AND(C234&lt;&gt;"",D234&lt;&gt;""),IF(C234=0,"",D234/C234-1),"")</f>
        <v/>
      </c>
      <c r="K234" s="5" t="n"/>
    </row>
    <row r="235">
      <c r="A235" s="5" t="inlineStr">
        <is>
          <t>MANUEL AMBRES</t>
        </is>
      </c>
      <c r="B235" s="5" t="inlineStr">
        <is>
          <t>RACION CECINA PREMIUM 100GR WAGYU</t>
        </is>
      </c>
      <c r="C235" s="11" t="n">
        <v>16</v>
      </c>
      <c r="D235" s="11" t="n"/>
      <c r="E235" s="11" t="n">
        <v>16</v>
      </c>
      <c r="F235" s="11">
        <f>IF(D235&lt;&gt;"",D235,IF(C235&lt;&gt;"",C235,""))</f>
        <v/>
      </c>
      <c r="G235" s="11">
        <f>IF(AND(E235&lt;&gt;"",F235&lt;&gt;""),E235-F235,"")</f>
        <v/>
      </c>
      <c r="H235" s="17">
        <f>IF(G235="","",IF(F235=0,"",G235/F235))</f>
        <v/>
      </c>
      <c r="I235" s="18">
        <f>IF(E235="","SIN COMPRA",IF(F235="","NUEVO",IF(AND(ABS(G235)&lt;0.015,ABS(G235)&lt;F235*0.005),"IGUAL",IF(G235&gt;0,"SUBE","BAJA"))))</f>
        <v/>
      </c>
      <c r="J235" s="17">
        <f>IF(AND(C235&lt;&gt;"",D235&lt;&gt;""),IF(C235=0,"",D235/C235-1),"")</f>
        <v/>
      </c>
      <c r="K235" s="5" t="inlineStr">
        <is>
          <t>En julio figuraba como «cecina black angus wagyu»</t>
        </is>
      </c>
    </row>
    <row r="236">
      <c r="A236" s="5" t="inlineStr">
        <is>
          <t>MANUEL AMBRES</t>
        </is>
      </c>
      <c r="B236" s="5" t="inlineStr">
        <is>
          <t>RACION J. BELLOTA 100% 100GR</t>
        </is>
      </c>
      <c r="C236" s="11" t="n">
        <v>13.9</v>
      </c>
      <c r="D236" s="11" t="n">
        <v>13.9</v>
      </c>
      <c r="E236" s="11" t="n">
        <v>13.9</v>
      </c>
      <c r="F236" s="11">
        <f>IF(D236&lt;&gt;"",D236,IF(C236&lt;&gt;"",C236,""))</f>
        <v/>
      </c>
      <c r="G236" s="11">
        <f>IF(AND(E236&lt;&gt;"",F236&lt;&gt;""),E236-F236,"")</f>
        <v/>
      </c>
      <c r="H236" s="17">
        <f>IF(G236="","",IF(F236=0,"",G236/F236))</f>
        <v/>
      </c>
      <c r="I236" s="18">
        <f>IF(E236="","SIN COMPRA",IF(F236="","NUEVO",IF(AND(ABS(G236)&lt;0.015,ABS(G236)&lt;F236*0.005),"IGUAL",IF(G236&gt;0,"SUBE","BAJA"))))</f>
        <v/>
      </c>
      <c r="J236" s="17">
        <f>IF(AND(C236&lt;&gt;"",D236&lt;&gt;""),IF(C236=0,"",D236/C236-1),"")</f>
        <v/>
      </c>
      <c r="K236" s="5" t="n"/>
    </row>
    <row r="237">
      <c r="A237" s="5" t="inlineStr">
        <is>
          <t>MARTIN CANEDA</t>
        </is>
      </c>
      <c r="B237" s="5" t="inlineStr">
        <is>
          <t>BERBERECHO</t>
        </is>
      </c>
      <c r="C237" s="11" t="n">
        <v>25</v>
      </c>
      <c r="D237" s="11" t="n">
        <v>24</v>
      </c>
      <c r="E237" s="11" t="n">
        <v>22</v>
      </c>
      <c r="F237" s="11">
        <f>IF(D237&lt;&gt;"",D237,IF(C237&lt;&gt;"",C237,""))</f>
        <v/>
      </c>
      <c r="G237" s="11">
        <f>IF(AND(E237&lt;&gt;"",F237&lt;&gt;""),E237-F237,"")</f>
        <v/>
      </c>
      <c r="H237" s="17">
        <f>IF(G237="","",IF(F237=0,"",G237/F237))</f>
        <v/>
      </c>
      <c r="I237" s="18">
        <f>IF(E237="","SIN COMPRA",IF(F237="","NUEVO",IF(AND(ABS(G237)&lt;0.015,ABS(G237)&lt;F237*0.005),"IGUAL",IF(G237&gt;0,"SUBE","BAJA"))))</f>
        <v/>
      </c>
      <c r="J237" s="17">
        <f>IF(AND(C237&lt;&gt;"",D237&lt;&gt;""),IF(C237=0,"",D237/C237-1),"")</f>
        <v/>
      </c>
      <c r="K237" s="5" t="inlineStr">
        <is>
          <t>Producto fresco: precio de mercado, fluctúa. Varios precios en julio: 24,00 / 25,00. Varios precios en agosto: 22,00 / 24,00</t>
        </is>
      </c>
    </row>
    <row r="238">
      <c r="A238" s="5" t="inlineStr">
        <is>
          <t>MARTIN CANEDA</t>
        </is>
      </c>
      <c r="B238" s="5" t="inlineStr">
        <is>
          <t>CAMARON</t>
        </is>
      </c>
      <c r="C238" s="11" t="n">
        <v>98</v>
      </c>
      <c r="D238" s="11" t="n">
        <v>98</v>
      </c>
      <c r="E238" s="11" t="n">
        <v>98</v>
      </c>
      <c r="F238" s="11">
        <f>IF(D238&lt;&gt;"",D238,IF(C238&lt;&gt;"",C238,""))</f>
        <v/>
      </c>
      <c r="G238" s="11">
        <f>IF(AND(E238&lt;&gt;"",F238&lt;&gt;""),E238-F238,"")</f>
        <v/>
      </c>
      <c r="H238" s="17">
        <f>IF(G238="","",IF(F238=0,"",G238/F238))</f>
        <v/>
      </c>
      <c r="I238" s="18">
        <f>IF(E238="","SIN COMPRA",IF(F238="","NUEVO",IF(AND(ABS(G238)&lt;0.015,ABS(G238)&lt;F238*0.005),"IGUAL",IF(G238&gt;0,"SUBE","BAJA"))))</f>
        <v/>
      </c>
      <c r="J238" s="17">
        <f>IF(AND(C238&lt;&gt;"",D238&lt;&gt;""),IF(C238=0,"",D238/C238-1),"")</f>
        <v/>
      </c>
      <c r="K238" s="5" t="inlineStr">
        <is>
          <t>Producto fresco: precio de mercado, fluctúa. Varios precios en agosto: 95,00 / 96,00 / 98,00. Varios precios en septiembre: 97,00 / 98,00</t>
        </is>
      </c>
    </row>
    <row r="239">
      <c r="A239" s="5" t="inlineStr">
        <is>
          <t>MARTIN CANEDA</t>
        </is>
      </c>
      <c r="B239" s="5" t="inlineStr">
        <is>
          <t>CHOCHAS GDA</t>
        </is>
      </c>
      <c r="C239" s="11" t="n">
        <v>50</v>
      </c>
      <c r="D239" s="11" t="n">
        <v>50</v>
      </c>
      <c r="E239" s="11" t="n">
        <v>50</v>
      </c>
      <c r="F239" s="11">
        <f>IF(D239&lt;&gt;"",D239,IF(C239&lt;&gt;"",C239,""))</f>
        <v/>
      </c>
      <c r="G239" s="11">
        <f>IF(AND(E239&lt;&gt;"",F239&lt;&gt;""),E239-F239,"")</f>
        <v/>
      </c>
      <c r="H239" s="17">
        <f>IF(G239="","",IF(F239=0,"",G239/F239))</f>
        <v/>
      </c>
      <c r="I239" s="18">
        <f>IF(E239="","SIN COMPRA",IF(F239="","NUEVO",IF(AND(ABS(G239)&lt;0.015,ABS(G239)&lt;F239*0.005),"IGUAL",IF(G239&gt;0,"SUBE","BAJA"))))</f>
        <v/>
      </c>
      <c r="J239" s="17">
        <f>IF(AND(C239&lt;&gt;"",D239&lt;&gt;""),IF(C239=0,"",D239/C239-1),"")</f>
        <v/>
      </c>
      <c r="K239" s="5" t="inlineStr">
        <is>
          <t>Producto fresco: precio de mercado, fluctúa</t>
        </is>
      </c>
    </row>
    <row r="240">
      <c r="A240" s="5" t="inlineStr">
        <is>
          <t>MARTIN CANEDA</t>
        </is>
      </c>
      <c r="B240" s="5" t="inlineStr">
        <is>
          <t>CHOCHAS TDA</t>
        </is>
      </c>
      <c r="C240" s="11" t="n">
        <v>50</v>
      </c>
      <c r="D240" s="11" t="n">
        <v>50</v>
      </c>
      <c r="E240" s="11" t="n">
        <v>50</v>
      </c>
      <c r="F240" s="11">
        <f>IF(D240&lt;&gt;"",D240,IF(C240&lt;&gt;"",C240,""))</f>
        <v/>
      </c>
      <c r="G240" s="11">
        <f>IF(AND(E240&lt;&gt;"",F240&lt;&gt;""),E240-F240,"")</f>
        <v/>
      </c>
      <c r="H240" s="17">
        <f>IF(G240="","",IF(F240=0,"",G240/F240))</f>
        <v/>
      </c>
      <c r="I240" s="18">
        <f>IF(E240="","SIN COMPRA",IF(F240="","NUEVO",IF(AND(ABS(G240)&lt;0.015,ABS(G240)&lt;F240*0.005),"IGUAL",IF(G240&gt;0,"SUBE","BAJA"))))</f>
        <v/>
      </c>
      <c r="J240" s="17">
        <f>IF(AND(C240&lt;&gt;"",D240&lt;&gt;""),IF(C240=0,"",D240/C240-1),"")</f>
        <v/>
      </c>
      <c r="K240" s="5" t="inlineStr">
        <is>
          <t>Producto fresco: precio de mercado, fluctúa</t>
        </is>
      </c>
    </row>
    <row r="241">
      <c r="A241" s="5" t="inlineStr">
        <is>
          <t>MARTIN CANEDA</t>
        </is>
      </c>
      <c r="B241" s="5" t="inlineStr">
        <is>
          <t>MEJILLONES</t>
        </is>
      </c>
      <c r="C241" s="11" t="n">
        <v>2.7</v>
      </c>
      <c r="D241" s="11" t="n">
        <v>2.7</v>
      </c>
      <c r="E241" s="11" t="n">
        <v>2.7</v>
      </c>
      <c r="F241" s="11">
        <f>IF(D241&lt;&gt;"",D241,IF(C241&lt;&gt;"",C241,""))</f>
        <v/>
      </c>
      <c r="G241" s="11">
        <f>IF(AND(E241&lt;&gt;"",F241&lt;&gt;""),E241-F241,"")</f>
        <v/>
      </c>
      <c r="H241" s="17">
        <f>IF(G241="","",IF(F241=0,"",G241/F241))</f>
        <v/>
      </c>
      <c r="I241" s="18">
        <f>IF(E241="","SIN COMPRA",IF(F241="","NUEVO",IF(AND(ABS(G241)&lt;0.015,ABS(G241)&lt;F241*0.005),"IGUAL",IF(G241&gt;0,"SUBE","BAJA"))))</f>
        <v/>
      </c>
      <c r="J241" s="17">
        <f>IF(AND(C241&lt;&gt;"",D241&lt;&gt;""),IF(C241=0,"",D241/C241-1),"")</f>
        <v/>
      </c>
      <c r="K241" s="5" t="inlineStr">
        <is>
          <t>Producto fresco: precio de mercado, fluctúa</t>
        </is>
      </c>
    </row>
    <row r="242">
      <c r="A242" s="5" t="inlineStr">
        <is>
          <t>MARTIN CANEDA</t>
        </is>
      </c>
      <c r="B242" s="5" t="inlineStr">
        <is>
          <t>PERCEBES GDO</t>
        </is>
      </c>
      <c r="C242" s="11" t="n">
        <v>95</v>
      </c>
      <c r="D242" s="11" t="n">
        <v>95</v>
      </c>
      <c r="E242" s="11" t="n">
        <v>95</v>
      </c>
      <c r="F242" s="11">
        <f>IF(D242&lt;&gt;"",D242,IF(C242&lt;&gt;"",C242,""))</f>
        <v/>
      </c>
      <c r="G242" s="11">
        <f>IF(AND(E242&lt;&gt;"",F242&lt;&gt;""),E242-F242,"")</f>
        <v/>
      </c>
      <c r="H242" s="17">
        <f>IF(G242="","",IF(F242=0,"",G242/F242))</f>
        <v/>
      </c>
      <c r="I242" s="18">
        <f>IF(E242="","SIN COMPRA",IF(F242="","NUEVO",IF(AND(ABS(G242)&lt;0.015,ABS(G242)&lt;F242*0.005),"IGUAL",IF(G242&gt;0,"SUBE","BAJA"))))</f>
        <v/>
      </c>
      <c r="J242" s="17">
        <f>IF(AND(C242&lt;&gt;"",D242&lt;&gt;""),IF(C242=0,"",D242/C242-1),"")</f>
        <v/>
      </c>
      <c r="K242" s="5" t="inlineStr">
        <is>
          <t>Producto fresco: precio de mercado, fluctúa</t>
        </is>
      </c>
    </row>
    <row r="243">
      <c r="A243" s="5" t="inlineStr">
        <is>
          <t>MAXXIMO (MOLLETES)</t>
        </is>
      </c>
      <c r="B243" s="5" t="inlineStr">
        <is>
          <t>MOLLETES (UD)</t>
        </is>
      </c>
      <c r="C243" s="11" t="n"/>
      <c r="D243" s="11" t="n"/>
      <c r="E243" s="11" t="n">
        <v>1.08</v>
      </c>
      <c r="F243" s="11">
        <f>IF(D243&lt;&gt;"",D243,IF(C243&lt;&gt;"",C243,""))</f>
        <v/>
      </c>
      <c r="G243" s="11">
        <f>IF(AND(E243&lt;&gt;"",F243&lt;&gt;""),E243-F243,"")</f>
        <v/>
      </c>
      <c r="H243" s="17">
        <f>IF(G243="","",IF(F243=0,"",G243/F243))</f>
        <v/>
      </c>
      <c r="I243" s="18">
        <f>IF(E243="","SIN COMPRA",IF(F243="","NUEVO",IF(AND(ABS(G243)&lt;0.015,ABS(G243)&lt;F243*0.005),"IGUAL",IF(G243&gt;0,"SUBE","BAJA"))))</f>
        <v/>
      </c>
      <c r="J243" s="17">
        <f>IF(AND(C243&lt;&gt;"",D243&lt;&gt;""),IF(C243=0,"",D243/C243-1),"")</f>
        <v/>
      </c>
      <c r="K243" s="5" t="n"/>
    </row>
    <row r="244">
      <c r="A244" s="5" t="inlineStr">
        <is>
          <t>MONVA</t>
        </is>
      </c>
      <c r="B244" s="5" t="inlineStr">
        <is>
          <t>GARRAFA AOVE MONTABES 10 L</t>
        </is>
      </c>
      <c r="C244" s="11" t="n">
        <v>57</v>
      </c>
      <c r="D244" s="11" t="n"/>
      <c r="E244" s="11" t="n">
        <v>57</v>
      </c>
      <c r="F244" s="11">
        <f>IF(D244&lt;&gt;"",D244,IF(C244&lt;&gt;"",C244,""))</f>
        <v/>
      </c>
      <c r="G244" s="11">
        <f>IF(AND(E244&lt;&gt;"",F244&lt;&gt;""),E244-F244,"")</f>
        <v/>
      </c>
      <c r="H244" s="17">
        <f>IF(G244="","",IF(F244=0,"",G244/F244))</f>
        <v/>
      </c>
      <c r="I244" s="18">
        <f>IF(E244="","SIN COMPRA",IF(F244="","NUEVO",IF(AND(ABS(G244)&lt;0.015,ABS(G244)&lt;F244*0.005),"IGUAL",IF(G244&gt;0,"SUBE","BAJA"))))</f>
        <v/>
      </c>
      <c r="J244" s="17">
        <f>IF(AND(C244&lt;&gt;"",D244&lt;&gt;""),IF(C244=0,"",D244/C244-1),"")</f>
        <v/>
      </c>
      <c r="K244" s="5" t="n"/>
    </row>
    <row r="245">
      <c r="A245" s="5" t="inlineStr">
        <is>
          <t>MUNDELA</t>
        </is>
      </c>
      <c r="B245" s="5" t="inlineStr">
        <is>
          <t>BARBADILLO VI MOSCATO FRIZZANTE</t>
        </is>
      </c>
      <c r="C245" s="11" t="n">
        <v>5.63</v>
      </c>
      <c r="D245" s="11" t="n">
        <v>5.63</v>
      </c>
      <c r="E245" s="11" t="n">
        <v>5.63</v>
      </c>
      <c r="F245" s="11">
        <f>IF(D245&lt;&gt;"",D245,IF(C245&lt;&gt;"",C245,""))</f>
        <v/>
      </c>
      <c r="G245" s="11">
        <f>IF(AND(E245&lt;&gt;"",F245&lt;&gt;""),E245-F245,"")</f>
        <v/>
      </c>
      <c r="H245" s="17">
        <f>IF(G245="","",IF(F245=0,"",G245/F245))</f>
        <v/>
      </c>
      <c r="I245" s="18">
        <f>IF(E245="","SIN COMPRA",IF(F245="","NUEVO",IF(AND(ABS(G245)&lt;0.015,ABS(G245)&lt;F245*0.005),"IGUAL",IF(G245&gt;0,"SUBE","BAJA"))))</f>
        <v/>
      </c>
      <c r="J245" s="17">
        <f>IF(AND(C245&lt;&gt;"",D245&lt;&gt;""),IF(C245=0,"",D245/C245-1),"")</f>
        <v/>
      </c>
      <c r="K245" s="5" t="n"/>
    </row>
    <row r="246">
      <c r="A246" s="5" t="inlineStr">
        <is>
          <t>MUNDELA</t>
        </is>
      </c>
      <c r="B246" s="5" t="inlineStr">
        <is>
          <t>BOCACHANCLA TINTO JOVEN</t>
        </is>
      </c>
      <c r="C246" s="11" t="n"/>
      <c r="D246" s="11" t="n"/>
      <c r="E246" s="11" t="n">
        <v>3.58</v>
      </c>
      <c r="F246" s="11">
        <f>IF(D246&lt;&gt;"",D246,IF(C246&lt;&gt;"",C246,""))</f>
        <v/>
      </c>
      <c r="G246" s="11">
        <f>IF(AND(E246&lt;&gt;"",F246&lt;&gt;""),E246-F246,"")</f>
        <v/>
      </c>
      <c r="H246" s="17">
        <f>IF(G246="","",IF(F246=0,"",G246/F246))</f>
        <v/>
      </c>
      <c r="I246" s="18">
        <f>IF(E246="","SIN COMPRA",IF(F246="","NUEVO",IF(AND(ABS(G246)&lt;0.015,ABS(G246)&lt;F246*0.005),"IGUAL",IF(G246&gt;0,"SUBE","BAJA"))))</f>
        <v/>
      </c>
      <c r="J246" s="17">
        <f>IF(AND(C246&lt;&gt;"",D246&lt;&gt;""),IF(C246=0,"",D246/C246-1),"")</f>
        <v/>
      </c>
      <c r="K246" s="5" t="n"/>
    </row>
    <row r="247">
      <c r="A247" s="5" t="inlineStr">
        <is>
          <t>MUNDELA</t>
        </is>
      </c>
      <c r="B247" s="5" t="inlineStr">
        <is>
          <t>CEPAS VELLAS GODEVAL</t>
        </is>
      </c>
      <c r="C247" s="11" t="n">
        <v>11.77</v>
      </c>
      <c r="D247" s="11" t="n">
        <v>11.77</v>
      </c>
      <c r="E247" s="11" t="n">
        <v>11.77</v>
      </c>
      <c r="F247" s="11">
        <f>IF(D247&lt;&gt;"",D247,IF(C247&lt;&gt;"",C247,""))</f>
        <v/>
      </c>
      <c r="G247" s="11">
        <f>IF(AND(E247&lt;&gt;"",F247&lt;&gt;""),E247-F247,"")</f>
        <v/>
      </c>
      <c r="H247" s="17">
        <f>IF(G247="","",IF(F247=0,"",G247/F247))</f>
        <v/>
      </c>
      <c r="I247" s="18">
        <f>IF(E247="","SIN COMPRA",IF(F247="","NUEVO",IF(AND(ABS(G247)&lt;0.015,ABS(G247)&lt;F247*0.005),"IGUAL",IF(G247&gt;0,"SUBE","BAJA"))))</f>
        <v/>
      </c>
      <c r="J247" s="17">
        <f>IF(AND(C247&lt;&gt;"",D247&lt;&gt;""),IF(C247=0,"",D247/C247-1),"")</f>
        <v/>
      </c>
      <c r="K247" s="5" t="n"/>
    </row>
    <row r="248">
      <c r="A248" s="5" t="inlineStr">
        <is>
          <t>MUNDELA</t>
        </is>
      </c>
      <c r="B248" s="5" t="inlineStr">
        <is>
          <t>CORIMBO</t>
        </is>
      </c>
      <c r="C248" s="11" t="n">
        <v>13.91</v>
      </c>
      <c r="D248" s="11" t="n">
        <v>13.91</v>
      </c>
      <c r="E248" s="11" t="n">
        <v>13.91</v>
      </c>
      <c r="F248" s="11">
        <f>IF(D248&lt;&gt;"",D248,IF(C248&lt;&gt;"",C248,""))</f>
        <v/>
      </c>
      <c r="G248" s="11">
        <f>IF(AND(E248&lt;&gt;"",F248&lt;&gt;""),E248-F248,"")</f>
        <v/>
      </c>
      <c r="H248" s="17">
        <f>IF(G248="","",IF(F248=0,"",G248/F248))</f>
        <v/>
      </c>
      <c r="I248" s="18">
        <f>IF(E248="","SIN COMPRA",IF(F248="","NUEVO",IF(AND(ABS(G248)&lt;0.015,ABS(G248)&lt;F248*0.005),"IGUAL",IF(G248&gt;0,"SUBE","BAJA"))))</f>
        <v/>
      </c>
      <c r="J248" s="17">
        <f>IF(AND(C248&lt;&gt;"",D248&lt;&gt;""),IF(C248=0,"",D248/C248-1),"")</f>
        <v/>
      </c>
      <c r="K248" s="5" t="n"/>
    </row>
    <row r="249">
      <c r="A249" s="5" t="inlineStr">
        <is>
          <t>MUNDELA</t>
        </is>
      </c>
      <c r="B249" s="5" t="inlineStr">
        <is>
          <t>GURPEGUI TINTO 3/4</t>
        </is>
      </c>
      <c r="C249" s="11" t="n"/>
      <c r="D249" s="11" t="n"/>
      <c r="E249" s="11" t="n">
        <v>2.82</v>
      </c>
      <c r="F249" s="11">
        <f>IF(D249&lt;&gt;"",D249,IF(C249&lt;&gt;"",C249,""))</f>
        <v/>
      </c>
      <c r="G249" s="11">
        <f>IF(AND(E249&lt;&gt;"",F249&lt;&gt;""),E249-F249,"")</f>
        <v/>
      </c>
      <c r="H249" s="17">
        <f>IF(G249="","",IF(F249=0,"",G249/F249))</f>
        <v/>
      </c>
      <c r="I249" s="18">
        <f>IF(E249="","SIN COMPRA",IF(F249="","NUEVO",IF(AND(ABS(G249)&lt;0.015,ABS(G249)&lt;F249*0.005),"IGUAL",IF(G249&gt;0,"SUBE","BAJA"))))</f>
        <v/>
      </c>
      <c r="J249" s="17">
        <f>IF(AND(C249&lt;&gt;"",D249&lt;&gt;""),IF(C249=0,"",D249/C249-1),"")</f>
        <v/>
      </c>
      <c r="K249" s="5" t="n"/>
    </row>
    <row r="250">
      <c r="A250" s="5" t="inlineStr">
        <is>
          <t>MUNDELA</t>
        </is>
      </c>
      <c r="B250" s="5" t="inlineStr">
        <is>
          <t>MANZANILLA SOLEAR 3/8</t>
        </is>
      </c>
      <c r="C250" s="11" t="n"/>
      <c r="D250" s="11" t="n">
        <v>4.42</v>
      </c>
      <c r="E250" s="11" t="n"/>
      <c r="F250" s="11">
        <f>IF(D250&lt;&gt;"",D250,IF(C250&lt;&gt;"",C250,""))</f>
        <v/>
      </c>
      <c r="G250" s="11">
        <f>IF(AND(E250&lt;&gt;"",F250&lt;&gt;""),E250-F250,"")</f>
        <v/>
      </c>
      <c r="H250" s="17">
        <f>IF(G250="","",IF(F250=0,"",G250/F250))</f>
        <v/>
      </c>
      <c r="I250" s="18">
        <f>IF(E250="","SIN COMPRA",IF(F250="","NUEVO",IF(AND(ABS(G250)&lt;0.015,ABS(G250)&lt;F250*0.005),"IGUAL",IF(G250&gt;0,"SUBE","BAJA"))))</f>
        <v/>
      </c>
      <c r="J250" s="17">
        <f>IF(AND(C250&lt;&gt;"",D250&lt;&gt;""),IF(C250=0,"",D250/C250-1),"")</f>
        <v/>
      </c>
      <c r="K250" s="5" t="n"/>
    </row>
    <row r="251">
      <c r="A251" s="5" t="inlineStr">
        <is>
          <t>MUNDELA</t>
        </is>
      </c>
      <c r="B251" s="5" t="inlineStr">
        <is>
          <t>PACO GARCIA CRIANZA 3/4</t>
        </is>
      </c>
      <c r="C251" s="11" t="n"/>
      <c r="D251" s="11" t="n">
        <v>5.3</v>
      </c>
      <c r="E251" s="11" t="n">
        <v>5.3</v>
      </c>
      <c r="F251" s="11">
        <f>IF(D251&lt;&gt;"",D251,IF(C251&lt;&gt;"",C251,""))</f>
        <v/>
      </c>
      <c r="G251" s="11">
        <f>IF(AND(E251&lt;&gt;"",F251&lt;&gt;""),E251-F251,"")</f>
        <v/>
      </c>
      <c r="H251" s="17">
        <f>IF(G251="","",IF(F251=0,"",G251/F251))</f>
        <v/>
      </c>
      <c r="I251" s="18">
        <f>IF(E251="","SIN COMPRA",IF(F251="","NUEVO",IF(AND(ABS(G251)&lt;0.015,ABS(G251)&lt;F251*0.005),"IGUAL",IF(G251&gt;0,"SUBE","BAJA"))))</f>
        <v/>
      </c>
      <c r="J251" s="17">
        <f>IF(AND(C251&lt;&gt;"",D251&lt;&gt;""),IF(C251=0,"",D251/C251-1),"")</f>
        <v/>
      </c>
      <c r="K251" s="5" t="n"/>
    </row>
    <row r="252">
      <c r="A252" s="5" t="inlineStr">
        <is>
          <t>MUNDELA</t>
        </is>
      </c>
      <c r="B252" s="5" t="inlineStr">
        <is>
          <t>R.B. EDI.LIM. EARLY HARVEST ROSADO</t>
        </is>
      </c>
      <c r="C252" s="11" t="n">
        <v>7.88</v>
      </c>
      <c r="D252" s="11" t="n"/>
      <c r="E252" s="11" t="n">
        <v>7.88</v>
      </c>
      <c r="F252" s="11">
        <f>IF(D252&lt;&gt;"",D252,IF(C252&lt;&gt;"",C252,""))</f>
        <v/>
      </c>
      <c r="G252" s="11">
        <f>IF(AND(E252&lt;&gt;"",F252&lt;&gt;""),E252-F252,"")</f>
        <v/>
      </c>
      <c r="H252" s="17">
        <f>IF(G252="","",IF(F252=0,"",G252/F252))</f>
        <v/>
      </c>
      <c r="I252" s="18">
        <f>IF(E252="","SIN COMPRA",IF(F252="","NUEVO",IF(AND(ABS(G252)&lt;0.015,ABS(G252)&lt;F252*0.005),"IGUAL",IF(G252&gt;0,"SUBE","BAJA"))))</f>
        <v/>
      </c>
      <c r="J252" s="17">
        <f>IF(AND(C252&lt;&gt;"",D252&lt;&gt;""),IF(C252=0,"",D252/C252-1),"")</f>
        <v/>
      </c>
      <c r="K252" s="5" t="n"/>
    </row>
    <row r="253">
      <c r="A253" s="5" t="inlineStr">
        <is>
          <t>MUNDELA</t>
        </is>
      </c>
      <c r="B253" s="5" t="inlineStr">
        <is>
          <t>RAMON BILBAO BLANCO VERDEJO 3/4</t>
        </is>
      </c>
      <c r="C253" s="11" t="n">
        <v>4.67</v>
      </c>
      <c r="D253" s="11" t="n">
        <v>4.67</v>
      </c>
      <c r="E253" s="11" t="n">
        <v>4.67</v>
      </c>
      <c r="F253" s="11">
        <f>IF(D253&lt;&gt;"",D253,IF(C253&lt;&gt;"",C253,""))</f>
        <v/>
      </c>
      <c r="G253" s="11">
        <f>IF(AND(E253&lt;&gt;"",F253&lt;&gt;""),E253-F253,"")</f>
        <v/>
      </c>
      <c r="H253" s="17">
        <f>IF(G253="","",IF(F253=0,"",G253/F253))</f>
        <v/>
      </c>
      <c r="I253" s="18">
        <f>IF(E253="","SIN COMPRA",IF(F253="","NUEVO",IF(AND(ABS(G253)&lt;0.015,ABS(G253)&lt;F253*0.005),"IGUAL",IF(G253&gt;0,"SUBE","BAJA"))))</f>
        <v/>
      </c>
      <c r="J253" s="17">
        <f>IF(AND(C253&lt;&gt;"",D253&lt;&gt;""),IF(C253=0,"",D253/C253-1),"")</f>
        <v/>
      </c>
      <c r="K253" s="5" t="n"/>
    </row>
    <row r="254">
      <c r="A254" s="5" t="inlineStr">
        <is>
          <t>MUNDELA</t>
        </is>
      </c>
      <c r="B254" s="5" t="inlineStr">
        <is>
          <t>RAMON BILBAO VIÑEDOS DE ALTURA 3/4</t>
        </is>
      </c>
      <c r="C254" s="11" t="n">
        <v>8.779999999999999</v>
      </c>
      <c r="D254" s="11" t="n">
        <v>8.779999999999999</v>
      </c>
      <c r="E254" s="11" t="n">
        <v>8.779999999999999</v>
      </c>
      <c r="F254" s="11">
        <f>IF(D254&lt;&gt;"",D254,IF(C254&lt;&gt;"",C254,""))</f>
        <v/>
      </c>
      <c r="G254" s="11">
        <f>IF(AND(E254&lt;&gt;"",F254&lt;&gt;""),E254-F254,"")</f>
        <v/>
      </c>
      <c r="H254" s="17">
        <f>IF(G254="","",IF(F254=0,"",G254/F254))</f>
        <v/>
      </c>
      <c r="I254" s="18">
        <f>IF(E254="","SIN COMPRA",IF(F254="","NUEVO",IF(AND(ABS(G254)&lt;0.015,ABS(G254)&lt;F254*0.005),"IGUAL",IF(G254&gt;0,"SUBE","BAJA"))))</f>
        <v/>
      </c>
      <c r="J254" s="17">
        <f>IF(AND(C254&lt;&gt;"",D254&lt;&gt;""),IF(C254=0,"",D254/C254-1),"")</f>
        <v/>
      </c>
      <c r="K254" s="5" t="n"/>
    </row>
    <row r="255">
      <c r="A255" s="5" t="inlineStr">
        <is>
          <t>MUNDELA</t>
        </is>
      </c>
      <c r="B255" s="5" t="inlineStr">
        <is>
          <t>RODA RESERVA 3/4</t>
        </is>
      </c>
      <c r="C255" s="11" t="n">
        <v>21.38</v>
      </c>
      <c r="D255" s="11" t="n"/>
      <c r="E255" s="11" t="n"/>
      <c r="F255" s="11">
        <f>IF(D255&lt;&gt;"",D255,IF(C255&lt;&gt;"",C255,""))</f>
        <v/>
      </c>
      <c r="G255" s="11">
        <f>IF(AND(E255&lt;&gt;"",F255&lt;&gt;""),E255-F255,"")</f>
        <v/>
      </c>
      <c r="H255" s="17">
        <f>IF(G255="","",IF(F255=0,"",G255/F255))</f>
        <v/>
      </c>
      <c r="I255" s="18">
        <f>IF(E255="","SIN COMPRA",IF(F255="","NUEVO",IF(AND(ABS(G255)&lt;0.015,ABS(G255)&lt;F255*0.005),"IGUAL",IF(G255&gt;0,"SUBE","BAJA"))))</f>
        <v/>
      </c>
      <c r="J255" s="17">
        <f>IF(AND(C255&lt;&gt;"",D255&lt;&gt;""),IF(C255=0,"",D255/C255-1),"")</f>
        <v/>
      </c>
      <c r="K255" s="5" t="n"/>
    </row>
    <row r="256">
      <c r="A256" s="5" t="inlineStr">
        <is>
          <t>MUNDELA</t>
        </is>
      </c>
      <c r="B256" s="5" t="inlineStr">
        <is>
          <t>VINAGRE DE JEREZ RESERVA AL MOSCATEL</t>
        </is>
      </c>
      <c r="C256" s="11" t="n">
        <v>5.44</v>
      </c>
      <c r="D256" s="11" t="n">
        <v>5.44</v>
      </c>
      <c r="E256" s="11" t="n"/>
      <c r="F256" s="11">
        <f>IF(D256&lt;&gt;"",D256,IF(C256&lt;&gt;"",C256,""))</f>
        <v/>
      </c>
      <c r="G256" s="11">
        <f>IF(AND(E256&lt;&gt;"",F256&lt;&gt;""),E256-F256,"")</f>
        <v/>
      </c>
      <c r="H256" s="17">
        <f>IF(G256="","",IF(F256=0,"",G256/F256))</f>
        <v/>
      </c>
      <c r="I256" s="18">
        <f>IF(E256="","SIN COMPRA",IF(F256="","NUEVO",IF(AND(ABS(G256)&lt;0.015,ABS(G256)&lt;F256*0.005),"IGUAL",IF(G256&gt;0,"SUBE","BAJA"))))</f>
        <v/>
      </c>
      <c r="J256" s="17">
        <f>IF(AND(C256&lt;&gt;"",D256&lt;&gt;""),IF(C256=0,"",D256/C256-1),"")</f>
        <v/>
      </c>
      <c r="K256" s="5" t="n"/>
    </row>
    <row r="257">
      <c r="A257" s="5" t="inlineStr">
        <is>
          <t>PATATAS YAGO</t>
        </is>
      </c>
      <c r="B257" s="5" t="inlineStr">
        <is>
          <t>SACO AGRIA NUEVA ALICANTE</t>
        </is>
      </c>
      <c r="C257" s="11" t="n">
        <v>0.95</v>
      </c>
      <c r="D257" s="11" t="n">
        <v>0.88</v>
      </c>
      <c r="E257" s="11" t="n">
        <v>0.88</v>
      </c>
      <c r="F257" s="11">
        <f>IF(D257&lt;&gt;"",D257,IF(C257&lt;&gt;"",C257,""))</f>
        <v/>
      </c>
      <c r="G257" s="11">
        <f>IF(AND(E257&lt;&gt;"",F257&lt;&gt;""),E257-F257,"")</f>
        <v/>
      </c>
      <c r="H257" s="17">
        <f>IF(G257="","",IF(F257=0,"",G257/F257))</f>
        <v/>
      </c>
      <c r="I257" s="18">
        <f>IF(E257="","SIN COMPRA",IF(F257="","NUEVO",IF(AND(ABS(G257)&lt;0.015,ABS(G257)&lt;F257*0.005),"IGUAL",IF(G257&gt;0,"SUBE","BAJA"))))</f>
        <v/>
      </c>
      <c r="J257" s="17">
        <f>IF(AND(C257&lt;&gt;"",D257&lt;&gt;""),IF(C257=0,"",D257/C257-1),"")</f>
        <v/>
      </c>
      <c r="K257" s="5" t="inlineStr">
        <is>
          <t>Producto fresco: precio de mercado, fluctúa. Varios precios en julio: 0,88 / 0,89 / 0,95. Desde el 24/09 el albarán pone «saco agria Alicante» (sin «nueva»)</t>
        </is>
      </c>
    </row>
    <row r="258">
      <c r="A258" s="5" t="inlineStr">
        <is>
          <t>PATATAS YAGO</t>
        </is>
      </c>
      <c r="B258" s="5" t="inlineStr">
        <is>
          <t>SACO MONALISA</t>
        </is>
      </c>
      <c r="C258" s="11" t="n">
        <v>0.93</v>
      </c>
      <c r="D258" s="11" t="n">
        <v>0.93</v>
      </c>
      <c r="E258" s="11" t="n">
        <v>0.93</v>
      </c>
      <c r="F258" s="11">
        <f>IF(D258&lt;&gt;"",D258,IF(C258&lt;&gt;"",C258,""))</f>
        <v/>
      </c>
      <c r="G258" s="11">
        <f>IF(AND(E258&lt;&gt;"",F258&lt;&gt;""),E258-F258,"")</f>
        <v/>
      </c>
      <c r="H258" s="17">
        <f>IF(G258="","",IF(F258=0,"",G258/F258))</f>
        <v/>
      </c>
      <c r="I258" s="18">
        <f>IF(E258="","SIN COMPRA",IF(F258="","NUEVO",IF(AND(ABS(G258)&lt;0.015,ABS(G258)&lt;F258*0.005),"IGUAL",IF(G258&gt;0,"SUBE","BAJA"))))</f>
        <v/>
      </c>
      <c r="J258" s="17">
        <f>IF(AND(C258&lt;&gt;"",D258&lt;&gt;""),IF(C258=0,"",D258/C258-1),"")</f>
        <v/>
      </c>
      <c r="K258" s="5" t="inlineStr">
        <is>
          <t>Producto fresco: precio de mercado, fluctúa. Varios precios en julio: 0,83 / 0,90 / 0,93. Varios precios en agosto: 0,88 / 0,93</t>
        </is>
      </c>
    </row>
    <row r="259">
      <c r="A259" s="5" t="inlineStr">
        <is>
          <t>PESCADERIA PALACIO</t>
        </is>
      </c>
      <c r="B259" s="5" t="inlineStr">
        <is>
          <t>ALISTADO 15/20 PARAPENAEUS</t>
        </is>
      </c>
      <c r="C259" s="11" t="n">
        <v>48</v>
      </c>
      <c r="D259" s="11" t="n">
        <v>48</v>
      </c>
      <c r="E259" s="11" t="n">
        <v>48</v>
      </c>
      <c r="F259" s="11">
        <f>IF(D259&lt;&gt;"",D259,IF(C259&lt;&gt;"",C259,""))</f>
        <v/>
      </c>
      <c r="G259" s="11">
        <f>IF(AND(E259&lt;&gt;"",F259&lt;&gt;""),E259-F259,"")</f>
        <v/>
      </c>
      <c r="H259" s="17">
        <f>IF(G259="","",IF(F259=0,"",G259/F259))</f>
        <v/>
      </c>
      <c r="I259" s="18">
        <f>IF(E259="","SIN COMPRA",IF(F259="","NUEVO",IF(AND(ABS(G259)&lt;0.015,ABS(G259)&lt;F259*0.005),"IGUAL",IF(G259&gt;0,"SUBE","BAJA"))))</f>
        <v/>
      </c>
      <c r="J259" s="17">
        <f>IF(AND(C259&lt;&gt;"",D259&lt;&gt;""),IF(C259=0,"",D259/C259-1),"")</f>
        <v/>
      </c>
      <c r="K259" s="5" t="inlineStr">
        <is>
          <t>Producto fresco: precio de mercado, fluctúa</t>
        </is>
      </c>
    </row>
    <row r="260">
      <c r="A260" s="5" t="inlineStr">
        <is>
          <t>PESCARUM</t>
        </is>
      </c>
      <c r="B260" s="5" t="inlineStr">
        <is>
          <t>ALISTADOS</t>
        </is>
      </c>
      <c r="C260" s="11" t="n">
        <v>78</v>
      </c>
      <c r="D260" s="11" t="n">
        <v>88</v>
      </c>
      <c r="E260" s="11" t="n"/>
      <c r="F260" s="11">
        <f>IF(D260&lt;&gt;"",D260,IF(C260&lt;&gt;"",C260,""))</f>
        <v/>
      </c>
      <c r="G260" s="11">
        <f>IF(AND(E260&lt;&gt;"",F260&lt;&gt;""),E260-F260,"")</f>
        <v/>
      </c>
      <c r="H260" s="17">
        <f>IF(G260="","",IF(F260=0,"",G260/F260))</f>
        <v/>
      </c>
      <c r="I260" s="18">
        <f>IF(E260="","SIN COMPRA",IF(F260="","NUEVO",IF(AND(ABS(G260)&lt;0.015,ABS(G260)&lt;F260*0.005),"IGUAL",IF(G260&gt;0,"SUBE","BAJA"))))</f>
        <v/>
      </c>
      <c r="J260" s="17">
        <f>IF(AND(C260&lt;&gt;"",D260&lt;&gt;""),IF(C260=0,"",D260/C260-1),"")</f>
        <v/>
      </c>
      <c r="K260" s="5" t="inlineStr">
        <is>
          <t>Producto fresco: precio de mercado, fluctúa</t>
        </is>
      </c>
    </row>
    <row r="261">
      <c r="A261" s="5" t="inlineStr">
        <is>
          <t>PESCARUM</t>
        </is>
      </c>
      <c r="B261" s="5" t="inlineStr">
        <is>
          <t>CALAMARES</t>
        </is>
      </c>
      <c r="C261" s="11" t="n">
        <v>21.5</v>
      </c>
      <c r="D261" s="11" t="n">
        <v>21.5</v>
      </c>
      <c r="E261" s="11" t="n">
        <v>21.5</v>
      </c>
      <c r="F261" s="11">
        <f>IF(D261&lt;&gt;"",D261,IF(C261&lt;&gt;"",C261,""))</f>
        <v/>
      </c>
      <c r="G261" s="11">
        <f>IF(AND(E261&lt;&gt;"",F261&lt;&gt;""),E261-F261,"")</f>
        <v/>
      </c>
      <c r="H261" s="17">
        <f>IF(G261="","",IF(F261=0,"",G261/F261))</f>
        <v/>
      </c>
      <c r="I261" s="18">
        <f>IF(E261="","SIN COMPRA",IF(F261="","NUEVO",IF(AND(ABS(G261)&lt;0.015,ABS(G261)&lt;F261*0.005),"IGUAL",IF(G261&gt;0,"SUBE","BAJA"))))</f>
        <v/>
      </c>
      <c r="J261" s="17">
        <f>IF(AND(C261&lt;&gt;"",D261&lt;&gt;""),IF(C261=0,"",D261/C261-1),"")</f>
        <v/>
      </c>
      <c r="K261" s="5" t="inlineStr">
        <is>
          <t>Producto fresco: precio de mercado, fluctúa</t>
        </is>
      </c>
    </row>
    <row r="262">
      <c r="A262" s="5" t="inlineStr">
        <is>
          <t>PESCARUM</t>
        </is>
      </c>
      <c r="B262" s="5" t="inlineStr">
        <is>
          <t>CARABINEROS</t>
        </is>
      </c>
      <c r="C262" s="11" t="n">
        <v>98</v>
      </c>
      <c r="D262" s="11" t="n">
        <v>98</v>
      </c>
      <c r="E262" s="11" t="n">
        <v>120</v>
      </c>
      <c r="F262" s="11">
        <f>IF(D262&lt;&gt;"",D262,IF(C262&lt;&gt;"",C262,""))</f>
        <v/>
      </c>
      <c r="G262" s="11">
        <f>IF(AND(E262&lt;&gt;"",F262&lt;&gt;""),E262-F262,"")</f>
        <v/>
      </c>
      <c r="H262" s="17">
        <f>IF(G262="","",IF(F262=0,"",G262/F262))</f>
        <v/>
      </c>
      <c r="I262" s="18">
        <f>IF(E262="","SIN COMPRA",IF(F262="","NUEVO",IF(AND(ABS(G262)&lt;0.015,ABS(G262)&lt;F262*0.005),"IGUAL",IF(G262&gt;0,"SUBE","BAJA"))))</f>
        <v/>
      </c>
      <c r="J262" s="17">
        <f>IF(AND(C262&lt;&gt;"",D262&lt;&gt;""),IF(C262=0,"",D262/C262-1),"")</f>
        <v/>
      </c>
      <c r="K262" s="5" t="inlineStr">
        <is>
          <t>Producto fresco: precio de mercado, fluctúa</t>
        </is>
      </c>
    </row>
    <row r="263">
      <c r="A263" s="5" t="inlineStr">
        <is>
          <t>PESCARUM</t>
        </is>
      </c>
      <c r="B263" s="5" t="inlineStr">
        <is>
          <t>CIGALA</t>
        </is>
      </c>
      <c r="C263" s="11" t="n">
        <v>75</v>
      </c>
      <c r="D263" s="11" t="n"/>
      <c r="E263" s="11" t="n">
        <v>78</v>
      </c>
      <c r="F263" s="11">
        <f>IF(D263&lt;&gt;"",D263,IF(C263&lt;&gt;"",C263,""))</f>
        <v/>
      </c>
      <c r="G263" s="11">
        <f>IF(AND(E263&lt;&gt;"",F263&lt;&gt;""),E263-F263,"")</f>
        <v/>
      </c>
      <c r="H263" s="17">
        <f>IF(G263="","",IF(F263=0,"",G263/F263))</f>
        <v/>
      </c>
      <c r="I263" s="18">
        <f>IF(E263="","SIN COMPRA",IF(F263="","NUEVO",IF(AND(ABS(G263)&lt;0.015,ABS(G263)&lt;F263*0.005),"IGUAL",IF(G263&gt;0,"SUBE","BAJA"))))</f>
        <v/>
      </c>
      <c r="J263" s="17">
        <f>IF(AND(C263&lt;&gt;"",D263&lt;&gt;""),IF(C263=0,"",D263/C263-1),"")</f>
        <v/>
      </c>
      <c r="K263" s="5" t="inlineStr">
        <is>
          <t>Producto fresco: precio de mercado, fluctúa</t>
        </is>
      </c>
    </row>
    <row r="264">
      <c r="A264" s="5" t="inlineStr">
        <is>
          <t>PESCARUM</t>
        </is>
      </c>
      <c r="B264" s="5" t="inlineStr">
        <is>
          <t>COCOCHAS</t>
        </is>
      </c>
      <c r="C264" s="11" t="n"/>
      <c r="D264" s="11" t="n">
        <v>60</v>
      </c>
      <c r="E264" s="11" t="n">
        <v>60</v>
      </c>
      <c r="F264" s="11">
        <f>IF(D264&lt;&gt;"",D264,IF(C264&lt;&gt;"",C264,""))</f>
        <v/>
      </c>
      <c r="G264" s="11">
        <f>IF(AND(E264&lt;&gt;"",F264&lt;&gt;""),E264-F264,"")</f>
        <v/>
      </c>
      <c r="H264" s="17">
        <f>IF(G264="","",IF(F264=0,"",G264/F264))</f>
        <v/>
      </c>
      <c r="I264" s="18">
        <f>IF(E264="","SIN COMPRA",IF(F264="","NUEVO",IF(AND(ABS(G264)&lt;0.015,ABS(G264)&lt;F264*0.005),"IGUAL",IF(G264&gt;0,"SUBE","BAJA"))))</f>
        <v/>
      </c>
      <c r="J264" s="17">
        <f>IF(AND(C264&lt;&gt;"",D264&lt;&gt;""),IF(C264=0,"",D264/C264-1),"")</f>
        <v/>
      </c>
      <c r="K264" s="5" t="inlineStr">
        <is>
          <t>Producto fresco: precio de mercado, fluctúa. Varios precios en agosto: 58,00 / 60,00</t>
        </is>
      </c>
    </row>
    <row r="265">
      <c r="A265" s="5" t="inlineStr">
        <is>
          <t>PESCARUM</t>
        </is>
      </c>
      <c r="B265" s="5" t="inlineStr">
        <is>
          <t>COQUINAS</t>
        </is>
      </c>
      <c r="C265" s="11" t="n">
        <v>30</v>
      </c>
      <c r="D265" s="11" t="n">
        <v>32.5</v>
      </c>
      <c r="E265" s="11" t="n">
        <v>32.5</v>
      </c>
      <c r="F265" s="11">
        <f>IF(D265&lt;&gt;"",D265,IF(C265&lt;&gt;"",C265,""))</f>
        <v/>
      </c>
      <c r="G265" s="11">
        <f>IF(AND(E265&lt;&gt;"",F265&lt;&gt;""),E265-F265,"")</f>
        <v/>
      </c>
      <c r="H265" s="17">
        <f>IF(G265="","",IF(F265=0,"",G265/F265))</f>
        <v/>
      </c>
      <c r="I265" s="18">
        <f>IF(E265="","SIN COMPRA",IF(F265="","NUEVO",IF(AND(ABS(G265)&lt;0.015,ABS(G265)&lt;F265*0.005),"IGUAL",IF(G265&gt;0,"SUBE","BAJA"))))</f>
        <v/>
      </c>
      <c r="J265" s="17">
        <f>IF(AND(C265&lt;&gt;"",D265&lt;&gt;""),IF(C265=0,"",D265/C265-1),"")</f>
        <v/>
      </c>
      <c r="K265" s="5" t="inlineStr">
        <is>
          <t>Producto fresco: precio de mercado, fluctúa. Varios precios en agosto: 30,00 / 32,50</t>
        </is>
      </c>
    </row>
    <row r="266">
      <c r="A266" s="5" t="inlineStr">
        <is>
          <t>PESCARUM</t>
        </is>
      </c>
      <c r="B266" s="5" t="inlineStr">
        <is>
          <t>LANGOSTINO</t>
        </is>
      </c>
      <c r="C266" s="11" t="n">
        <v>35</v>
      </c>
      <c r="D266" s="11" t="n"/>
      <c r="E266" s="11" t="n">
        <v>35</v>
      </c>
      <c r="F266" s="11">
        <f>IF(D266&lt;&gt;"",D266,IF(C266&lt;&gt;"",C266,""))</f>
        <v/>
      </c>
      <c r="G266" s="11">
        <f>IF(AND(E266&lt;&gt;"",F266&lt;&gt;""),E266-F266,"")</f>
        <v/>
      </c>
      <c r="H266" s="17">
        <f>IF(G266="","",IF(F266=0,"",G266/F266))</f>
        <v/>
      </c>
      <c r="I266" s="18">
        <f>IF(E266="","SIN COMPRA",IF(F266="","NUEVO",IF(AND(ABS(G266)&lt;0.015,ABS(G266)&lt;F266*0.005),"IGUAL",IF(G266&gt;0,"SUBE","BAJA"))))</f>
        <v/>
      </c>
      <c r="J266" s="17">
        <f>IF(AND(C266&lt;&gt;"",D266&lt;&gt;""),IF(C266=0,"",D266/C266-1),"")</f>
        <v/>
      </c>
      <c r="K266" s="5" t="inlineStr">
        <is>
          <t>Producto fresco: precio de mercado, fluctúa</t>
        </is>
      </c>
    </row>
    <row r="267">
      <c r="A267" s="5" t="inlineStr">
        <is>
          <t>PESCARUM</t>
        </is>
      </c>
      <c r="B267" s="5" t="inlineStr">
        <is>
          <t>NAVAJA</t>
        </is>
      </c>
      <c r="C267" s="11" t="n">
        <v>29.5</v>
      </c>
      <c r="D267" s="11" t="n">
        <v>25</v>
      </c>
      <c r="E267" s="11" t="n">
        <v>25</v>
      </c>
      <c r="F267" s="11">
        <f>IF(D267&lt;&gt;"",D267,IF(C267&lt;&gt;"",C267,""))</f>
        <v/>
      </c>
      <c r="G267" s="11">
        <f>IF(AND(E267&lt;&gt;"",F267&lt;&gt;""),E267-F267,"")</f>
        <v/>
      </c>
      <c r="H267" s="17">
        <f>IF(G267="","",IF(F267=0,"",G267/F267))</f>
        <v/>
      </c>
      <c r="I267" s="18">
        <f>IF(E267="","SIN COMPRA",IF(F267="","NUEVO",IF(AND(ABS(G267)&lt;0.015,ABS(G267)&lt;F267*0.005),"IGUAL",IF(G267&gt;0,"SUBE","BAJA"))))</f>
        <v/>
      </c>
      <c r="J267" s="17">
        <f>IF(AND(C267&lt;&gt;"",D267&lt;&gt;""),IF(C267=0,"",D267/C267-1),"")</f>
        <v/>
      </c>
      <c r="K267" s="5" t="inlineStr">
        <is>
          <t>Producto fresco: precio de mercado, fluctúa. Varios precios en julio: 23,00 / 25,00 / 25,50 / 29,50. Varios precios en septiembre: 22,00 / 23,00 / 23,50 / 24,00 / 25,00</t>
        </is>
      </c>
    </row>
    <row r="268">
      <c r="A268" s="5" t="inlineStr">
        <is>
          <t>PESCARUM</t>
        </is>
      </c>
      <c r="B268" s="5" t="inlineStr">
        <is>
          <t>OSTRAS (UD)</t>
        </is>
      </c>
      <c r="C268" s="11" t="n"/>
      <c r="D268" s="11" t="n"/>
      <c r="E268" s="11" t="n">
        <v>2.5</v>
      </c>
      <c r="F268" s="11">
        <f>IF(D268&lt;&gt;"",D268,IF(C268&lt;&gt;"",C268,""))</f>
        <v/>
      </c>
      <c r="G268" s="11">
        <f>IF(AND(E268&lt;&gt;"",F268&lt;&gt;""),E268-F268,"")</f>
        <v/>
      </c>
      <c r="H268" s="17">
        <f>IF(G268="","",IF(F268=0,"",G268/F268))</f>
        <v/>
      </c>
      <c r="I268" s="18">
        <f>IF(E268="","SIN COMPRA",IF(F268="","NUEVO",IF(AND(ABS(G268)&lt;0.015,ABS(G268)&lt;F268*0.005),"IGUAL",IF(G268&gt;0,"SUBE","BAJA"))))</f>
        <v/>
      </c>
      <c r="J268" s="17">
        <f>IF(AND(C268&lt;&gt;"",D268&lt;&gt;""),IF(C268=0,"",D268/C268-1),"")</f>
        <v/>
      </c>
      <c r="K268" s="5" t="inlineStr">
        <is>
          <t>Producto fresco: precio de mercado, fluctúa</t>
        </is>
      </c>
    </row>
    <row r="269">
      <c r="A269" s="5" t="inlineStr">
        <is>
          <t>PESCARUM</t>
        </is>
      </c>
      <c r="B269" s="5" t="inlineStr">
        <is>
          <t>PARRILLATO</t>
        </is>
      </c>
      <c r="C269" s="11" t="n"/>
      <c r="D269" s="11" t="n">
        <v>14</v>
      </c>
      <c r="E269" s="11" t="n"/>
      <c r="F269" s="11">
        <f>IF(D269&lt;&gt;"",D269,IF(C269&lt;&gt;"",C269,""))</f>
        <v/>
      </c>
      <c r="G269" s="11">
        <f>IF(AND(E269&lt;&gt;"",F269&lt;&gt;""),E269-F269,"")</f>
        <v/>
      </c>
      <c r="H269" s="17">
        <f>IF(G269="","",IF(F269=0,"",G269/F269))</f>
        <v/>
      </c>
      <c r="I269" s="18">
        <f>IF(E269="","SIN COMPRA",IF(F269="","NUEVO",IF(AND(ABS(G269)&lt;0.015,ABS(G269)&lt;F269*0.005),"IGUAL",IF(G269&gt;0,"SUBE","BAJA"))))</f>
        <v/>
      </c>
      <c r="J269" s="17">
        <f>IF(AND(C269&lt;&gt;"",D269&lt;&gt;""),IF(C269=0,"",D269/C269-1),"")</f>
        <v/>
      </c>
      <c r="K269" s="5" t="inlineStr">
        <is>
          <t>Producto fresco: precio de mercado, fluctúa</t>
        </is>
      </c>
    </row>
    <row r="270">
      <c r="A270" s="5" t="inlineStr">
        <is>
          <t>PESCARUM</t>
        </is>
      </c>
      <c r="B270" s="5" t="inlineStr">
        <is>
          <t>PERIQUITO</t>
        </is>
      </c>
      <c r="C270" s="11" t="n"/>
      <c r="D270" s="11" t="n"/>
      <c r="E270" s="11" t="n">
        <v>13.5</v>
      </c>
      <c r="F270" s="11">
        <f>IF(D270&lt;&gt;"",D270,IF(C270&lt;&gt;"",C270,""))</f>
        <v/>
      </c>
      <c r="G270" s="11">
        <f>IF(AND(E270&lt;&gt;"",F270&lt;&gt;""),E270-F270,"")</f>
        <v/>
      </c>
      <c r="H270" s="17">
        <f>IF(G270="","",IF(F270=0,"",G270/F270))</f>
        <v/>
      </c>
      <c r="I270" s="18">
        <f>IF(E270="","SIN COMPRA",IF(F270="","NUEVO",IF(AND(ABS(G270)&lt;0.015,ABS(G270)&lt;F270*0.005),"IGUAL",IF(G270&gt;0,"SUBE","BAJA"))))</f>
        <v/>
      </c>
      <c r="J270" s="17">
        <f>IF(AND(C270&lt;&gt;"",D270&lt;&gt;""),IF(C270=0,"",D270/C270-1),"")</f>
        <v/>
      </c>
      <c r="K270" s="5" t="inlineStr">
        <is>
          <t>Producto fresco: precio de mercado, fluctúa. Lectura dudosa en el albarán del 29/09</t>
        </is>
      </c>
    </row>
    <row r="271">
      <c r="A271" s="5" t="inlineStr">
        <is>
          <t>PESCARUM</t>
        </is>
      </c>
      <c r="B271" s="5" t="inlineStr">
        <is>
          <t>PULPO</t>
        </is>
      </c>
      <c r="C271" s="11" t="n">
        <v>30.5</v>
      </c>
      <c r="D271" s="11" t="n">
        <v>30.5</v>
      </c>
      <c r="E271" s="11" t="n">
        <v>30.5</v>
      </c>
      <c r="F271" s="11">
        <f>IF(D271&lt;&gt;"",D271,IF(C271&lt;&gt;"",C271,""))</f>
        <v/>
      </c>
      <c r="G271" s="11">
        <f>IF(AND(E271&lt;&gt;"",F271&lt;&gt;""),E271-F271,"")</f>
        <v/>
      </c>
      <c r="H271" s="17">
        <f>IF(G271="","",IF(F271=0,"",G271/F271))</f>
        <v/>
      </c>
      <c r="I271" s="18">
        <f>IF(E271="","SIN COMPRA",IF(F271="","NUEVO",IF(AND(ABS(G271)&lt;0.015,ABS(G271)&lt;F271*0.005),"IGUAL",IF(G271&gt;0,"SUBE","BAJA"))))</f>
        <v/>
      </c>
      <c r="J271" s="17">
        <f>IF(AND(C271&lt;&gt;"",D271&lt;&gt;""),IF(C271=0,"",D271/C271-1),"")</f>
        <v/>
      </c>
      <c r="K271" s="5" t="inlineStr">
        <is>
          <t>Producto fresco: precio de mercado, fluctúa</t>
        </is>
      </c>
    </row>
    <row r="272">
      <c r="A272" s="5" t="inlineStr">
        <is>
          <t>PESCARUM</t>
        </is>
      </c>
      <c r="B272" s="5" t="inlineStr">
        <is>
          <t>QUISQUILLA</t>
        </is>
      </c>
      <c r="C272" s="11" t="n">
        <v>59</v>
      </c>
      <c r="D272" s="11" t="n"/>
      <c r="E272" s="11" t="n"/>
      <c r="F272" s="11">
        <f>IF(D272&lt;&gt;"",D272,IF(C272&lt;&gt;"",C272,""))</f>
        <v/>
      </c>
      <c r="G272" s="11">
        <f>IF(AND(E272&lt;&gt;"",F272&lt;&gt;""),E272-F272,"")</f>
        <v/>
      </c>
      <c r="H272" s="17">
        <f>IF(G272="","",IF(F272=0,"",G272/F272))</f>
        <v/>
      </c>
      <c r="I272" s="18">
        <f>IF(E272="","SIN COMPRA",IF(F272="","NUEVO",IF(AND(ABS(G272)&lt;0.015,ABS(G272)&lt;F272*0.005),"IGUAL",IF(G272&gt;0,"SUBE","BAJA"))))</f>
        <v/>
      </c>
      <c r="J272" s="17">
        <f>IF(AND(C272&lt;&gt;"",D272&lt;&gt;""),IF(C272=0,"",D272/C272-1),"")</f>
        <v/>
      </c>
      <c r="K272" s="5" t="inlineStr">
        <is>
          <t>Producto fresco: precio de mercado, fluctúa. Varios precios en julio: 58,00 / 59,00</t>
        </is>
      </c>
    </row>
    <row r="273">
      <c r="A273" s="5" t="inlineStr">
        <is>
          <t>PESCARUM</t>
        </is>
      </c>
      <c r="B273" s="5" t="inlineStr">
        <is>
          <t>ZAMBURIÑAS</t>
        </is>
      </c>
      <c r="C273" s="11" t="n">
        <v>15.5</v>
      </c>
      <c r="D273" s="11" t="n">
        <v>15.5</v>
      </c>
      <c r="E273" s="11" t="n">
        <v>15.5</v>
      </c>
      <c r="F273" s="11">
        <f>IF(D273&lt;&gt;"",D273,IF(C273&lt;&gt;"",C273,""))</f>
        <v/>
      </c>
      <c r="G273" s="11">
        <f>IF(AND(E273&lt;&gt;"",F273&lt;&gt;""),E273-F273,"")</f>
        <v/>
      </c>
      <c r="H273" s="17">
        <f>IF(G273="","",IF(F273=0,"",G273/F273))</f>
        <v/>
      </c>
      <c r="I273" s="18">
        <f>IF(E273="","SIN COMPRA",IF(F273="","NUEVO",IF(AND(ABS(G273)&lt;0.015,ABS(G273)&lt;F273*0.005),"IGUAL",IF(G273&gt;0,"SUBE","BAJA"))))</f>
        <v/>
      </c>
      <c r="J273" s="17">
        <f>IF(AND(C273&lt;&gt;"",D273&lt;&gt;""),IF(C273=0,"",D273/C273-1),"")</f>
        <v/>
      </c>
      <c r="K273" s="5" t="inlineStr">
        <is>
          <t>Producto fresco: precio de mercado, fluctúa</t>
        </is>
      </c>
    </row>
    <row r="274">
      <c r="A274" s="5" t="inlineStr">
        <is>
          <t>PEÑALASTALLAS</t>
        </is>
      </c>
      <c r="B274" s="5" t="inlineStr">
        <is>
          <t>MOLLEJAS DE CORDERO</t>
        </is>
      </c>
      <c r="C274" s="11" t="n">
        <v>27.9</v>
      </c>
      <c r="D274" s="11" t="n">
        <v>27.9</v>
      </c>
      <c r="E274" s="11" t="n">
        <v>27.9</v>
      </c>
      <c r="F274" s="11">
        <f>IF(D274&lt;&gt;"",D274,IF(C274&lt;&gt;"",C274,""))</f>
        <v/>
      </c>
      <c r="G274" s="11">
        <f>IF(AND(E274&lt;&gt;"",F274&lt;&gt;""),E274-F274,"")</f>
        <v/>
      </c>
      <c r="H274" s="17">
        <f>IF(G274="","",IF(F274=0,"",G274/F274))</f>
        <v/>
      </c>
      <c r="I274" s="18">
        <f>IF(E274="","SIN COMPRA",IF(F274="","NUEVO",IF(AND(ABS(G274)&lt;0.015,ABS(G274)&lt;F274*0.005),"IGUAL",IF(G274&gt;0,"SUBE","BAJA"))))</f>
        <v/>
      </c>
      <c r="J274" s="17">
        <f>IF(AND(C274&lt;&gt;"",D274&lt;&gt;""),IF(C274=0,"",D274/C274-1),"")</f>
        <v/>
      </c>
      <c r="K274" s="5" t="n"/>
    </row>
    <row r="275">
      <c r="A275" s="5" t="inlineStr">
        <is>
          <t>PEÑALASTALLAS</t>
        </is>
      </c>
      <c r="B275" s="5" t="inlineStr">
        <is>
          <t>PINCHO MORUNO DE POLLO</t>
        </is>
      </c>
      <c r="C275" s="11" t="n">
        <v>8.9</v>
      </c>
      <c r="D275" s="11" t="n">
        <v>8.9</v>
      </c>
      <c r="E275" s="11" t="n">
        <v>8.9</v>
      </c>
      <c r="F275" s="11">
        <f>IF(D275&lt;&gt;"",D275,IF(C275&lt;&gt;"",C275,""))</f>
        <v/>
      </c>
      <c r="G275" s="11">
        <f>IF(AND(E275&lt;&gt;"",F275&lt;&gt;""),E275-F275,"")</f>
        <v/>
      </c>
      <c r="H275" s="17">
        <f>IF(G275="","",IF(F275=0,"",G275/F275))</f>
        <v/>
      </c>
      <c r="I275" s="18">
        <f>IF(E275="","SIN COMPRA",IF(F275="","NUEVO",IF(AND(ABS(G275)&lt;0.015,ABS(G275)&lt;F275*0.005),"IGUAL",IF(G275&gt;0,"SUBE","BAJA"))))</f>
        <v/>
      </c>
      <c r="J275" s="17">
        <f>IF(AND(C275&lt;&gt;"",D275&lt;&gt;""),IF(C275=0,"",D275/C275-1),"")</f>
        <v/>
      </c>
      <c r="K275" s="5" t="n"/>
    </row>
    <row r="276">
      <c r="A276" s="5" t="inlineStr">
        <is>
          <t>PEÑALASTALLAS</t>
        </is>
      </c>
      <c r="B276" s="5" t="inlineStr">
        <is>
          <t>PINCHOS MORUNOS</t>
        </is>
      </c>
      <c r="C276" s="11" t="n">
        <v>8.9</v>
      </c>
      <c r="D276" s="11" t="n">
        <v>8.9</v>
      </c>
      <c r="E276" s="11" t="n">
        <v>8.9</v>
      </c>
      <c r="F276" s="11">
        <f>IF(D276&lt;&gt;"",D276,IF(C276&lt;&gt;"",C276,""))</f>
        <v/>
      </c>
      <c r="G276" s="11">
        <f>IF(AND(E276&lt;&gt;"",F276&lt;&gt;""),E276-F276,"")</f>
        <v/>
      </c>
      <c r="H276" s="17">
        <f>IF(G276="","",IF(F276=0,"",G276/F276))</f>
        <v/>
      </c>
      <c r="I276" s="18">
        <f>IF(E276="","SIN COMPRA",IF(F276="","NUEVO",IF(AND(ABS(G276)&lt;0.015,ABS(G276)&lt;F276*0.005),"IGUAL",IF(G276&gt;0,"SUBE","BAJA"))))</f>
        <v/>
      </c>
      <c r="J276" s="17">
        <f>IF(AND(C276&lt;&gt;"",D276&lt;&gt;""),IF(C276=0,"",D276/C276-1),"")</f>
        <v/>
      </c>
      <c r="K276" s="5" t="n"/>
    </row>
    <row r="277">
      <c r="A277" s="5" t="inlineStr">
        <is>
          <t>PEÑALASTALLAS</t>
        </is>
      </c>
      <c r="B277" s="5" t="inlineStr">
        <is>
          <t>POLLOS ENTEROS</t>
        </is>
      </c>
      <c r="C277" s="11" t="n">
        <v>3.75</v>
      </c>
      <c r="D277" s="11" t="n"/>
      <c r="E277" s="11" t="n"/>
      <c r="F277" s="11">
        <f>IF(D277&lt;&gt;"",D277,IF(C277&lt;&gt;"",C277,""))</f>
        <v/>
      </c>
      <c r="G277" s="11">
        <f>IF(AND(E277&lt;&gt;"",F277&lt;&gt;""),E277-F277,"")</f>
        <v/>
      </c>
      <c r="H277" s="17">
        <f>IF(G277="","",IF(F277=0,"",G277/F277))</f>
        <v/>
      </c>
      <c r="I277" s="18">
        <f>IF(E277="","SIN COMPRA",IF(F277="","NUEVO",IF(AND(ABS(G277)&lt;0.015,ABS(G277)&lt;F277*0.005),"IGUAL",IF(G277&gt;0,"SUBE","BAJA"))))</f>
        <v/>
      </c>
      <c r="J277" s="17">
        <f>IF(AND(C277&lt;&gt;"",D277&lt;&gt;""),IF(C277=0,"",D277/C277-1),"")</f>
        <v/>
      </c>
      <c r="K277" s="5" t="n"/>
    </row>
    <row r="278">
      <c r="A278" s="5" t="inlineStr">
        <is>
          <t>REGERE AOVE</t>
        </is>
      </c>
      <c r="B278" s="5" t="inlineStr">
        <is>
          <t>CAJA 6 UDS "SELECTO" AOVE 500 ML VIDRIO</t>
        </is>
      </c>
      <c r="C278" s="11" t="n"/>
      <c r="D278" s="11" t="n"/>
      <c r="E278" s="11" t="n">
        <v>69</v>
      </c>
      <c r="F278" s="11">
        <f>IF(D278&lt;&gt;"",D278,IF(C278&lt;&gt;"",C278,""))</f>
        <v/>
      </c>
      <c r="G278" s="11">
        <f>IF(AND(E278&lt;&gt;"",F278&lt;&gt;""),E278-F278,"")</f>
        <v/>
      </c>
      <c r="H278" s="17">
        <f>IF(G278="","",IF(F278=0,"",G278/F278))</f>
        <v/>
      </c>
      <c r="I278" s="18">
        <f>IF(E278="","SIN COMPRA",IF(F278="","NUEVO",IF(AND(ABS(G278)&lt;0.015,ABS(G278)&lt;F278*0.005),"IGUAL",IF(G278&gt;0,"SUBE","BAJA"))))</f>
        <v/>
      </c>
      <c r="J278" s="17">
        <f>IF(AND(C278&lt;&gt;"",D278&lt;&gt;""),IF(C278=0,"",D278/C278-1),"")</f>
        <v/>
      </c>
      <c r="K278" s="5" t="n"/>
    </row>
    <row r="279">
      <c r="A279" s="5" t="inlineStr">
        <is>
          <t>REGERE AOVE</t>
        </is>
      </c>
      <c r="B279" s="5" t="inlineStr">
        <is>
          <t>CAJA 6 UDS BOTELLA 1L "SELECCION DEL CHEF" AOVE</t>
        </is>
      </c>
      <c r="C279" s="11" t="n"/>
      <c r="D279" s="11" t="n"/>
      <c r="E279" s="11" t="n">
        <v>69</v>
      </c>
      <c r="F279" s="11">
        <f>IF(D279&lt;&gt;"",D279,IF(C279&lt;&gt;"",C279,""))</f>
        <v/>
      </c>
      <c r="G279" s="11">
        <f>IF(AND(E279&lt;&gt;"",F279&lt;&gt;""),E279-F279,"")</f>
        <v/>
      </c>
      <c r="H279" s="17">
        <f>IF(G279="","",IF(F279=0,"",G279/F279))</f>
        <v/>
      </c>
      <c r="I279" s="18">
        <f>IF(E279="","SIN COMPRA",IF(F279="","NUEVO",IF(AND(ABS(G279)&lt;0.015,ABS(G279)&lt;F279*0.005),"IGUAL",IF(G279&gt;0,"SUBE","BAJA"))))</f>
        <v/>
      </c>
      <c r="J279" s="17">
        <f>IF(AND(C279&lt;&gt;"",D279&lt;&gt;""),IF(C279=0,"",D279/C279-1),"")</f>
        <v/>
      </c>
      <c r="K279" s="5" t="n"/>
    </row>
    <row r="280">
      <c r="A280" s="5" t="inlineStr">
        <is>
          <t>ROMERO ALVAREZ</t>
        </is>
      </c>
      <c r="B280" s="5" t="inlineStr">
        <is>
          <t>PRESA 100% IBERICA</t>
        </is>
      </c>
      <c r="C280" s="11" t="n">
        <v>25.2</v>
      </c>
      <c r="D280" s="11" t="n">
        <v>25.2</v>
      </c>
      <c r="E280" s="11" t="n">
        <v>25.2</v>
      </c>
      <c r="F280" s="11">
        <f>IF(D280&lt;&gt;"",D280,IF(C280&lt;&gt;"",C280,""))</f>
        <v/>
      </c>
      <c r="G280" s="11">
        <f>IF(AND(E280&lt;&gt;"",F280&lt;&gt;""),E280-F280,"")</f>
        <v/>
      </c>
      <c r="H280" s="17">
        <f>IF(G280="","",IF(F280=0,"",G280/F280))</f>
        <v/>
      </c>
      <c r="I280" s="18">
        <f>IF(E280="","SIN COMPRA",IF(F280="","NUEVO",IF(AND(ABS(G280)&lt;0.015,ABS(G280)&lt;F280*0.005),"IGUAL",IF(G280&gt;0,"SUBE","BAJA"))))</f>
        <v/>
      </c>
      <c r="J280" s="17">
        <f>IF(AND(C280&lt;&gt;"",D280&lt;&gt;""),IF(C280=0,"",D280/C280-1),"")</f>
        <v/>
      </c>
      <c r="K280" s="5" t="n"/>
    </row>
    <row r="281">
      <c r="A281" s="5" t="inlineStr">
        <is>
          <t>ROMERO ALVAREZ</t>
        </is>
      </c>
      <c r="B281" s="5" t="inlineStr">
        <is>
          <t>PRESA IBERICA</t>
        </is>
      </c>
      <c r="C281" s="11" t="n"/>
      <c r="D281" s="11" t="n">
        <v>25.2</v>
      </c>
      <c r="E281" s="11" t="n">
        <v>25.2</v>
      </c>
      <c r="F281" s="11">
        <f>IF(D281&lt;&gt;"",D281,IF(C281&lt;&gt;"",C281,""))</f>
        <v/>
      </c>
      <c r="G281" s="11">
        <f>IF(AND(E281&lt;&gt;"",F281&lt;&gt;""),E281-F281,"")</f>
        <v/>
      </c>
      <c r="H281" s="17">
        <f>IF(G281="","",IF(F281=0,"",G281/F281))</f>
        <v/>
      </c>
      <c r="I281" s="18">
        <f>IF(E281="","SIN COMPRA",IF(F281="","NUEVO",IF(AND(ABS(G281)&lt;0.015,ABS(G281)&lt;F281*0.005),"IGUAL",IF(G281&gt;0,"SUBE","BAJA"))))</f>
        <v/>
      </c>
      <c r="J281" s="17">
        <f>IF(AND(C281&lt;&gt;"",D281&lt;&gt;""),IF(C281=0,"",D281/C281-1),"")</f>
        <v/>
      </c>
      <c r="K281" s="5" t="n"/>
    </row>
    <row r="282">
      <c r="A282" s="5" t="inlineStr">
        <is>
          <t>SENSORVISION</t>
        </is>
      </c>
      <c r="B282" s="5" t="inlineStr">
        <is>
          <t>CAJA PAPEL TERMICO 80X80</t>
        </is>
      </c>
      <c r="C282" s="11" t="n"/>
      <c r="D282" s="11" t="n"/>
      <c r="E282" s="11" t="n">
        <v>49</v>
      </c>
      <c r="F282" s="11">
        <f>IF(D282&lt;&gt;"",D282,IF(C282&lt;&gt;"",C282,""))</f>
        <v/>
      </c>
      <c r="G282" s="11">
        <f>IF(AND(E282&lt;&gt;"",F282&lt;&gt;""),E282-F282,"")</f>
        <v/>
      </c>
      <c r="H282" s="17">
        <f>IF(G282="","",IF(F282=0,"",G282/F282))</f>
        <v/>
      </c>
      <c r="I282" s="18">
        <f>IF(E282="","SIN COMPRA",IF(F282="","NUEVO",IF(AND(ABS(G282)&lt;0.015,ABS(G282)&lt;F282*0.005),"IGUAL",IF(G282&gt;0,"SUBE","BAJA"))))</f>
        <v/>
      </c>
      <c r="J282" s="17">
        <f>IF(AND(C282&lt;&gt;"",D282&lt;&gt;""),IF(C282=0,"",D282/C282-1),"")</f>
        <v/>
      </c>
      <c r="K282" s="5" t="n"/>
    </row>
    <row r="283">
      <c r="A283" s="5" t="inlineStr">
        <is>
          <t>SUBMARINER</t>
        </is>
      </c>
      <c r="B283" s="5" t="inlineStr">
        <is>
          <t>ABSOLUT 0,70L</t>
        </is>
      </c>
      <c r="C283" s="11" t="n">
        <v>11.38</v>
      </c>
      <c r="D283" s="11" t="n">
        <v>11.38</v>
      </c>
      <c r="E283" s="11" t="n">
        <v>11.38</v>
      </c>
      <c r="F283" s="11">
        <f>IF(D283&lt;&gt;"",D283,IF(C283&lt;&gt;"",C283,""))</f>
        <v/>
      </c>
      <c r="G283" s="11">
        <f>IF(AND(E283&lt;&gt;"",F283&lt;&gt;""),E283-F283,"")</f>
        <v/>
      </c>
      <c r="H283" s="17">
        <f>IF(G283="","",IF(F283=0,"",G283/F283))</f>
        <v/>
      </c>
      <c r="I283" s="18">
        <f>IF(E283="","SIN COMPRA",IF(F283="","NUEVO",IF(AND(ABS(G283)&lt;0.015,ABS(G283)&lt;F283*0.005),"IGUAL",IF(G283&gt;0,"SUBE","BAJA"))))</f>
        <v/>
      </c>
      <c r="J283" s="17">
        <f>IF(AND(C283&lt;&gt;"",D283&lt;&gt;""),IF(C283=0,"",D283/C283-1),"")</f>
        <v/>
      </c>
      <c r="K283" s="5" t="inlineStr">
        <is>
          <t>Precio neto: tarifa 11,85 € con 4 % de dto</t>
        </is>
      </c>
    </row>
    <row r="284">
      <c r="A284" s="5" t="inlineStr">
        <is>
          <t>SUBMARINER</t>
        </is>
      </c>
      <c r="B284" s="5" t="inlineStr">
        <is>
          <t>AGT 3L MOS DE PAS</t>
        </is>
      </c>
      <c r="C284" s="11" t="n">
        <v>19.18</v>
      </c>
      <c r="D284" s="11" t="n"/>
      <c r="E284" s="11" t="n">
        <v>19.18</v>
      </c>
      <c r="F284" s="11">
        <f>IF(D284&lt;&gt;"",D284,IF(C284&lt;&gt;"",C284,""))</f>
        <v/>
      </c>
      <c r="G284" s="11">
        <f>IF(AND(E284&lt;&gt;"",F284&lt;&gt;""),E284-F284,"")</f>
        <v/>
      </c>
      <c r="H284" s="17">
        <f>IF(G284="","",IF(F284=0,"",G284/F284))</f>
        <v/>
      </c>
      <c r="I284" s="18">
        <f>IF(E284="","SIN COMPRA",IF(F284="","NUEVO",IF(AND(ABS(G284)&lt;0.015,ABS(G284)&lt;F284*0.005),"IGUAL",IF(G284&gt;0,"SUBE","BAJA"))))</f>
        <v/>
      </c>
      <c r="J284" s="17">
        <f>IF(AND(C284&lt;&gt;"",D284&lt;&gt;""),IF(C284=0,"",D284/C284-1),"")</f>
        <v/>
      </c>
      <c r="K284" s="5" t="inlineStr">
        <is>
          <t>Precio neto: tarifa 19,98 € con 4 % de dto</t>
        </is>
      </c>
    </row>
    <row r="285">
      <c r="A285" s="5" t="inlineStr">
        <is>
          <t>SUBMARINER</t>
        </is>
      </c>
      <c r="B285" s="5" t="inlineStr">
        <is>
          <t>APEROL LITRO</t>
        </is>
      </c>
      <c r="C285" s="11" t="n">
        <v>10.72</v>
      </c>
      <c r="D285" s="11" t="n">
        <v>10.72</v>
      </c>
      <c r="E285" s="11" t="n">
        <v>10.72</v>
      </c>
      <c r="F285" s="11">
        <f>IF(D285&lt;&gt;"",D285,IF(C285&lt;&gt;"",C285,""))</f>
        <v/>
      </c>
      <c r="G285" s="11">
        <f>IF(AND(E285&lt;&gt;"",F285&lt;&gt;""),E285-F285,"")</f>
        <v/>
      </c>
      <c r="H285" s="17">
        <f>IF(G285="","",IF(F285=0,"",G285/F285))</f>
        <v/>
      </c>
      <c r="I285" s="18">
        <f>IF(E285="","SIN COMPRA",IF(F285="","NUEVO",IF(AND(ABS(G285)&lt;0.015,ABS(G285)&lt;F285*0.005),"IGUAL",IF(G285&gt;0,"SUBE","BAJA"))))</f>
        <v/>
      </c>
      <c r="J285" s="17">
        <f>IF(AND(C285&lt;&gt;"",D285&lt;&gt;""),IF(C285=0,"",D285/C285-1),"")</f>
        <v/>
      </c>
      <c r="K285" s="5" t="inlineStr">
        <is>
          <t>Precio neto: tarifa 11,17 € con 4 % de dto</t>
        </is>
      </c>
    </row>
    <row r="286">
      <c r="A286" s="5" t="inlineStr">
        <is>
          <t>SUBMARINER</t>
        </is>
      </c>
      <c r="B286" s="5" t="inlineStr">
        <is>
          <t>BACARDI 1L NR</t>
        </is>
      </c>
      <c r="C286" s="11" t="n"/>
      <c r="D286" s="11" t="n"/>
      <c r="E286" s="11" t="n">
        <v>13.14</v>
      </c>
      <c r="F286" s="11">
        <f>IF(D286&lt;&gt;"",D286,IF(C286&lt;&gt;"",C286,""))</f>
        <v/>
      </c>
      <c r="G286" s="11">
        <f>IF(AND(E286&lt;&gt;"",F286&lt;&gt;""),E286-F286,"")</f>
        <v/>
      </c>
      <c r="H286" s="17">
        <f>IF(G286="","",IF(F286=0,"",G286/F286))</f>
        <v/>
      </c>
      <c r="I286" s="18">
        <f>IF(E286="","SIN COMPRA",IF(F286="","NUEVO",IF(AND(ABS(G286)&lt;0.015,ABS(G286)&lt;F286*0.005),"IGUAL",IF(G286&gt;0,"SUBE","BAJA"))))</f>
        <v/>
      </c>
      <c r="J286" s="17">
        <f>IF(AND(C286&lt;&gt;"",D286&lt;&gt;""),IF(C286=0,"",D286/C286-1),"")</f>
        <v/>
      </c>
      <c r="K286" s="5" t="inlineStr">
        <is>
          <t>Precio neto: tarifa 13,69 € con 4 % de dto</t>
        </is>
      </c>
    </row>
    <row r="287">
      <c r="A287" s="5" t="inlineStr">
        <is>
          <t>SUBMARINER</t>
        </is>
      </c>
      <c r="B287" s="5" t="inlineStr">
        <is>
          <t>BALLANTINES 0,70L NR</t>
        </is>
      </c>
      <c r="C287" s="11" t="n">
        <v>11.09</v>
      </c>
      <c r="D287" s="11" t="n"/>
      <c r="E287" s="11" t="n"/>
      <c r="F287" s="11">
        <f>IF(D287&lt;&gt;"",D287,IF(C287&lt;&gt;"",C287,""))</f>
        <v/>
      </c>
      <c r="G287" s="11">
        <f>IF(AND(E287&lt;&gt;"",F287&lt;&gt;""),E287-F287,"")</f>
        <v/>
      </c>
      <c r="H287" s="17">
        <f>IF(G287="","",IF(F287=0,"",G287/F287))</f>
        <v/>
      </c>
      <c r="I287" s="18">
        <f>IF(E287="","SIN COMPRA",IF(F287="","NUEVO",IF(AND(ABS(G287)&lt;0.015,ABS(G287)&lt;F287*0.005),"IGUAL",IF(G287&gt;0,"SUBE","BAJA"))))</f>
        <v/>
      </c>
      <c r="J287" s="17">
        <f>IF(AND(C287&lt;&gt;"",D287&lt;&gt;""),IF(C287=0,"",D287/C287-1),"")</f>
        <v/>
      </c>
      <c r="K287" s="5" t="n"/>
    </row>
    <row r="288">
      <c r="A288" s="5" t="inlineStr">
        <is>
          <t>SUBMARINER</t>
        </is>
      </c>
      <c r="B288" s="5" t="inlineStr">
        <is>
          <t>BEEFEATER 0,70L NR</t>
        </is>
      </c>
      <c r="C288" s="11" t="n">
        <v>11.81</v>
      </c>
      <c r="D288" s="11" t="n"/>
      <c r="E288" s="11" t="n">
        <v>11.81</v>
      </c>
      <c r="F288" s="11">
        <f>IF(D288&lt;&gt;"",D288,IF(C288&lt;&gt;"",C288,""))</f>
        <v/>
      </c>
      <c r="G288" s="11">
        <f>IF(AND(E288&lt;&gt;"",F288&lt;&gt;""),E288-F288,"")</f>
        <v/>
      </c>
      <c r="H288" s="17">
        <f>IF(G288="","",IF(F288=0,"",G288/F288))</f>
        <v/>
      </c>
      <c r="I288" s="18">
        <f>IF(E288="","SIN COMPRA",IF(F288="","NUEVO",IF(AND(ABS(G288)&lt;0.015,ABS(G288)&lt;F288*0.005),"IGUAL",IF(G288&gt;0,"SUBE","BAJA"))))</f>
        <v/>
      </c>
      <c r="J288" s="17">
        <f>IF(AND(C288&lt;&gt;"",D288&lt;&gt;""),IF(C288=0,"",D288/C288-1),"")</f>
        <v/>
      </c>
      <c r="K288" s="5" t="inlineStr">
        <is>
          <t>Precio neto: tarifa 12,30 € con 4 % de dto</t>
        </is>
      </c>
    </row>
    <row r="289">
      <c r="A289" s="5" t="inlineStr">
        <is>
          <t>SUBMARINER</t>
        </is>
      </c>
      <c r="B289" s="5" t="inlineStr">
        <is>
          <t>BOMBAY SAPHIRE 0,70</t>
        </is>
      </c>
      <c r="C289" s="11" t="n">
        <v>13.63</v>
      </c>
      <c r="D289" s="11" t="n"/>
      <c r="E289" s="11" t="n">
        <v>13.63</v>
      </c>
      <c r="F289" s="11">
        <f>IF(D289&lt;&gt;"",D289,IF(C289&lt;&gt;"",C289,""))</f>
        <v/>
      </c>
      <c r="G289" s="11">
        <f>IF(AND(E289&lt;&gt;"",F289&lt;&gt;""),E289-F289,"")</f>
        <v/>
      </c>
      <c r="H289" s="17">
        <f>IF(G289="","",IF(F289=0,"",G289/F289))</f>
        <v/>
      </c>
      <c r="I289" s="18">
        <f>IF(E289="","SIN COMPRA",IF(F289="","NUEVO",IF(AND(ABS(G289)&lt;0.015,ABS(G289)&lt;F289*0.005),"IGUAL",IF(G289&gt;0,"SUBE","BAJA"))))</f>
        <v/>
      </c>
      <c r="J289" s="17">
        <f>IF(AND(C289&lt;&gt;"",D289&lt;&gt;""),IF(C289=0,"",D289/C289-1),"")</f>
        <v/>
      </c>
      <c r="K289" s="5" t="inlineStr">
        <is>
          <t>Precio neto: tarifa 14,20 € con 4 % de dto</t>
        </is>
      </c>
    </row>
    <row r="290">
      <c r="A290" s="5" t="inlineStr">
        <is>
          <t>SUBMARINER</t>
        </is>
      </c>
      <c r="B290" s="5" t="inlineStr">
        <is>
          <t>BRUGAL 0,70L NR</t>
        </is>
      </c>
      <c r="C290" s="11" t="n">
        <v>11.19</v>
      </c>
      <c r="D290" s="11" t="n"/>
      <c r="E290" s="11" t="n"/>
      <c r="F290" s="11">
        <f>IF(D290&lt;&gt;"",D290,IF(C290&lt;&gt;"",C290,""))</f>
        <v/>
      </c>
      <c r="G290" s="11">
        <f>IF(AND(E290&lt;&gt;"",F290&lt;&gt;""),E290-F290,"")</f>
        <v/>
      </c>
      <c r="H290" s="17">
        <f>IF(G290="","",IF(F290=0,"",G290/F290))</f>
        <v/>
      </c>
      <c r="I290" s="18">
        <f>IF(E290="","SIN COMPRA",IF(F290="","NUEVO",IF(AND(ABS(G290)&lt;0.015,ABS(G290)&lt;F290*0.005),"IGUAL",IF(G290&gt;0,"SUBE","BAJA"))))</f>
        <v/>
      </c>
      <c r="J290" s="17">
        <f>IF(AND(C290&lt;&gt;"",D290&lt;&gt;""),IF(C290=0,"",D290/C290-1),"")</f>
        <v/>
      </c>
      <c r="K290" s="5" t="n"/>
    </row>
    <row r="291">
      <c r="A291" s="5" t="inlineStr">
        <is>
          <t>SUBMARINER</t>
        </is>
      </c>
      <c r="B291" s="5" t="inlineStr">
        <is>
          <t>BULLEIT BOURBON 0,70</t>
        </is>
      </c>
      <c r="C291" s="11" t="n">
        <v>19.13</v>
      </c>
      <c r="D291" s="11" t="n"/>
      <c r="E291" s="11" t="n"/>
      <c r="F291" s="11">
        <f>IF(D291&lt;&gt;"",D291,IF(C291&lt;&gt;"",C291,""))</f>
        <v/>
      </c>
      <c r="G291" s="11">
        <f>IF(AND(E291&lt;&gt;"",F291&lt;&gt;""),E291-F291,"")</f>
        <v/>
      </c>
      <c r="H291" s="17">
        <f>IF(G291="","",IF(F291=0,"",G291/F291))</f>
        <v/>
      </c>
      <c r="I291" s="18">
        <f>IF(E291="","SIN COMPRA",IF(F291="","NUEVO",IF(AND(ABS(G291)&lt;0.015,ABS(G291)&lt;F291*0.005),"IGUAL",IF(G291&gt;0,"SUBE","BAJA"))))</f>
        <v/>
      </c>
      <c r="J291" s="17">
        <f>IF(AND(C291&lt;&gt;"",D291&lt;&gt;""),IF(C291=0,"",D291/C291-1),"")</f>
        <v/>
      </c>
      <c r="K291" s="5" t="n"/>
    </row>
    <row r="292">
      <c r="A292" s="5" t="inlineStr">
        <is>
          <t>SUBMARINER</t>
        </is>
      </c>
      <c r="B292" s="5" t="inlineStr">
        <is>
          <t>CAMPARI 1L</t>
        </is>
      </c>
      <c r="C292" s="11" t="n"/>
      <c r="D292" s="11" t="n"/>
      <c r="E292" s="11" t="n">
        <v>14.02</v>
      </c>
      <c r="F292" s="11">
        <f>IF(D292&lt;&gt;"",D292,IF(C292&lt;&gt;"",C292,""))</f>
        <v/>
      </c>
      <c r="G292" s="11">
        <f>IF(AND(E292&lt;&gt;"",F292&lt;&gt;""),E292-F292,"")</f>
        <v/>
      </c>
      <c r="H292" s="17">
        <f>IF(G292="","",IF(F292=0,"",G292/F292))</f>
        <v/>
      </c>
      <c r="I292" s="18">
        <f>IF(E292="","SIN COMPRA",IF(F292="","NUEVO",IF(AND(ABS(G292)&lt;0.015,ABS(G292)&lt;F292*0.005),"IGUAL",IF(G292&gt;0,"SUBE","BAJA"))))</f>
        <v/>
      </c>
      <c r="J292" s="17">
        <f>IF(AND(C292&lt;&gt;"",D292&lt;&gt;""),IF(C292=0,"",D292/C292-1),"")</f>
        <v/>
      </c>
      <c r="K292" s="5" t="inlineStr">
        <is>
          <t>Precio neto: tarifa 14,60 € con 4 % de dto</t>
        </is>
      </c>
    </row>
    <row r="293">
      <c r="A293" s="5" t="inlineStr">
        <is>
          <t>SUBMARINER</t>
        </is>
      </c>
      <c r="B293" s="5" t="inlineStr">
        <is>
          <t>CHIVAS 12 AÑOS 0,7L NR</t>
        </is>
      </c>
      <c r="C293" s="11" t="n">
        <v>22.11</v>
      </c>
      <c r="D293" s="11" t="n"/>
      <c r="E293" s="11" t="n"/>
      <c r="F293" s="11">
        <f>IF(D293&lt;&gt;"",D293,IF(C293&lt;&gt;"",C293,""))</f>
        <v/>
      </c>
      <c r="G293" s="11">
        <f>IF(AND(E293&lt;&gt;"",F293&lt;&gt;""),E293-F293,"")</f>
        <v/>
      </c>
      <c r="H293" s="17">
        <f>IF(G293="","",IF(F293=0,"",G293/F293))</f>
        <v/>
      </c>
      <c r="I293" s="18">
        <f>IF(E293="","SIN COMPRA",IF(F293="","NUEVO",IF(AND(ABS(G293)&lt;0.015,ABS(G293)&lt;F293*0.005),"IGUAL",IF(G293&gt;0,"SUBE","BAJA"))))</f>
        <v/>
      </c>
      <c r="J293" s="17">
        <f>IF(AND(C293&lt;&gt;"",D293&lt;&gt;""),IF(C293=0,"",D293/C293-1),"")</f>
        <v/>
      </c>
      <c r="K293" s="5" t="n"/>
    </row>
    <row r="294">
      <c r="A294" s="5" t="inlineStr">
        <is>
          <t>SUBMARINER</t>
        </is>
      </c>
      <c r="B294" s="5" t="inlineStr">
        <is>
          <t>CINZANO PROSECCO SPRITZ</t>
        </is>
      </c>
      <c r="C294" s="11" t="n">
        <v>4.83</v>
      </c>
      <c r="D294" s="11" t="n"/>
      <c r="E294" s="11" t="n">
        <v>4.83</v>
      </c>
      <c r="F294" s="11">
        <f>IF(D294&lt;&gt;"",D294,IF(C294&lt;&gt;"",C294,""))</f>
        <v/>
      </c>
      <c r="G294" s="11">
        <f>IF(AND(E294&lt;&gt;"",F294&lt;&gt;""),E294-F294,"")</f>
        <v/>
      </c>
      <c r="H294" s="17">
        <f>IF(G294="","",IF(F294=0,"",G294/F294))</f>
        <v/>
      </c>
      <c r="I294" s="18">
        <f>IF(E294="","SIN COMPRA",IF(F294="","NUEVO",IF(AND(ABS(G294)&lt;0.015,ABS(G294)&lt;F294*0.005),"IGUAL",IF(G294&gt;0,"SUBE","BAJA"))))</f>
        <v/>
      </c>
      <c r="J294" s="17">
        <f>IF(AND(C294&lt;&gt;"",D294&lt;&gt;""),IF(C294=0,"",D294/C294-1),"")</f>
        <v/>
      </c>
      <c r="K294" s="5" t="inlineStr">
        <is>
          <t>Precio neto: tarifa 5,03 € con 4 % de dto</t>
        </is>
      </c>
    </row>
    <row r="295">
      <c r="A295" s="5" t="inlineStr">
        <is>
          <t>SUBMARINER</t>
        </is>
      </c>
      <c r="B295" s="5" t="inlineStr">
        <is>
          <t>CREMA ORUJO 3L MOS DE PAS</t>
        </is>
      </c>
      <c r="C295" s="11" t="n">
        <v>14.98</v>
      </c>
      <c r="D295" s="11" t="n">
        <v>14.98</v>
      </c>
      <c r="E295" s="11" t="n">
        <v>14.98</v>
      </c>
      <c r="F295" s="11">
        <f>IF(D295&lt;&gt;"",D295,IF(C295&lt;&gt;"",C295,""))</f>
        <v/>
      </c>
      <c r="G295" s="11">
        <f>IF(AND(E295&lt;&gt;"",F295&lt;&gt;""),E295-F295,"")</f>
        <v/>
      </c>
      <c r="H295" s="17">
        <f>IF(G295="","",IF(F295=0,"",G295/F295))</f>
        <v/>
      </c>
      <c r="I295" s="18">
        <f>IF(E295="","SIN COMPRA",IF(F295="","NUEVO",IF(AND(ABS(G295)&lt;0.015,ABS(G295)&lt;F295*0.005),"IGUAL",IF(G295&gt;0,"SUBE","BAJA"))))</f>
        <v/>
      </c>
      <c r="J295" s="17">
        <f>IF(AND(C295&lt;&gt;"",D295&lt;&gt;""),IF(C295=0,"",D295/C295-1),"")</f>
        <v/>
      </c>
      <c r="K295" s="5" t="inlineStr">
        <is>
          <t>Precio neto: tarifa 15,60 € con 4 % de dto</t>
        </is>
      </c>
    </row>
    <row r="296">
      <c r="A296" s="5" t="inlineStr">
        <is>
          <t>SUBMARINER</t>
        </is>
      </c>
      <c r="B296" s="5" t="inlineStr">
        <is>
          <t>DYC 1L</t>
        </is>
      </c>
      <c r="C296" s="11" t="n">
        <v>10.68</v>
      </c>
      <c r="D296" s="11" t="n"/>
      <c r="E296" s="11" t="n"/>
      <c r="F296" s="11">
        <f>IF(D296&lt;&gt;"",D296,IF(C296&lt;&gt;"",C296,""))</f>
        <v/>
      </c>
      <c r="G296" s="11">
        <f>IF(AND(E296&lt;&gt;"",F296&lt;&gt;""),E296-F296,"")</f>
        <v/>
      </c>
      <c r="H296" s="17">
        <f>IF(G296="","",IF(F296=0,"",G296/F296))</f>
        <v/>
      </c>
      <c r="I296" s="18">
        <f>IF(E296="","SIN COMPRA",IF(F296="","NUEVO",IF(AND(ABS(G296)&lt;0.015,ABS(G296)&lt;F296*0.005),"IGUAL",IF(G296&gt;0,"SUBE","BAJA"))))</f>
        <v/>
      </c>
      <c r="J296" s="17">
        <f>IF(AND(C296&lt;&gt;"",D296&lt;&gt;""),IF(C296=0,"",D296/C296-1),"")</f>
        <v/>
      </c>
      <c r="K296" s="5" t="n"/>
    </row>
    <row r="297">
      <c r="A297" s="5" t="inlineStr">
        <is>
          <t>SUBMARINER</t>
        </is>
      </c>
      <c r="B297" s="5" t="inlineStr">
        <is>
          <t>FERNET BRANCA 0,70L</t>
        </is>
      </c>
      <c r="C297" s="11" t="n"/>
      <c r="D297" s="11" t="n"/>
      <c r="E297" s="11" t="n">
        <v>14.05</v>
      </c>
      <c r="F297" s="11">
        <f>IF(D297&lt;&gt;"",D297,IF(C297&lt;&gt;"",C297,""))</f>
        <v/>
      </c>
      <c r="G297" s="11">
        <f>IF(AND(E297&lt;&gt;"",F297&lt;&gt;""),E297-F297,"")</f>
        <v/>
      </c>
      <c r="H297" s="17">
        <f>IF(G297="","",IF(F297=0,"",G297/F297))</f>
        <v/>
      </c>
      <c r="I297" s="18">
        <f>IF(E297="","SIN COMPRA",IF(F297="","NUEVO",IF(AND(ABS(G297)&lt;0.015,ABS(G297)&lt;F297*0.005),"IGUAL",IF(G297&gt;0,"SUBE","BAJA"))))</f>
        <v/>
      </c>
      <c r="J297" s="17">
        <f>IF(AND(C297&lt;&gt;"",D297&lt;&gt;""),IF(C297=0,"",D297/C297-1),"")</f>
        <v/>
      </c>
      <c r="K297" s="5" t="inlineStr">
        <is>
          <t>Precio neto: tarifa 14,64 € con 4 % de dto</t>
        </is>
      </c>
    </row>
    <row r="298">
      <c r="A298" s="5" t="inlineStr">
        <is>
          <t>SUBMARINER</t>
        </is>
      </c>
      <c r="B298" s="5" t="inlineStr">
        <is>
          <t>FIREBALL 0.70</t>
        </is>
      </c>
      <c r="C298" s="11" t="n"/>
      <c r="D298" s="11" t="n"/>
      <c r="E298" s="11" t="n">
        <v>10.39</v>
      </c>
      <c r="F298" s="11">
        <f>IF(D298&lt;&gt;"",D298,IF(C298&lt;&gt;"",C298,""))</f>
        <v/>
      </c>
      <c r="G298" s="11">
        <f>IF(AND(E298&lt;&gt;"",F298&lt;&gt;""),E298-F298,"")</f>
        <v/>
      </c>
      <c r="H298" s="17">
        <f>IF(G298="","",IF(F298=0,"",G298/F298))</f>
        <v/>
      </c>
      <c r="I298" s="18">
        <f>IF(E298="","SIN COMPRA",IF(F298="","NUEVO",IF(AND(ABS(G298)&lt;0.015,ABS(G298)&lt;F298*0.005),"IGUAL",IF(G298&gt;0,"SUBE","BAJA"))))</f>
        <v/>
      </c>
      <c r="J298" s="17">
        <f>IF(AND(C298&lt;&gt;"",D298&lt;&gt;""),IF(C298=0,"",D298/C298-1),"")</f>
        <v/>
      </c>
      <c r="K298" s="5" t="inlineStr">
        <is>
          <t>Precio neto: tarifa 10,82 € con 4 % de dto</t>
        </is>
      </c>
    </row>
    <row r="299">
      <c r="A299" s="5" t="inlineStr">
        <is>
          <t>SUBMARINER</t>
        </is>
      </c>
      <c r="B299" s="5" t="inlineStr">
        <is>
          <t>GIN MARTIN MILLERS 0,70L</t>
        </is>
      </c>
      <c r="C299" s="11" t="n"/>
      <c r="D299" s="11" t="n"/>
      <c r="E299" s="11" t="n">
        <v>17.91</v>
      </c>
      <c r="F299" s="11">
        <f>IF(D299&lt;&gt;"",D299,IF(C299&lt;&gt;"",C299,""))</f>
        <v/>
      </c>
      <c r="G299" s="11">
        <f>IF(AND(E299&lt;&gt;"",F299&lt;&gt;""),E299-F299,"")</f>
        <v/>
      </c>
      <c r="H299" s="17">
        <f>IF(G299="","",IF(F299=0,"",G299/F299))</f>
        <v/>
      </c>
      <c r="I299" s="18">
        <f>IF(E299="","SIN COMPRA",IF(F299="","NUEVO",IF(AND(ABS(G299)&lt;0.015,ABS(G299)&lt;F299*0.005),"IGUAL",IF(G299&gt;0,"SUBE","BAJA"))))</f>
        <v/>
      </c>
      <c r="J299" s="17">
        <f>IF(AND(C299&lt;&gt;"",D299&lt;&gt;""),IF(C299=0,"",D299/C299-1),"")</f>
        <v/>
      </c>
      <c r="K299" s="5" t="inlineStr">
        <is>
          <t>Precio neto: tarifa 18,66 € con 4 % de dto</t>
        </is>
      </c>
    </row>
    <row r="300">
      <c r="A300" s="5" t="inlineStr">
        <is>
          <t>SUBMARINER</t>
        </is>
      </c>
      <c r="B300" s="5" t="inlineStr">
        <is>
          <t>GIN NORDÉS 0,70L</t>
        </is>
      </c>
      <c r="C300" s="11" t="n">
        <v>19.1</v>
      </c>
      <c r="D300" s="11" t="n">
        <v>19.1</v>
      </c>
      <c r="E300" s="11" t="n">
        <v>19.1</v>
      </c>
      <c r="F300" s="11">
        <f>IF(D300&lt;&gt;"",D300,IF(C300&lt;&gt;"",C300,""))</f>
        <v/>
      </c>
      <c r="G300" s="11">
        <f>IF(AND(E300&lt;&gt;"",F300&lt;&gt;""),E300-F300,"")</f>
        <v/>
      </c>
      <c r="H300" s="17">
        <f>IF(G300="","",IF(F300=0,"",G300/F300))</f>
        <v/>
      </c>
      <c r="I300" s="18">
        <f>IF(E300="","SIN COMPRA",IF(F300="","NUEVO",IF(AND(ABS(G300)&lt;0.015,ABS(G300)&lt;F300*0.005),"IGUAL",IF(G300&gt;0,"SUBE","BAJA"))))</f>
        <v/>
      </c>
      <c r="J300" s="17">
        <f>IF(AND(C300&lt;&gt;"",D300&lt;&gt;""),IF(C300=0,"",D300/C300-1),"")</f>
        <v/>
      </c>
      <c r="K300" s="5" t="inlineStr">
        <is>
          <t>Precio neto: tarifa 19,90 € con 4 % de dto</t>
        </is>
      </c>
    </row>
    <row r="301">
      <c r="A301" s="5" t="inlineStr">
        <is>
          <t>SUBMARINER</t>
        </is>
      </c>
      <c r="B301" s="5" t="inlineStr">
        <is>
          <t>GIN PUERTO INDIAS FRESA 0,70</t>
        </is>
      </c>
      <c r="C301" s="11" t="n">
        <v>13.18</v>
      </c>
      <c r="D301" s="11" t="n"/>
      <c r="E301" s="11" t="n"/>
      <c r="F301" s="11">
        <f>IF(D301&lt;&gt;"",D301,IF(C301&lt;&gt;"",C301,""))</f>
        <v/>
      </c>
      <c r="G301" s="11">
        <f>IF(AND(E301&lt;&gt;"",F301&lt;&gt;""),E301-F301,"")</f>
        <v/>
      </c>
      <c r="H301" s="17">
        <f>IF(G301="","",IF(F301=0,"",G301/F301))</f>
        <v/>
      </c>
      <c r="I301" s="18">
        <f>IF(E301="","SIN COMPRA",IF(F301="","NUEVO",IF(AND(ABS(G301)&lt;0.015,ABS(G301)&lt;F301*0.005),"IGUAL",IF(G301&gt;0,"SUBE","BAJA"))))</f>
        <v/>
      </c>
      <c r="J301" s="17">
        <f>IF(AND(C301&lt;&gt;"",D301&lt;&gt;""),IF(C301=0,"",D301/C301-1),"")</f>
        <v/>
      </c>
      <c r="K301" s="5" t="n"/>
    </row>
    <row r="302">
      <c r="A302" s="5" t="inlineStr">
        <is>
          <t>SUBMARINER</t>
        </is>
      </c>
      <c r="B302" s="5" t="inlineStr">
        <is>
          <t>GREY GOOSE VODKA 0,70L NR</t>
        </is>
      </c>
      <c r="C302" s="11" t="n"/>
      <c r="D302" s="11" t="n">
        <v>35.95</v>
      </c>
      <c r="E302" s="11" t="n"/>
      <c r="F302" s="11">
        <f>IF(D302&lt;&gt;"",D302,IF(C302&lt;&gt;"",C302,""))</f>
        <v/>
      </c>
      <c r="G302" s="11">
        <f>IF(AND(E302&lt;&gt;"",F302&lt;&gt;""),E302-F302,"")</f>
        <v/>
      </c>
      <c r="H302" s="17">
        <f>IF(G302="","",IF(F302=0,"",G302/F302))</f>
        <v/>
      </c>
      <c r="I302" s="18">
        <f>IF(E302="","SIN COMPRA",IF(F302="","NUEVO",IF(AND(ABS(G302)&lt;0.015,ABS(G302)&lt;F302*0.005),"IGUAL",IF(G302&gt;0,"SUBE","BAJA"))))</f>
        <v/>
      </c>
      <c r="J302" s="17">
        <f>IF(AND(C302&lt;&gt;"",D302&lt;&gt;""),IF(C302=0,"",D302/C302-1),"")</f>
        <v/>
      </c>
      <c r="K302" s="5" t="n"/>
    </row>
    <row r="303">
      <c r="A303" s="5" t="inlineStr">
        <is>
          <t>SUBMARINER</t>
        </is>
      </c>
      <c r="B303" s="5" t="inlineStr">
        <is>
          <t>HAVANA 7 AÑOS NR</t>
        </is>
      </c>
      <c r="C303" s="11" t="n">
        <v>18.06</v>
      </c>
      <c r="D303" s="11" t="n"/>
      <c r="E303" s="11" t="n"/>
      <c r="F303" s="11">
        <f>IF(D303&lt;&gt;"",D303,IF(C303&lt;&gt;"",C303,""))</f>
        <v/>
      </c>
      <c r="G303" s="11">
        <f>IF(AND(E303&lt;&gt;"",F303&lt;&gt;""),E303-F303,"")</f>
        <v/>
      </c>
      <c r="H303" s="17">
        <f>IF(G303="","",IF(F303=0,"",G303/F303))</f>
        <v/>
      </c>
      <c r="I303" s="18">
        <f>IF(E303="","SIN COMPRA",IF(F303="","NUEVO",IF(AND(ABS(G303)&lt;0.015,ABS(G303)&lt;F303*0.005),"IGUAL",IF(G303&gt;0,"SUBE","BAJA"))))</f>
        <v/>
      </c>
      <c r="J303" s="17">
        <f>IF(AND(C303&lt;&gt;"",D303&lt;&gt;""),IF(C303=0,"",D303/C303-1),"")</f>
        <v/>
      </c>
      <c r="K303" s="5" t="n"/>
    </row>
    <row r="304">
      <c r="A304" s="5" t="inlineStr">
        <is>
          <t>SUBMARINER</t>
        </is>
      </c>
      <c r="B304" s="5" t="inlineStr">
        <is>
          <t>HENDRICKS 0,70L</t>
        </is>
      </c>
      <c r="C304" s="11" t="n"/>
      <c r="D304" s="11" t="n">
        <v>23.12</v>
      </c>
      <c r="E304" s="11" t="n"/>
      <c r="F304" s="11">
        <f>IF(D304&lt;&gt;"",D304,IF(C304&lt;&gt;"",C304,""))</f>
        <v/>
      </c>
      <c r="G304" s="11">
        <f>IF(AND(E304&lt;&gt;"",F304&lt;&gt;""),E304-F304,"")</f>
        <v/>
      </c>
      <c r="H304" s="17">
        <f>IF(G304="","",IF(F304=0,"",G304/F304))</f>
        <v/>
      </c>
      <c r="I304" s="18">
        <f>IF(E304="","SIN COMPRA",IF(F304="","NUEVO",IF(AND(ABS(G304)&lt;0.015,ABS(G304)&lt;F304*0.005),"IGUAL",IF(G304&gt;0,"SUBE","BAJA"))))</f>
        <v/>
      </c>
      <c r="J304" s="17">
        <f>IF(AND(C304&lt;&gt;"",D304&lt;&gt;""),IF(C304=0,"",D304/C304-1),"")</f>
        <v/>
      </c>
      <c r="K304" s="5" t="n"/>
    </row>
    <row r="305">
      <c r="A305" s="5" t="inlineStr">
        <is>
          <t>SUBMARINER</t>
        </is>
      </c>
      <c r="B305" s="5" t="inlineStr">
        <is>
          <t>HIERBAS 3 LITROS BEREMOT</t>
        </is>
      </c>
      <c r="C305" s="11" t="n">
        <v>14.5</v>
      </c>
      <c r="D305" s="11" t="n"/>
      <c r="E305" s="11" t="n"/>
      <c r="F305" s="11">
        <f>IF(D305&lt;&gt;"",D305,IF(C305&lt;&gt;"",C305,""))</f>
        <v/>
      </c>
      <c r="G305" s="11">
        <f>IF(AND(E305&lt;&gt;"",F305&lt;&gt;""),E305-F305,"")</f>
        <v/>
      </c>
      <c r="H305" s="17">
        <f>IF(G305="","",IF(F305=0,"",G305/F305))</f>
        <v/>
      </c>
      <c r="I305" s="18">
        <f>IF(E305="","SIN COMPRA",IF(F305="","NUEVO",IF(AND(ABS(G305)&lt;0.015,ABS(G305)&lt;F305*0.005),"IGUAL",IF(G305&gt;0,"SUBE","BAJA"))))</f>
        <v/>
      </c>
      <c r="J305" s="17">
        <f>IF(AND(C305&lt;&gt;"",D305&lt;&gt;""),IF(C305=0,"",D305/C305-1),"")</f>
        <v/>
      </c>
      <c r="K305" s="5" t="n"/>
    </row>
    <row r="306">
      <c r="A306" s="5" t="inlineStr">
        <is>
          <t>SUBMARINER</t>
        </is>
      </c>
      <c r="B306" s="5" t="inlineStr">
        <is>
          <t>HIERBAS 3L MOS DE PAS</t>
        </is>
      </c>
      <c r="C306" s="11" t="n"/>
      <c r="D306" s="11" t="n">
        <v>14.5</v>
      </c>
      <c r="E306" s="11" t="n"/>
      <c r="F306" s="11">
        <f>IF(D306&lt;&gt;"",D306,IF(C306&lt;&gt;"",C306,""))</f>
        <v/>
      </c>
      <c r="G306" s="11">
        <f>IF(AND(E306&lt;&gt;"",F306&lt;&gt;""),E306-F306,"")</f>
        <v/>
      </c>
      <c r="H306" s="17">
        <f>IF(G306="","",IF(F306=0,"",G306/F306))</f>
        <v/>
      </c>
      <c r="I306" s="18">
        <f>IF(E306="","SIN COMPRA",IF(F306="","NUEVO",IF(AND(ABS(G306)&lt;0.015,ABS(G306)&lt;F306*0.005),"IGUAL",IF(G306&gt;0,"SUBE","BAJA"))))</f>
        <v/>
      </c>
      <c r="J306" s="17">
        <f>IF(AND(C306&lt;&gt;"",D306&lt;&gt;""),IF(C306=0,"",D306/C306-1),"")</f>
        <v/>
      </c>
      <c r="K306" s="5" t="n"/>
    </row>
    <row r="307">
      <c r="A307" s="5" t="inlineStr">
        <is>
          <t>SUBMARINER</t>
        </is>
      </c>
      <c r="B307" s="5" t="inlineStr">
        <is>
          <t>J. WALKER NEGRA 0,70L NR</t>
        </is>
      </c>
      <c r="C307" s="11" t="n">
        <v>21.42</v>
      </c>
      <c r="D307" s="11" t="n"/>
      <c r="E307" s="11" t="n"/>
      <c r="F307" s="11">
        <f>IF(D307&lt;&gt;"",D307,IF(C307&lt;&gt;"",C307,""))</f>
        <v/>
      </c>
      <c r="G307" s="11">
        <f>IF(AND(E307&lt;&gt;"",F307&lt;&gt;""),E307-F307,"")</f>
        <v/>
      </c>
      <c r="H307" s="17">
        <f>IF(G307="","",IF(F307=0,"",G307/F307))</f>
        <v/>
      </c>
      <c r="I307" s="18">
        <f>IF(E307="","SIN COMPRA",IF(F307="","NUEVO",IF(AND(ABS(G307)&lt;0.015,ABS(G307)&lt;F307*0.005),"IGUAL",IF(G307&gt;0,"SUBE","BAJA"))))</f>
        <v/>
      </c>
      <c r="J307" s="17">
        <f>IF(AND(C307&lt;&gt;"",D307&lt;&gt;""),IF(C307=0,"",D307/C307-1),"")</f>
        <v/>
      </c>
      <c r="K307" s="5" t="n"/>
    </row>
    <row r="308">
      <c r="A308" s="5" t="inlineStr">
        <is>
          <t>SUBMARINER</t>
        </is>
      </c>
      <c r="B308" s="5" t="inlineStr">
        <is>
          <t>J. WALKER RED 0,70L NR</t>
        </is>
      </c>
      <c r="C308" s="11" t="n">
        <v>11.48</v>
      </c>
      <c r="D308" s="11" t="n"/>
      <c r="E308" s="11" t="n"/>
      <c r="F308" s="11">
        <f>IF(D308&lt;&gt;"",D308,IF(C308&lt;&gt;"",C308,""))</f>
        <v/>
      </c>
      <c r="G308" s="11">
        <f>IF(AND(E308&lt;&gt;"",F308&lt;&gt;""),E308-F308,"")</f>
        <v/>
      </c>
      <c r="H308" s="17">
        <f>IF(G308="","",IF(F308=0,"",G308/F308))</f>
        <v/>
      </c>
      <c r="I308" s="18">
        <f>IF(E308="","SIN COMPRA",IF(F308="","NUEVO",IF(AND(ABS(G308)&lt;0.015,ABS(G308)&lt;F308*0.005),"IGUAL",IF(G308&gt;0,"SUBE","BAJA"))))</f>
        <v/>
      </c>
      <c r="J308" s="17">
        <f>IF(AND(C308&lt;&gt;"",D308&lt;&gt;""),IF(C308=0,"",D308/C308-1),"")</f>
        <v/>
      </c>
      <c r="K308" s="5" t="n"/>
    </row>
    <row r="309">
      <c r="A309" s="5" t="inlineStr">
        <is>
          <t>SUBMARINER</t>
        </is>
      </c>
      <c r="B309" s="5" t="inlineStr">
        <is>
          <t>JAGERMEISTER L. HIERB 0,70L</t>
        </is>
      </c>
      <c r="C309" s="11" t="n"/>
      <c r="D309" s="11" t="n"/>
      <c r="E309" s="11" t="n">
        <v>10.27</v>
      </c>
      <c r="F309" s="11">
        <f>IF(D309&lt;&gt;"",D309,IF(C309&lt;&gt;"",C309,""))</f>
        <v/>
      </c>
      <c r="G309" s="11">
        <f>IF(AND(E309&lt;&gt;"",F309&lt;&gt;""),E309-F309,"")</f>
        <v/>
      </c>
      <c r="H309" s="17">
        <f>IF(G309="","",IF(F309=0,"",G309/F309))</f>
        <v/>
      </c>
      <c r="I309" s="18">
        <f>IF(E309="","SIN COMPRA",IF(F309="","NUEVO",IF(AND(ABS(G309)&lt;0.015,ABS(G309)&lt;F309*0.005),"IGUAL",IF(G309&gt;0,"SUBE","BAJA"))))</f>
        <v/>
      </c>
      <c r="J309" s="17">
        <f>IF(AND(C309&lt;&gt;"",D309&lt;&gt;""),IF(C309=0,"",D309/C309-1),"")</f>
        <v/>
      </c>
      <c r="K309" s="5" t="inlineStr">
        <is>
          <t>Precio neto: tarifa 10,70 € con 4 % de dto</t>
        </is>
      </c>
    </row>
    <row r="310">
      <c r="A310" s="5" t="inlineStr">
        <is>
          <t>SUBMARINER</t>
        </is>
      </c>
      <c r="B310" s="5" t="inlineStr">
        <is>
          <t>JAMESON 0,70L</t>
        </is>
      </c>
      <c r="C310" s="11" t="n"/>
      <c r="D310" s="11" t="n">
        <v>13.9</v>
      </c>
      <c r="E310" s="11" t="n">
        <v>13.9</v>
      </c>
      <c r="F310" s="11">
        <f>IF(D310&lt;&gt;"",D310,IF(C310&lt;&gt;"",C310,""))</f>
        <v/>
      </c>
      <c r="G310" s="11">
        <f>IF(AND(E310&lt;&gt;"",F310&lt;&gt;""),E310-F310,"")</f>
        <v/>
      </c>
      <c r="H310" s="17">
        <f>IF(G310="","",IF(F310=0,"",G310/F310))</f>
        <v/>
      </c>
      <c r="I310" s="18">
        <f>IF(E310="","SIN COMPRA",IF(F310="","NUEVO",IF(AND(ABS(G310)&lt;0.015,ABS(G310)&lt;F310*0.005),"IGUAL",IF(G310&gt;0,"SUBE","BAJA"))))</f>
        <v/>
      </c>
      <c r="J310" s="17">
        <f>IF(AND(C310&lt;&gt;"",D310&lt;&gt;""),IF(C310=0,"",D310/C310-1),"")</f>
        <v/>
      </c>
      <c r="K310" s="5" t="inlineStr">
        <is>
          <t>Precio neto: tarifa 14,48 € con 4 % de dto</t>
        </is>
      </c>
    </row>
    <row r="311">
      <c r="A311" s="5" t="inlineStr">
        <is>
          <t>SUBMARINER</t>
        </is>
      </c>
      <c r="B311" s="5" t="inlineStr">
        <is>
          <t>JOSE CUERVO ESPECIAL 0,7L NR</t>
        </is>
      </c>
      <c r="C311" s="11" t="n">
        <v>13.11</v>
      </c>
      <c r="D311" s="11" t="n"/>
      <c r="E311" s="11" t="n"/>
      <c r="F311" s="11">
        <f>IF(D311&lt;&gt;"",D311,IF(C311&lt;&gt;"",C311,""))</f>
        <v/>
      </c>
      <c r="G311" s="11">
        <f>IF(AND(E311&lt;&gt;"",F311&lt;&gt;""),E311-F311,"")</f>
        <v/>
      </c>
      <c r="H311" s="17">
        <f>IF(G311="","",IF(F311=0,"",G311/F311))</f>
        <v/>
      </c>
      <c r="I311" s="18">
        <f>IF(E311="","SIN COMPRA",IF(F311="","NUEVO",IF(AND(ABS(G311)&lt;0.015,ABS(G311)&lt;F311*0.005),"IGUAL",IF(G311&gt;0,"SUBE","BAJA"))))</f>
        <v/>
      </c>
      <c r="J311" s="17">
        <f>IF(AND(C311&lt;&gt;"",D311&lt;&gt;""),IF(C311=0,"",D311/C311-1),"")</f>
        <v/>
      </c>
      <c r="K311" s="5" t="n"/>
    </row>
    <row r="312">
      <c r="A312" s="5" t="inlineStr">
        <is>
          <t>SUBMARINER</t>
        </is>
      </c>
      <c r="B312" s="5" t="inlineStr">
        <is>
          <t>JOSE CUERVO SILVER 0.7</t>
        </is>
      </c>
      <c r="C312" s="11" t="n">
        <v>12.17</v>
      </c>
      <c r="D312" s="11" t="n"/>
      <c r="E312" s="11" t="n">
        <v>12.17</v>
      </c>
      <c r="F312" s="11">
        <f>IF(D312&lt;&gt;"",D312,IF(C312&lt;&gt;"",C312,""))</f>
        <v/>
      </c>
      <c r="G312" s="11">
        <f>IF(AND(E312&lt;&gt;"",F312&lt;&gt;""),E312-F312,"")</f>
        <v/>
      </c>
      <c r="H312" s="17">
        <f>IF(G312="","",IF(F312=0,"",G312/F312))</f>
        <v/>
      </c>
      <c r="I312" s="18">
        <f>IF(E312="","SIN COMPRA",IF(F312="","NUEVO",IF(AND(ABS(G312)&lt;0.015,ABS(G312)&lt;F312*0.005),"IGUAL",IF(G312&gt;0,"SUBE","BAJA"))))</f>
        <v/>
      </c>
      <c r="J312" s="17">
        <f>IF(AND(C312&lt;&gt;"",D312&lt;&gt;""),IF(C312=0,"",D312/C312-1),"")</f>
        <v/>
      </c>
      <c r="K312" s="5" t="inlineStr">
        <is>
          <t>Precio neto: tarifa 12,68 € con 4 % de dto</t>
        </is>
      </c>
    </row>
    <row r="313">
      <c r="A313" s="5" t="inlineStr">
        <is>
          <t>SUBMARINER</t>
        </is>
      </c>
      <c r="B313" s="5" t="inlineStr">
        <is>
          <t>LARIOS 1L NR</t>
        </is>
      </c>
      <c r="C313" s="11" t="n">
        <v>9.91</v>
      </c>
      <c r="D313" s="11" t="n">
        <v>9.91</v>
      </c>
      <c r="E313" s="11" t="n"/>
      <c r="F313" s="11">
        <f>IF(D313&lt;&gt;"",D313,IF(C313&lt;&gt;"",C313,""))</f>
        <v/>
      </c>
      <c r="G313" s="11">
        <f>IF(AND(E313&lt;&gt;"",F313&lt;&gt;""),E313-F313,"")</f>
        <v/>
      </c>
      <c r="H313" s="17">
        <f>IF(G313="","",IF(F313=0,"",G313/F313))</f>
        <v/>
      </c>
      <c r="I313" s="18">
        <f>IF(E313="","SIN COMPRA",IF(F313="","NUEVO",IF(AND(ABS(G313)&lt;0.015,ABS(G313)&lt;F313*0.005),"IGUAL",IF(G313&gt;0,"SUBE","BAJA"))))</f>
        <v/>
      </c>
      <c r="J313" s="17">
        <f>IF(AND(C313&lt;&gt;"",D313&lt;&gt;""),IF(C313=0,"",D313/C313-1),"")</f>
        <v/>
      </c>
      <c r="K313" s="5" t="n"/>
    </row>
    <row r="314">
      <c r="A314" s="5" t="inlineStr">
        <is>
          <t>SUBMARINER</t>
        </is>
      </c>
      <c r="B314" s="5" t="inlineStr">
        <is>
          <t>LARIOS ESPECIAL 12 NR</t>
        </is>
      </c>
      <c r="C314" s="11" t="n">
        <v>11.64</v>
      </c>
      <c r="D314" s="11" t="n"/>
      <c r="E314" s="11" t="n"/>
      <c r="F314" s="11">
        <f>IF(D314&lt;&gt;"",D314,IF(C314&lt;&gt;"",C314,""))</f>
        <v/>
      </c>
      <c r="G314" s="11">
        <f>IF(AND(E314&lt;&gt;"",F314&lt;&gt;""),E314-F314,"")</f>
        <v/>
      </c>
      <c r="H314" s="17">
        <f>IF(G314="","",IF(F314=0,"",G314/F314))</f>
        <v/>
      </c>
      <c r="I314" s="18">
        <f>IF(E314="","SIN COMPRA",IF(F314="","NUEVO",IF(AND(ABS(G314)&lt;0.015,ABS(G314)&lt;F314*0.005),"IGUAL",IF(G314&gt;0,"SUBE","BAJA"))))</f>
        <v/>
      </c>
      <c r="J314" s="17">
        <f>IF(AND(C314&lt;&gt;"",D314&lt;&gt;""),IF(C314=0,"",D314/C314-1),"")</f>
        <v/>
      </c>
      <c r="K314" s="5" t="n"/>
    </row>
    <row r="315">
      <c r="A315" s="5" t="inlineStr">
        <is>
          <t>SUBMARINER</t>
        </is>
      </c>
      <c r="B315" s="5" t="inlineStr">
        <is>
          <t>LICOR CAFÉ QUEMEIRAS 3L</t>
        </is>
      </c>
      <c r="C315" s="11" t="n">
        <v>13.99</v>
      </c>
      <c r="D315" s="11" t="n"/>
      <c r="E315" s="11" t="n"/>
      <c r="F315" s="11">
        <f>IF(D315&lt;&gt;"",D315,IF(C315&lt;&gt;"",C315,""))</f>
        <v/>
      </c>
      <c r="G315" s="11">
        <f>IF(AND(E315&lt;&gt;"",F315&lt;&gt;""),E315-F315,"")</f>
        <v/>
      </c>
      <c r="H315" s="17">
        <f>IF(G315="","",IF(F315=0,"",G315/F315))</f>
        <v/>
      </c>
      <c r="I315" s="18">
        <f>IF(E315="","SIN COMPRA",IF(F315="","NUEVO",IF(AND(ABS(G315)&lt;0.015,ABS(G315)&lt;F315*0.005),"IGUAL",IF(G315&gt;0,"SUBE","BAJA"))))</f>
        <v/>
      </c>
      <c r="J315" s="17">
        <f>IF(AND(C315&lt;&gt;"",D315&lt;&gt;""),IF(C315=0,"",D315/C315-1),"")</f>
        <v/>
      </c>
      <c r="K315" s="5" t="n"/>
    </row>
    <row r="316">
      <c r="A316" s="5" t="inlineStr">
        <is>
          <t>SUBMARINER</t>
        </is>
      </c>
      <c r="B316" s="5" t="inlineStr">
        <is>
          <t>LIMONCELO DE 3L BEREMOT</t>
        </is>
      </c>
      <c r="C316" s="11" t="n">
        <v>15.32</v>
      </c>
      <c r="D316" s="11" t="n">
        <v>15.32</v>
      </c>
      <c r="E316" s="11" t="n"/>
      <c r="F316" s="11">
        <f>IF(D316&lt;&gt;"",D316,IF(C316&lt;&gt;"",C316,""))</f>
        <v/>
      </c>
      <c r="G316" s="11">
        <f>IF(AND(E316&lt;&gt;"",F316&lt;&gt;""),E316-F316,"")</f>
        <v/>
      </c>
      <c r="H316" s="17">
        <f>IF(G316="","",IF(F316=0,"",G316/F316))</f>
        <v/>
      </c>
      <c r="I316" s="18">
        <f>IF(E316="","SIN COMPRA",IF(F316="","NUEVO",IF(AND(ABS(G316)&lt;0.015,ABS(G316)&lt;F316*0.005),"IGUAL",IF(G316&gt;0,"SUBE","BAJA"))))</f>
        <v/>
      </c>
      <c r="J316" s="17">
        <f>IF(AND(C316&lt;&gt;"",D316&lt;&gt;""),IF(C316=0,"",D316/C316-1),"")</f>
        <v/>
      </c>
      <c r="K316" s="5" t="n"/>
    </row>
    <row r="317">
      <c r="A317" s="5" t="inlineStr">
        <is>
          <t>SUBMARINER</t>
        </is>
      </c>
      <c r="B317" s="5" t="inlineStr">
        <is>
          <t>MACALLAN 12</t>
        </is>
      </c>
      <c r="C317" s="11" t="n">
        <v>53.77</v>
      </c>
      <c r="D317" s="11" t="n"/>
      <c r="E317" s="11" t="n"/>
      <c r="F317" s="11">
        <f>IF(D317&lt;&gt;"",D317,IF(C317&lt;&gt;"",C317,""))</f>
        <v/>
      </c>
      <c r="G317" s="11">
        <f>IF(AND(E317&lt;&gt;"",F317&lt;&gt;""),E317-F317,"")</f>
        <v/>
      </c>
      <c r="H317" s="17">
        <f>IF(G317="","",IF(F317=0,"",G317/F317))</f>
        <v/>
      </c>
      <c r="I317" s="18">
        <f>IF(E317="","SIN COMPRA",IF(F317="","NUEVO",IF(AND(ABS(G317)&lt;0.015,ABS(G317)&lt;F317*0.005),"IGUAL",IF(G317&gt;0,"SUBE","BAJA"))))</f>
        <v/>
      </c>
      <c r="J317" s="17">
        <f>IF(AND(C317&lt;&gt;"",D317&lt;&gt;""),IF(C317=0,"",D317/C317-1),"")</f>
        <v/>
      </c>
      <c r="K317" s="5" t="n"/>
    </row>
    <row r="318">
      <c r="A318" s="5" t="inlineStr">
        <is>
          <t>SUBMARINER</t>
        </is>
      </c>
      <c r="B318" s="5" t="inlineStr">
        <is>
          <t>MAESTRO DOBEL DIAMANTE REPOSADO 0.70</t>
        </is>
      </c>
      <c r="C318" s="11" t="n">
        <v>52.96</v>
      </c>
      <c r="D318" s="11" t="n">
        <v>52.96</v>
      </c>
      <c r="E318" s="11" t="n">
        <v>52.96</v>
      </c>
      <c r="F318" s="11">
        <f>IF(D318&lt;&gt;"",D318,IF(C318&lt;&gt;"",C318,""))</f>
        <v/>
      </c>
      <c r="G318" s="11">
        <f>IF(AND(E318&lt;&gt;"",F318&lt;&gt;""),E318-F318,"")</f>
        <v/>
      </c>
      <c r="H318" s="17">
        <f>IF(G318="","",IF(F318=0,"",G318/F318))</f>
        <v/>
      </c>
      <c r="I318" s="18">
        <f>IF(E318="","SIN COMPRA",IF(F318="","NUEVO",IF(AND(ABS(G318)&lt;0.015,ABS(G318)&lt;F318*0.005),"IGUAL",IF(G318&gt;0,"SUBE","BAJA"))))</f>
        <v/>
      </c>
      <c r="J318" s="17">
        <f>IF(AND(C318&lt;&gt;"",D318&lt;&gt;""),IF(C318=0,"",D318/C318-1),"")</f>
        <v/>
      </c>
      <c r="K318" s="5" t="inlineStr">
        <is>
          <t>Precio neto: tarifa 55,17 € con 4 % de dto</t>
        </is>
      </c>
    </row>
    <row r="319">
      <c r="A319" s="5" t="inlineStr">
        <is>
          <t>SUBMARINER</t>
        </is>
      </c>
      <c r="B319" s="5" t="inlineStr">
        <is>
          <t>MARTINI BLANCO 1L</t>
        </is>
      </c>
      <c r="C319" s="11" t="n"/>
      <c r="D319" s="11" t="n">
        <v>8.029999999999999</v>
      </c>
      <c r="E319" s="11" t="n">
        <v>8.029999999999999</v>
      </c>
      <c r="F319" s="11">
        <f>IF(D319&lt;&gt;"",D319,IF(C319&lt;&gt;"",C319,""))</f>
        <v/>
      </c>
      <c r="G319" s="11">
        <f>IF(AND(E319&lt;&gt;"",F319&lt;&gt;""),E319-F319,"")</f>
        <v/>
      </c>
      <c r="H319" s="17">
        <f>IF(G319="","",IF(F319=0,"",G319/F319))</f>
        <v/>
      </c>
      <c r="I319" s="18">
        <f>IF(E319="","SIN COMPRA",IF(F319="","NUEVO",IF(AND(ABS(G319)&lt;0.015,ABS(G319)&lt;F319*0.005),"IGUAL",IF(G319&gt;0,"SUBE","BAJA"))))</f>
        <v/>
      </c>
      <c r="J319" s="17">
        <f>IF(AND(C319&lt;&gt;"",D319&lt;&gt;""),IF(C319=0,"",D319/C319-1),"")</f>
        <v/>
      </c>
      <c r="K319" s="5" t="inlineStr">
        <is>
          <t>Precio neto: tarifa 8,36 € con 4 % de dto</t>
        </is>
      </c>
    </row>
    <row r="320">
      <c r="A320" s="5" t="inlineStr">
        <is>
          <t>SUBMARINER</t>
        </is>
      </c>
      <c r="B320" s="5" t="inlineStr">
        <is>
          <t>MARTINI ROJO 1L</t>
        </is>
      </c>
      <c r="C320" s="11" t="n">
        <v>8.029999999999999</v>
      </c>
      <c r="D320" s="11" t="n">
        <v>8.029999999999999</v>
      </c>
      <c r="E320" s="11" t="n"/>
      <c r="F320" s="11">
        <f>IF(D320&lt;&gt;"",D320,IF(C320&lt;&gt;"",C320,""))</f>
        <v/>
      </c>
      <c r="G320" s="11">
        <f>IF(AND(E320&lt;&gt;"",F320&lt;&gt;""),E320-F320,"")</f>
        <v/>
      </c>
      <c r="H320" s="17">
        <f>IF(G320="","",IF(F320=0,"",G320/F320))</f>
        <v/>
      </c>
      <c r="I320" s="18">
        <f>IF(E320="","SIN COMPRA",IF(F320="","NUEVO",IF(AND(ABS(G320)&lt;0.015,ABS(G320)&lt;F320*0.005),"IGUAL",IF(G320&gt;0,"SUBE","BAJA"))))</f>
        <v/>
      </c>
      <c r="J320" s="17">
        <f>IF(AND(C320&lt;&gt;"",D320&lt;&gt;""),IF(C320=0,"",D320/C320-1),"")</f>
        <v/>
      </c>
      <c r="K320" s="5" t="n"/>
    </row>
    <row r="321">
      <c r="A321" s="5" t="inlineStr">
        <is>
          <t>SUBMARINER</t>
        </is>
      </c>
      <c r="B321" s="5" t="inlineStr">
        <is>
          <t>PACHARAN 3L MOS DE PAS</t>
        </is>
      </c>
      <c r="C321" s="11" t="n"/>
      <c r="D321" s="11" t="n">
        <v>13.99</v>
      </c>
      <c r="E321" s="11" t="n"/>
      <c r="F321" s="11">
        <f>IF(D321&lt;&gt;"",D321,IF(C321&lt;&gt;"",C321,""))</f>
        <v/>
      </c>
      <c r="G321" s="11">
        <f>IF(AND(E321&lt;&gt;"",F321&lt;&gt;""),E321-F321,"")</f>
        <v/>
      </c>
      <c r="H321" s="17">
        <f>IF(G321="","",IF(F321=0,"",G321/F321))</f>
        <v/>
      </c>
      <c r="I321" s="18">
        <f>IF(E321="","SIN COMPRA",IF(F321="","NUEVO",IF(AND(ABS(G321)&lt;0.015,ABS(G321)&lt;F321*0.005),"IGUAL",IF(G321&gt;0,"SUBE","BAJA"))))</f>
        <v/>
      </c>
      <c r="J321" s="17">
        <f>IF(AND(C321&lt;&gt;"",D321&lt;&gt;""),IF(C321=0,"",D321/C321-1),"")</f>
        <v/>
      </c>
      <c r="K321" s="5" t="n"/>
    </row>
    <row r="322">
      <c r="A322" s="5" t="inlineStr">
        <is>
          <t>SUBMARINER</t>
        </is>
      </c>
      <c r="B322" s="5" t="inlineStr">
        <is>
          <t>RED BULL 24U</t>
        </is>
      </c>
      <c r="C322" s="11" t="n">
        <v>28.8</v>
      </c>
      <c r="D322" s="11" t="n">
        <v>36.86</v>
      </c>
      <c r="E322" s="11" t="n">
        <v>36.86</v>
      </c>
      <c r="F322" s="11">
        <f>IF(D322&lt;&gt;"",D322,IF(C322&lt;&gt;"",C322,""))</f>
        <v/>
      </c>
      <c r="G322" s="11">
        <f>IF(AND(E322&lt;&gt;"",F322&lt;&gt;""),E322-F322,"")</f>
        <v/>
      </c>
      <c r="H322" s="17">
        <f>IF(G322="","",IF(F322=0,"",G322/F322))</f>
        <v/>
      </c>
      <c r="I322" s="18">
        <f>IF(E322="","SIN COMPRA",IF(F322="","NUEVO",IF(AND(ABS(G322)&lt;0.015,ABS(G322)&lt;F322*0.005),"IGUAL",IF(G322&gt;0,"SUBE","BAJA"))))</f>
        <v/>
      </c>
      <c r="J322" s="17">
        <f>IF(AND(C322&lt;&gt;"",D322&lt;&gt;""),IF(C322=0,"",D322/C322-1),"")</f>
        <v/>
      </c>
      <c r="K322" s="5" t="inlineStr">
        <is>
          <t>Precio neto: tarifa 38,40 € con 4 % de dto</t>
        </is>
      </c>
    </row>
    <row r="323">
      <c r="A323" s="5" t="inlineStr">
        <is>
          <t>SUBMARINER</t>
        </is>
      </c>
      <c r="B323" s="5" t="inlineStr">
        <is>
          <t>RED BULL LIGHT 24U</t>
        </is>
      </c>
      <c r="C323" s="11" t="n"/>
      <c r="D323" s="11" t="n">
        <v>36.86</v>
      </c>
      <c r="E323" s="11" t="n"/>
      <c r="F323" s="11">
        <f>IF(D323&lt;&gt;"",D323,IF(C323&lt;&gt;"",C323,""))</f>
        <v/>
      </c>
      <c r="G323" s="11">
        <f>IF(AND(E323&lt;&gt;"",F323&lt;&gt;""),E323-F323,"")</f>
        <v/>
      </c>
      <c r="H323" s="17">
        <f>IF(G323="","",IF(F323=0,"",G323/F323))</f>
        <v/>
      </c>
      <c r="I323" s="18">
        <f>IF(E323="","SIN COMPRA",IF(F323="","NUEVO",IF(AND(ABS(G323)&lt;0.015,ABS(G323)&lt;F323*0.005),"IGUAL",IF(G323&gt;0,"SUBE","BAJA"))))</f>
        <v/>
      </c>
      <c r="J323" s="17">
        <f>IF(AND(C323&lt;&gt;"",D323&lt;&gt;""),IF(C323=0,"",D323/C323-1),"")</f>
        <v/>
      </c>
      <c r="K323" s="5" t="n"/>
    </row>
    <row r="324">
      <c r="A324" s="5" t="inlineStr">
        <is>
          <t>SUBMARINER</t>
        </is>
      </c>
      <c r="B324" s="5" t="inlineStr">
        <is>
          <t>RED BULL SANDIA 24U</t>
        </is>
      </c>
      <c r="C324" s="11" t="n"/>
      <c r="D324" s="11" t="n"/>
      <c r="E324" s="11" t="n">
        <v>36.86</v>
      </c>
      <c r="F324" s="11">
        <f>IF(D324&lt;&gt;"",D324,IF(C324&lt;&gt;"",C324,""))</f>
        <v/>
      </c>
      <c r="G324" s="11">
        <f>IF(AND(E324&lt;&gt;"",F324&lt;&gt;""),E324-F324,"")</f>
        <v/>
      </c>
      <c r="H324" s="17">
        <f>IF(G324="","",IF(F324=0,"",G324/F324))</f>
        <v/>
      </c>
      <c r="I324" s="18">
        <f>IF(E324="","SIN COMPRA",IF(F324="","NUEVO",IF(AND(ABS(G324)&lt;0.015,ABS(G324)&lt;F324*0.005),"IGUAL",IF(G324&gt;0,"SUBE","BAJA"))))</f>
        <v/>
      </c>
      <c r="J324" s="17">
        <f>IF(AND(C324&lt;&gt;"",D324&lt;&gt;""),IF(C324=0,"",D324/C324-1),"")</f>
        <v/>
      </c>
      <c r="K324" s="5" t="inlineStr">
        <is>
          <t>Precio neto: tarifa 38,40 € con 4 % de dto</t>
        </is>
      </c>
    </row>
    <row r="325">
      <c r="A325" s="5" t="inlineStr">
        <is>
          <t>SUBMARINER</t>
        </is>
      </c>
      <c r="B325" s="5" t="inlineStr">
        <is>
          <t>RON BARCELO 0,70L NR</t>
        </is>
      </c>
      <c r="C325" s="11" t="n">
        <v>11.62</v>
      </c>
      <c r="D325" s="11" t="n"/>
      <c r="E325" s="11" t="n">
        <v>12.1</v>
      </c>
      <c r="F325" s="11">
        <f>IF(D325&lt;&gt;"",D325,IF(C325&lt;&gt;"",C325,""))</f>
        <v/>
      </c>
      <c r="G325" s="11">
        <f>IF(AND(E325&lt;&gt;"",F325&lt;&gt;""),E325-F325,"")</f>
        <v/>
      </c>
      <c r="H325" s="17">
        <f>IF(G325="","",IF(F325=0,"",G325/F325))</f>
        <v/>
      </c>
      <c r="I325" s="18">
        <f>IF(E325="","SIN COMPRA",IF(F325="","NUEVO",IF(AND(ABS(G325)&lt;0.015,ABS(G325)&lt;F325*0.005),"IGUAL",IF(G325&gt;0,"SUBE","BAJA"))))</f>
        <v/>
      </c>
      <c r="J325" s="17">
        <f>IF(AND(C325&lt;&gt;"",D325&lt;&gt;""),IF(C325=0,"",D325/C325-1),"")</f>
        <v/>
      </c>
      <c r="K325" s="5" t="inlineStr">
        <is>
          <t>Precio neto: tarifa 12,60 € con 4 % de dto</t>
        </is>
      </c>
    </row>
    <row r="326">
      <c r="A326" s="5" t="inlineStr">
        <is>
          <t>SUBMARINER</t>
        </is>
      </c>
      <c r="B326" s="5" t="inlineStr">
        <is>
          <t>RON BARCELO IMPERIAL 0,70L</t>
        </is>
      </c>
      <c r="C326" s="11" t="n">
        <v>23.04</v>
      </c>
      <c r="D326" s="11" t="n"/>
      <c r="E326" s="11" t="n"/>
      <c r="F326" s="11">
        <f>IF(D326&lt;&gt;"",D326,IF(C326&lt;&gt;"",C326,""))</f>
        <v/>
      </c>
      <c r="G326" s="11">
        <f>IF(AND(E326&lt;&gt;"",F326&lt;&gt;""),E326-F326,"")</f>
        <v/>
      </c>
      <c r="H326" s="17">
        <f>IF(G326="","",IF(F326=0,"",G326/F326))</f>
        <v/>
      </c>
      <c r="I326" s="18">
        <f>IF(E326="","SIN COMPRA",IF(F326="","NUEVO",IF(AND(ABS(G326)&lt;0.015,ABS(G326)&lt;F326*0.005),"IGUAL",IF(G326&gt;0,"SUBE","BAJA"))))</f>
        <v/>
      </c>
      <c r="J326" s="17">
        <f>IF(AND(C326&lt;&gt;"",D326&lt;&gt;""),IF(C326=0,"",D326/C326-1),"")</f>
        <v/>
      </c>
      <c r="K326" s="5" t="n"/>
    </row>
    <row r="327">
      <c r="A327" s="5" t="inlineStr">
        <is>
          <t>SUBMARINER</t>
        </is>
      </c>
      <c r="B327" s="5" t="inlineStr">
        <is>
          <t>RUINART BLANC DE BLANC 0,75</t>
        </is>
      </c>
      <c r="C327" s="11" t="n">
        <v>69.58</v>
      </c>
      <c r="D327" s="11" t="n"/>
      <c r="E327" s="11" t="n"/>
      <c r="F327" s="11">
        <f>IF(D327&lt;&gt;"",D327,IF(C327&lt;&gt;"",C327,""))</f>
        <v/>
      </c>
      <c r="G327" s="11">
        <f>IF(AND(E327&lt;&gt;"",F327&lt;&gt;""),E327-F327,"")</f>
        <v/>
      </c>
      <c r="H327" s="17">
        <f>IF(G327="","",IF(F327=0,"",G327/F327))</f>
        <v/>
      </c>
      <c r="I327" s="18">
        <f>IF(E327="","SIN COMPRA",IF(F327="","NUEVO",IF(AND(ABS(G327)&lt;0.015,ABS(G327)&lt;F327*0.005),"IGUAL",IF(G327&gt;0,"SUBE","BAJA"))))</f>
        <v/>
      </c>
      <c r="J327" s="17">
        <f>IF(AND(C327&lt;&gt;"",D327&lt;&gt;""),IF(C327=0,"",D327/C327-1),"")</f>
        <v/>
      </c>
      <c r="K327" s="5" t="n"/>
    </row>
    <row r="328">
      <c r="A328" s="5" t="inlineStr">
        <is>
          <t>SUBMARINER</t>
        </is>
      </c>
      <c r="B328" s="5" t="inlineStr">
        <is>
          <t>SAINT GERMAIN</t>
        </is>
      </c>
      <c r="C328" s="11" t="n"/>
      <c r="D328" s="11" t="n"/>
      <c r="E328" s="11" t="n">
        <v>22.97</v>
      </c>
      <c r="F328" s="11">
        <f>IF(D328&lt;&gt;"",D328,IF(C328&lt;&gt;"",C328,""))</f>
        <v/>
      </c>
      <c r="G328" s="11">
        <f>IF(AND(E328&lt;&gt;"",F328&lt;&gt;""),E328-F328,"")</f>
        <v/>
      </c>
      <c r="H328" s="17">
        <f>IF(G328="","",IF(F328=0,"",G328/F328))</f>
        <v/>
      </c>
      <c r="I328" s="18">
        <f>IF(E328="","SIN COMPRA",IF(F328="","NUEVO",IF(AND(ABS(G328)&lt;0.015,ABS(G328)&lt;F328*0.005),"IGUAL",IF(G328&gt;0,"SUBE","BAJA"))))</f>
        <v/>
      </c>
      <c r="J328" s="17">
        <f>IF(AND(C328&lt;&gt;"",D328&lt;&gt;""),IF(C328=0,"",D328/C328-1),"")</f>
        <v/>
      </c>
      <c r="K328" s="5" t="inlineStr">
        <is>
          <t>Precio neto: tarifa 23,93 € con 4 % de dto</t>
        </is>
      </c>
    </row>
    <row r="329">
      <c r="A329" s="5" t="inlineStr">
        <is>
          <t>SUBMARINER</t>
        </is>
      </c>
      <c r="B329" s="5" t="inlineStr">
        <is>
          <t>SANTA TERESA G.RVA 0,70L</t>
        </is>
      </c>
      <c r="C329" s="11" t="n">
        <v>10.9</v>
      </c>
      <c r="D329" s="11" t="n"/>
      <c r="E329" s="11" t="n"/>
      <c r="F329" s="11">
        <f>IF(D329&lt;&gt;"",D329,IF(C329&lt;&gt;"",C329,""))</f>
        <v/>
      </c>
      <c r="G329" s="11">
        <f>IF(AND(E329&lt;&gt;"",F329&lt;&gt;""),E329-F329,"")</f>
        <v/>
      </c>
      <c r="H329" s="17">
        <f>IF(G329="","",IF(F329=0,"",G329/F329))</f>
        <v/>
      </c>
      <c r="I329" s="18">
        <f>IF(E329="","SIN COMPRA",IF(F329="","NUEVO",IF(AND(ABS(G329)&lt;0.015,ABS(G329)&lt;F329*0.005),"IGUAL",IF(G329&gt;0,"SUBE","BAJA"))))</f>
        <v/>
      </c>
      <c r="J329" s="17">
        <f>IF(AND(C329&lt;&gt;"",D329&lt;&gt;""),IF(C329=0,"",D329/C329-1),"")</f>
        <v/>
      </c>
      <c r="K329" s="5" t="n"/>
    </row>
    <row r="330">
      <c r="A330" s="5" t="inlineStr">
        <is>
          <t>SUBMARINER</t>
        </is>
      </c>
      <c r="B330" s="5" t="inlineStr">
        <is>
          <t>SEAGRAMS 0,0 0,70L</t>
        </is>
      </c>
      <c r="C330" s="11" t="n"/>
      <c r="D330" s="11" t="n">
        <v>12.47</v>
      </c>
      <c r="E330" s="11" t="n">
        <v>12.47</v>
      </c>
      <c r="F330" s="11">
        <f>IF(D330&lt;&gt;"",D330,IF(C330&lt;&gt;"",C330,""))</f>
        <v/>
      </c>
      <c r="G330" s="11">
        <f>IF(AND(E330&lt;&gt;"",F330&lt;&gt;""),E330-F330,"")</f>
        <v/>
      </c>
      <c r="H330" s="17">
        <f>IF(G330="","",IF(F330=0,"",G330/F330))</f>
        <v/>
      </c>
      <c r="I330" s="18">
        <f>IF(E330="","SIN COMPRA",IF(F330="","NUEVO",IF(AND(ABS(G330)&lt;0.015,ABS(G330)&lt;F330*0.005),"IGUAL",IF(G330&gt;0,"SUBE","BAJA"))))</f>
        <v/>
      </c>
      <c r="J330" s="17">
        <f>IF(AND(C330&lt;&gt;"",D330&lt;&gt;""),IF(C330=0,"",D330/C330-1),"")</f>
        <v/>
      </c>
      <c r="K330" s="5" t="inlineStr">
        <is>
          <t>Precio neto: tarifa 12,99 € con 4 % de dto</t>
        </is>
      </c>
    </row>
    <row r="331">
      <c r="A331" s="5" t="inlineStr">
        <is>
          <t>SUBMARINER</t>
        </is>
      </c>
      <c r="B331" s="5" t="inlineStr">
        <is>
          <t>SEAGRAMS 0,70L NR</t>
        </is>
      </c>
      <c r="C331" s="11" t="n">
        <v>12.84</v>
      </c>
      <c r="D331" s="11" t="n"/>
      <c r="E331" s="11" t="n">
        <v>12.84</v>
      </c>
      <c r="F331" s="11">
        <f>IF(D331&lt;&gt;"",D331,IF(C331&lt;&gt;"",C331,""))</f>
        <v/>
      </c>
      <c r="G331" s="11">
        <f>IF(AND(E331&lt;&gt;"",F331&lt;&gt;""),E331-F331,"")</f>
        <v/>
      </c>
      <c r="H331" s="17">
        <f>IF(G331="","",IF(F331=0,"",G331/F331))</f>
        <v/>
      </c>
      <c r="I331" s="18">
        <f>IF(E331="","SIN COMPRA",IF(F331="","NUEVO",IF(AND(ABS(G331)&lt;0.015,ABS(G331)&lt;F331*0.005),"IGUAL",IF(G331&gt;0,"SUBE","BAJA"))))</f>
        <v/>
      </c>
      <c r="J331" s="17">
        <f>IF(AND(C331&lt;&gt;"",D331&lt;&gt;""),IF(C331=0,"",D331/C331-1),"")</f>
        <v/>
      </c>
      <c r="K331" s="5" t="inlineStr">
        <is>
          <t>Precio neto: tarifa 13,38 € con 4 % de dto</t>
        </is>
      </c>
    </row>
    <row r="332">
      <c r="A332" s="5" t="inlineStr">
        <is>
          <t>SUBMARINER</t>
        </is>
      </c>
      <c r="B332" s="5" t="inlineStr">
        <is>
          <t>TANQUERAY 0,70L</t>
        </is>
      </c>
      <c r="C332" s="11" t="n"/>
      <c r="D332" s="11" t="n">
        <v>11.64</v>
      </c>
      <c r="E332" s="11" t="n"/>
      <c r="F332" s="11">
        <f>IF(D332&lt;&gt;"",D332,IF(C332&lt;&gt;"",C332,""))</f>
        <v/>
      </c>
      <c r="G332" s="11">
        <f>IF(AND(E332&lt;&gt;"",F332&lt;&gt;""),E332-F332,"")</f>
        <v/>
      </c>
      <c r="H332" s="17">
        <f>IF(G332="","",IF(F332=0,"",G332/F332))</f>
        <v/>
      </c>
      <c r="I332" s="18">
        <f>IF(E332="","SIN COMPRA",IF(F332="","NUEVO",IF(AND(ABS(G332)&lt;0.015,ABS(G332)&lt;F332*0.005),"IGUAL",IF(G332&gt;0,"SUBE","BAJA"))))</f>
        <v/>
      </c>
      <c r="J332" s="17">
        <f>IF(AND(C332&lt;&gt;"",D332&lt;&gt;""),IF(C332=0,"",D332/C332-1),"")</f>
        <v/>
      </c>
      <c r="K332" s="5" t="n"/>
    </row>
    <row r="333">
      <c r="A333" s="5" t="inlineStr">
        <is>
          <t>SUBMARINER</t>
        </is>
      </c>
      <c r="B333" s="5" t="inlineStr">
        <is>
          <t>TEQUILA DON JULIO 70 TH</t>
        </is>
      </c>
      <c r="C333" s="11" t="n"/>
      <c r="D333" s="11" t="n"/>
      <c r="E333" s="11" t="n">
        <v>58.99</v>
      </c>
      <c r="F333" s="11">
        <f>IF(D333&lt;&gt;"",D333,IF(C333&lt;&gt;"",C333,""))</f>
        <v/>
      </c>
      <c r="G333" s="11">
        <f>IF(AND(E333&lt;&gt;"",F333&lt;&gt;""),E333-F333,"")</f>
        <v/>
      </c>
      <c r="H333" s="17">
        <f>IF(G333="","",IF(F333=0,"",G333/F333))</f>
        <v/>
      </c>
      <c r="I333" s="18">
        <f>IF(E333="","SIN COMPRA",IF(F333="","NUEVO",IF(AND(ABS(G333)&lt;0.015,ABS(G333)&lt;F333*0.005),"IGUAL",IF(G333&gt;0,"SUBE","BAJA"))))</f>
        <v/>
      </c>
      <c r="J333" s="17">
        <f>IF(AND(C333&lt;&gt;"",D333&lt;&gt;""),IF(C333=0,"",D333/C333-1),"")</f>
        <v/>
      </c>
      <c r="K333" s="5" t="inlineStr">
        <is>
          <t>Precio neto: tarifa 61,45 € con 4 % de dto</t>
        </is>
      </c>
    </row>
    <row r="334">
      <c r="A334" s="5" t="inlineStr">
        <is>
          <t>SUBMARINER</t>
        </is>
      </c>
      <c r="B334" s="5" t="inlineStr">
        <is>
          <t>WHITE LABEL 0,70L NR</t>
        </is>
      </c>
      <c r="C334" s="11" t="n"/>
      <c r="D334" s="11" t="n">
        <v>10.65</v>
      </c>
      <c r="E334" s="11" t="n"/>
      <c r="F334" s="11">
        <f>IF(D334&lt;&gt;"",D334,IF(C334&lt;&gt;"",C334,""))</f>
        <v/>
      </c>
      <c r="G334" s="11">
        <f>IF(AND(E334&lt;&gt;"",F334&lt;&gt;""),E334-F334,"")</f>
        <v/>
      </c>
      <c r="H334" s="17">
        <f>IF(G334="","",IF(F334=0,"",G334/F334))</f>
        <v/>
      </c>
      <c r="I334" s="18">
        <f>IF(E334="","SIN COMPRA",IF(F334="","NUEVO",IF(AND(ABS(G334)&lt;0.015,ABS(G334)&lt;F334*0.005),"IGUAL",IF(G334&gt;0,"SUBE","BAJA"))))</f>
        <v/>
      </c>
      <c r="J334" s="17">
        <f>IF(AND(C334&lt;&gt;"",D334&lt;&gt;""),IF(C334=0,"",D334/C334-1),"")</f>
        <v/>
      </c>
      <c r="K334" s="5" t="n"/>
    </row>
    <row r="335">
      <c r="A335" s="5" t="inlineStr">
        <is>
          <t>SUBMARINER</t>
        </is>
      </c>
      <c r="B335" s="5" t="inlineStr">
        <is>
          <t>ZACAPA 23 AÑOS 0,70L</t>
        </is>
      </c>
      <c r="C335" s="11" t="n"/>
      <c r="D335" s="11" t="n"/>
      <c r="E335" s="11" t="n">
        <v>28.62</v>
      </c>
      <c r="F335" s="11">
        <f>IF(D335&lt;&gt;"",D335,IF(C335&lt;&gt;"",C335,""))</f>
        <v/>
      </c>
      <c r="G335" s="11">
        <f>IF(AND(E335&lt;&gt;"",F335&lt;&gt;""),E335-F335,"")</f>
        <v/>
      </c>
      <c r="H335" s="17">
        <f>IF(G335="","",IF(F335=0,"",G335/F335))</f>
        <v/>
      </c>
      <c r="I335" s="18">
        <f>IF(E335="","SIN COMPRA",IF(F335="","NUEVO",IF(AND(ABS(G335)&lt;0.015,ABS(G335)&lt;F335*0.005),"IGUAL",IF(G335&gt;0,"SUBE","BAJA"))))</f>
        <v/>
      </c>
      <c r="J335" s="17">
        <f>IF(AND(C335&lt;&gt;"",D335&lt;&gt;""),IF(C335=0,"",D335/C335-1),"")</f>
        <v/>
      </c>
      <c r="K335" s="5" t="inlineStr">
        <is>
          <t>Precio neto: tarifa 29,81 € con 4 % de dto</t>
        </is>
      </c>
    </row>
    <row r="336">
      <c r="A336" s="5" t="inlineStr">
        <is>
          <t>SUBMARINER</t>
        </is>
      </c>
      <c r="B336" s="5" t="inlineStr">
        <is>
          <t>ZACAPA X.O.</t>
        </is>
      </c>
      <c r="C336" s="11" t="n"/>
      <c r="D336" s="11" t="n"/>
      <c r="E336" s="11" t="n">
        <v>127.62</v>
      </c>
      <c r="F336" s="11">
        <f>IF(D336&lt;&gt;"",D336,IF(C336&lt;&gt;"",C336,""))</f>
        <v/>
      </c>
      <c r="G336" s="11">
        <f>IF(AND(E336&lt;&gt;"",F336&lt;&gt;""),E336-F336,"")</f>
        <v/>
      </c>
      <c r="H336" s="17">
        <f>IF(G336="","",IF(F336=0,"",G336/F336))</f>
        <v/>
      </c>
      <c r="I336" s="18">
        <f>IF(E336="","SIN COMPRA",IF(F336="","NUEVO",IF(AND(ABS(G336)&lt;0.015,ABS(G336)&lt;F336*0.005),"IGUAL",IF(G336&gt;0,"SUBE","BAJA"))))</f>
        <v/>
      </c>
      <c r="J336" s="17">
        <f>IF(AND(C336&lt;&gt;"",D336&lt;&gt;""),IF(C336=0,"",D336/C336-1),"")</f>
        <v/>
      </c>
      <c r="K336" s="5" t="inlineStr">
        <is>
          <t>Precio neto: tarifa 132,94 € con 4 % de dto</t>
        </is>
      </c>
    </row>
    <row r="337">
      <c r="A337" s="5" t="inlineStr">
        <is>
          <t>TOMATERIA DE CEA</t>
        </is>
      </c>
      <c r="B337" s="5" t="inlineStr">
        <is>
          <t>RAF IBERICO</t>
        </is>
      </c>
      <c r="C337" s="11" t="n">
        <v>6</v>
      </c>
      <c r="D337" s="11" t="n">
        <v>6.5</v>
      </c>
      <c r="E337" s="11" t="n">
        <v>6.5</v>
      </c>
      <c r="F337" s="11">
        <f>IF(D337&lt;&gt;"",D337,IF(C337&lt;&gt;"",C337,""))</f>
        <v/>
      </c>
      <c r="G337" s="11">
        <f>IF(AND(E337&lt;&gt;"",F337&lt;&gt;""),E337-F337,"")</f>
        <v/>
      </c>
      <c r="H337" s="17">
        <f>IF(G337="","",IF(F337=0,"",G337/F337))</f>
        <v/>
      </c>
      <c r="I337" s="18">
        <f>IF(E337="","SIN COMPRA",IF(F337="","NUEVO",IF(AND(ABS(G337)&lt;0.015,ABS(G337)&lt;F337*0.005),"IGUAL",IF(G337&gt;0,"SUBE","BAJA"))))</f>
        <v/>
      </c>
      <c r="J337" s="17">
        <f>IF(AND(C337&lt;&gt;"",D337&lt;&gt;""),IF(C337=0,"",D337/C337-1),"")</f>
        <v/>
      </c>
      <c r="K337" s="5" t="inlineStr">
        <is>
          <t>Producto fresco: precio de mercado, fluctúa. Varios precios en agosto: 6,00 / 6,50</t>
        </is>
      </c>
    </row>
    <row r="338">
      <c r="A338" s="5" t="inlineStr">
        <is>
          <t>TOMATERIA DE CEA</t>
        </is>
      </c>
      <c r="B338" s="5" t="inlineStr">
        <is>
          <t>TOMATE MAR AZUL</t>
        </is>
      </c>
      <c r="C338" s="11" t="n"/>
      <c r="D338" s="11" t="n"/>
      <c r="E338" s="11" t="n">
        <v>6.5</v>
      </c>
      <c r="F338" s="11">
        <f>IF(D338&lt;&gt;"",D338,IF(C338&lt;&gt;"",C338,""))</f>
        <v/>
      </c>
      <c r="G338" s="11">
        <f>IF(AND(E338&lt;&gt;"",F338&lt;&gt;""),E338-F338,"")</f>
        <v/>
      </c>
      <c r="H338" s="17">
        <f>IF(G338="","",IF(F338=0,"",G338/F338))</f>
        <v/>
      </c>
      <c r="I338" s="18">
        <f>IF(E338="","SIN COMPRA",IF(F338="","NUEVO",IF(AND(ABS(G338)&lt;0.015,ABS(G338)&lt;F338*0.005),"IGUAL",IF(G338&gt;0,"SUBE","BAJA"))))</f>
        <v/>
      </c>
      <c r="J338" s="17">
        <f>IF(AND(C338&lt;&gt;"",D338&lt;&gt;""),IF(C338=0,"",D338/C338-1),"")</f>
        <v/>
      </c>
      <c r="K338" s="5" t="inlineStr">
        <is>
          <t>Producto fresco: precio de mercado, fluctúa</t>
        </is>
      </c>
    </row>
    <row r="339">
      <c r="A339" s="5" t="inlineStr">
        <is>
          <t>VENERO CLARO</t>
        </is>
      </c>
      <c r="B339" s="5" t="inlineStr">
        <is>
          <t>LOMO VACA VENERO CLARO C/H</t>
        </is>
      </c>
      <c r="C339" s="11" t="n">
        <v>26</v>
      </c>
      <c r="D339" s="11" t="n">
        <v>26</v>
      </c>
      <c r="E339" s="11" t="n">
        <v>26</v>
      </c>
      <c r="F339" s="11">
        <f>IF(D339&lt;&gt;"",D339,IF(C339&lt;&gt;"",C339,""))</f>
        <v/>
      </c>
      <c r="G339" s="11">
        <f>IF(AND(E339&lt;&gt;"",F339&lt;&gt;""),E339-F339,"")</f>
        <v/>
      </c>
      <c r="H339" s="17">
        <f>IF(G339="","",IF(F339=0,"",G339/F339))</f>
        <v/>
      </c>
      <c r="I339" s="18">
        <f>IF(E339="","SIN COMPRA",IF(F339="","NUEVO",IF(AND(ABS(G339)&lt;0.015,ABS(G339)&lt;F339*0.005),"IGUAL",IF(G339&gt;0,"SUBE","BAJA"))))</f>
        <v/>
      </c>
      <c r="J339" s="17">
        <f>IF(AND(C339&lt;&gt;"",D339&lt;&gt;""),IF(C339=0,"",D339/C339-1),"")</f>
        <v/>
      </c>
      <c r="K339" s="5" t="n"/>
    </row>
    <row r="340">
      <c r="A340" s="5" t="inlineStr">
        <is>
          <t>VINS DES DIEUX</t>
        </is>
      </c>
      <c r="B340" s="5" t="inlineStr">
        <is>
          <t>CANTALAPIEDRA CHIVIRITERO 2024</t>
        </is>
      </c>
      <c r="C340" s="11" t="n">
        <v>16.9</v>
      </c>
      <c r="D340" s="11" t="n"/>
      <c r="E340" s="11" t="n">
        <v>15.55</v>
      </c>
      <c r="F340" s="11">
        <f>IF(D340&lt;&gt;"",D340,IF(C340&lt;&gt;"",C340,""))</f>
        <v/>
      </c>
      <c r="G340" s="11">
        <f>IF(AND(E340&lt;&gt;"",F340&lt;&gt;""),E340-F340,"")</f>
        <v/>
      </c>
      <c r="H340" s="17">
        <f>IF(G340="","",IF(F340=0,"",G340/F340))</f>
        <v/>
      </c>
      <c r="I340" s="18">
        <f>IF(E340="","SIN COMPRA",IF(F340="","NUEVO",IF(AND(ABS(G340)&lt;0.015,ABS(G340)&lt;F340*0.005),"IGUAL",IF(G340&gt;0,"SUBE","BAJA"))))</f>
        <v/>
      </c>
      <c r="J340" s="17">
        <f>IF(AND(C340&lt;&gt;"",D340&lt;&gt;""),IF(C340=0,"",D340/C340-1),"")</f>
        <v/>
      </c>
      <c r="K340" s="5" t="inlineStr">
        <is>
          <t>Precio neto: tarifa 16,90 € con 8 % de dto. OJO: cambia el dto. (julio 0 %, septiembre 8 %)</t>
        </is>
      </c>
    </row>
    <row r="341">
      <c r="A341" s="5" t="inlineStr">
        <is>
          <t>VINS DES DIEUX</t>
        </is>
      </c>
      <c r="B341" s="5" t="inlineStr">
        <is>
          <t>CHAMPAGNE CHAVOST BLANC D'ASSEMBLAGE BRUT NATURE</t>
        </is>
      </c>
      <c r="C341" s="11" t="n"/>
      <c r="D341" s="11" t="n"/>
      <c r="E341" s="11" t="n">
        <v>28.43</v>
      </c>
      <c r="F341" s="11">
        <f>IF(D341&lt;&gt;"",D341,IF(C341&lt;&gt;"",C341,""))</f>
        <v/>
      </c>
      <c r="G341" s="11">
        <f>IF(AND(E341&lt;&gt;"",F341&lt;&gt;""),E341-F341,"")</f>
        <v/>
      </c>
      <c r="H341" s="17">
        <f>IF(G341="","",IF(F341=0,"",G341/F341))</f>
        <v/>
      </c>
      <c r="I341" s="18">
        <f>IF(E341="","SIN COMPRA",IF(F341="","NUEVO",IF(AND(ABS(G341)&lt;0.015,ABS(G341)&lt;F341*0.005),"IGUAL",IF(G341&gt;0,"SUBE","BAJA"))))</f>
        <v/>
      </c>
      <c r="J341" s="17">
        <f>IF(AND(C341&lt;&gt;"",D341&lt;&gt;""),IF(C341=0,"",D341/C341-1),"")</f>
        <v/>
      </c>
      <c r="K341" s="5" t="inlineStr">
        <is>
          <t>Precio neto: tarifa 30,90 € con 8 % de dto</t>
        </is>
      </c>
    </row>
    <row r="342">
      <c r="A342" s="5" t="inlineStr">
        <is>
          <t>VOLDIS</t>
        </is>
      </c>
      <c r="B342" s="5" t="inlineStr">
        <is>
          <t>AGUA CON GAS SOLAN DE CABRAS VIDRIO RNR 33CL</t>
        </is>
      </c>
      <c r="C342" s="11" t="n">
        <v>16.09</v>
      </c>
      <c r="D342" s="11" t="n"/>
      <c r="E342" s="11" t="n">
        <v>16.09</v>
      </c>
      <c r="F342" s="11">
        <f>IF(D342&lt;&gt;"",D342,IF(C342&lt;&gt;"",C342,""))</f>
        <v/>
      </c>
      <c r="G342" s="11">
        <f>IF(AND(E342&lt;&gt;"",F342&lt;&gt;""),E342-F342,"")</f>
        <v/>
      </c>
      <c r="H342" s="17">
        <f>IF(G342="","",IF(F342=0,"",G342/F342))</f>
        <v/>
      </c>
      <c r="I342" s="18">
        <f>IF(E342="","SIN COMPRA",IF(F342="","NUEVO",IF(AND(ABS(G342)&lt;0.015,ABS(G342)&lt;F342*0.005),"IGUAL",IF(G342&gt;0,"SUBE","BAJA"))))</f>
        <v/>
      </c>
      <c r="J342" s="17">
        <f>IF(AND(C342&lt;&gt;"",D342&lt;&gt;""),IF(C342=0,"",D342/C342-1),"")</f>
        <v/>
      </c>
      <c r="K342" s="5" t="inlineStr">
        <is>
          <t>Precio neto: tarifa 26,81 € con 40 % de dto</t>
        </is>
      </c>
    </row>
    <row r="343">
      <c r="A343" s="5" t="inlineStr">
        <is>
          <t>VOLDIS</t>
        </is>
      </c>
      <c r="B343" s="5" t="inlineStr">
        <is>
          <t>AGUA SOLAN DE CABRAS VIDRIO RET 50CL 20U</t>
        </is>
      </c>
      <c r="C343" s="11" t="n">
        <v>7.38</v>
      </c>
      <c r="D343" s="11" t="n"/>
      <c r="E343" s="11" t="n">
        <v>7.38</v>
      </c>
      <c r="F343" s="11">
        <f>IF(D343&lt;&gt;"",D343,IF(C343&lt;&gt;"",C343,""))</f>
        <v/>
      </c>
      <c r="G343" s="11">
        <f>IF(AND(E343&lt;&gt;"",F343&lt;&gt;""),E343-F343,"")</f>
        <v/>
      </c>
      <c r="H343" s="17">
        <f>IF(G343="","",IF(F343=0,"",G343/F343))</f>
        <v/>
      </c>
      <c r="I343" s="18">
        <f>IF(E343="","SIN COMPRA",IF(F343="","NUEVO",IF(AND(ABS(G343)&lt;0.015,ABS(G343)&lt;F343*0.005),"IGUAL",IF(G343&gt;0,"SUBE","BAJA"))))</f>
        <v/>
      </c>
      <c r="J343" s="17">
        <f>IF(AND(C343&lt;&gt;"",D343&lt;&gt;""),IF(C343=0,"",D343/C343-1),"")</f>
        <v/>
      </c>
      <c r="K343" s="5" t="inlineStr">
        <is>
          <t>Precio neto: tarifa 12,30 € con 40 % de dto</t>
        </is>
      </c>
    </row>
    <row r="344">
      <c r="A344" s="5" t="inlineStr">
        <is>
          <t>VOLDIS</t>
        </is>
      </c>
      <c r="B344" s="5" t="inlineStr">
        <is>
          <t>ALHAMBRA RESERVA 1925 VIDRIO NR 33CL</t>
        </is>
      </c>
      <c r="C344" s="11" t="n">
        <v>41.92</v>
      </c>
      <c r="D344" s="11" t="n"/>
      <c r="E344" s="11" t="n">
        <v>41.92</v>
      </c>
      <c r="F344" s="11">
        <f>IF(D344&lt;&gt;"",D344,IF(C344&lt;&gt;"",C344,""))</f>
        <v/>
      </c>
      <c r="G344" s="11">
        <f>IF(AND(E344&lt;&gt;"",F344&lt;&gt;""),E344-F344,"")</f>
        <v/>
      </c>
      <c r="H344" s="17">
        <f>IF(G344="","",IF(F344=0,"",G344/F344))</f>
        <v/>
      </c>
      <c r="I344" s="18">
        <f>IF(E344="","SIN COMPRA",IF(F344="","NUEVO",IF(AND(ABS(G344)&lt;0.015,ABS(G344)&lt;F344*0.005),"IGUAL",IF(G344&gt;0,"SUBE","BAJA"))))</f>
        <v/>
      </c>
      <c r="J344" s="17">
        <f>IF(AND(C344&lt;&gt;"",D344&lt;&gt;""),IF(C344=0,"",D344/C344-1),"")</f>
        <v/>
      </c>
      <c r="K344" s="5" t="n"/>
    </row>
    <row r="345">
      <c r="A345" s="5" t="inlineStr">
        <is>
          <t>VOLDIS</t>
        </is>
      </c>
      <c r="B345" s="5" t="inlineStr">
        <is>
          <t>AQUARADE ZERO LIMON VIDRIO RET 35CL</t>
        </is>
      </c>
      <c r="C345" s="11" t="n">
        <v>33.54</v>
      </c>
      <c r="D345" s="11" t="n"/>
      <c r="E345" s="11" t="n">
        <v>33.84</v>
      </c>
      <c r="F345" s="11">
        <f>IF(D345&lt;&gt;"",D345,IF(C345&lt;&gt;"",C345,""))</f>
        <v/>
      </c>
      <c r="G345" s="11">
        <f>IF(AND(E345&lt;&gt;"",F345&lt;&gt;""),E345-F345,"")</f>
        <v/>
      </c>
      <c r="H345" s="17">
        <f>IF(G345="","",IF(F345=0,"",G345/F345))</f>
        <v/>
      </c>
      <c r="I345" s="18">
        <f>IF(E345="","SIN COMPRA",IF(F345="","NUEVO",IF(AND(ABS(G345)&lt;0.015,ABS(G345)&lt;F345*0.005),"IGUAL",IF(G345&gt;0,"SUBE","BAJA"))))</f>
        <v/>
      </c>
      <c r="J345" s="17">
        <f>IF(AND(C345&lt;&gt;"",D345&lt;&gt;""),IF(C345=0,"",D345/C345-1),"")</f>
        <v/>
      </c>
      <c r="K345" s="5" t="n"/>
    </row>
    <row r="346">
      <c r="A346" s="5" t="inlineStr">
        <is>
          <t>VOLDIS</t>
        </is>
      </c>
      <c r="B346" s="5" t="inlineStr">
        <is>
          <t>AQUARADE ZERO NARANJA VIDRIO RET 35CL</t>
        </is>
      </c>
      <c r="C346" s="11" t="n">
        <v>33.84</v>
      </c>
      <c r="D346" s="11" t="n"/>
      <c r="E346" s="11" t="n">
        <v>33.84</v>
      </c>
      <c r="F346" s="11">
        <f>IF(D346&lt;&gt;"",D346,IF(C346&lt;&gt;"",C346,""))</f>
        <v/>
      </c>
      <c r="G346" s="11">
        <f>IF(AND(E346&lt;&gt;"",F346&lt;&gt;""),E346-F346,"")</f>
        <v/>
      </c>
      <c r="H346" s="17">
        <f>IF(G346="","",IF(F346=0,"",G346/F346))</f>
        <v/>
      </c>
      <c r="I346" s="18">
        <f>IF(E346="","SIN COMPRA",IF(F346="","NUEVO",IF(AND(ABS(G346)&lt;0.015,ABS(G346)&lt;F346*0.005),"IGUAL",IF(G346&gt;0,"SUBE","BAJA"))))</f>
        <v/>
      </c>
      <c r="J346" s="17">
        <f>IF(AND(C346&lt;&gt;"",D346&lt;&gt;""),IF(C346=0,"",D346/C346-1),"")</f>
        <v/>
      </c>
      <c r="K346" s="5" t="n"/>
    </row>
    <row r="347">
      <c r="A347" s="5" t="inlineStr">
        <is>
          <t>VOLDIS</t>
        </is>
      </c>
      <c r="B347" s="5" t="inlineStr">
        <is>
          <t>LA CASERA GASEOSA PET 1L CAJA 12U</t>
        </is>
      </c>
      <c r="C347" s="11" t="n">
        <v>21.48</v>
      </c>
      <c r="D347" s="11" t="n"/>
      <c r="E347" s="11" t="n"/>
      <c r="F347" s="11">
        <f>IF(D347&lt;&gt;"",D347,IF(C347&lt;&gt;"",C347,""))</f>
        <v/>
      </c>
      <c r="G347" s="11">
        <f>IF(AND(E347&lt;&gt;"",F347&lt;&gt;""),E347-F347,"")</f>
        <v/>
      </c>
      <c r="H347" s="17">
        <f>IF(G347="","",IF(F347=0,"",G347/F347))</f>
        <v/>
      </c>
      <c r="I347" s="18">
        <f>IF(E347="","SIN COMPRA",IF(F347="","NUEVO",IF(AND(ABS(G347)&lt;0.015,ABS(G347)&lt;F347*0.005),"IGUAL",IF(G347&gt;0,"SUBE","BAJA"))))</f>
        <v/>
      </c>
      <c r="J347" s="17">
        <f>IF(AND(C347&lt;&gt;"",D347&lt;&gt;""),IF(C347=0,"",D347/C347-1),"")</f>
        <v/>
      </c>
      <c r="K347" s="5" t="n"/>
    </row>
    <row r="348">
      <c r="A348" s="5" t="inlineStr">
        <is>
          <t>VOLDIS</t>
        </is>
      </c>
      <c r="B348" s="5" t="inlineStr">
        <is>
          <t>LA CASERA GASEOSA PET 50CL CAJA 12U</t>
        </is>
      </c>
      <c r="C348" s="11" t="n"/>
      <c r="D348" s="11" t="n"/>
      <c r="E348" s="11" t="n">
        <v>15.96</v>
      </c>
      <c r="F348" s="11">
        <f>IF(D348&lt;&gt;"",D348,IF(C348&lt;&gt;"",C348,""))</f>
        <v/>
      </c>
      <c r="G348" s="11">
        <f>IF(AND(E348&lt;&gt;"",F348&lt;&gt;""),E348-F348,"")</f>
        <v/>
      </c>
      <c r="H348" s="17">
        <f>IF(G348="","",IF(F348=0,"",G348/F348))</f>
        <v/>
      </c>
      <c r="I348" s="18">
        <f>IF(E348="","SIN COMPRA",IF(F348="","NUEVO",IF(AND(ABS(G348)&lt;0.015,ABS(G348)&lt;F348*0.005),"IGUAL",IF(G348&gt;0,"SUBE","BAJA"))))</f>
        <v/>
      </c>
      <c r="J348" s="17">
        <f>IF(AND(C348&lt;&gt;"",D348&lt;&gt;""),IF(C348=0,"",D348/C348-1),"")</f>
        <v/>
      </c>
      <c r="K348" s="5" t="n"/>
    </row>
    <row r="349">
      <c r="A349" s="5" t="inlineStr">
        <is>
          <t>VOLDIS</t>
        </is>
      </c>
      <c r="B349" s="5" t="inlineStr">
        <is>
          <t>LA CASERA LIMON PET 1L CAJA 12U</t>
        </is>
      </c>
      <c r="C349" s="11" t="n">
        <v>24.61</v>
      </c>
      <c r="D349" s="11" t="n"/>
      <c r="E349" s="11" t="n">
        <v>24.61</v>
      </c>
      <c r="F349" s="11">
        <f>IF(D349&lt;&gt;"",D349,IF(C349&lt;&gt;"",C349,""))</f>
        <v/>
      </c>
      <c r="G349" s="11">
        <f>IF(AND(E349&lt;&gt;"",F349&lt;&gt;""),E349-F349,"")</f>
        <v/>
      </c>
      <c r="H349" s="17">
        <f>IF(G349="","",IF(F349=0,"",G349/F349))</f>
        <v/>
      </c>
      <c r="I349" s="18">
        <f>IF(E349="","SIN COMPRA",IF(F349="","NUEVO",IF(AND(ABS(G349)&lt;0.015,ABS(G349)&lt;F349*0.005),"IGUAL",IF(G349&gt;0,"SUBE","BAJA"))))</f>
        <v/>
      </c>
      <c r="J349" s="17">
        <f>IF(AND(C349&lt;&gt;"",D349&lt;&gt;""),IF(C349=0,"",D349/C349-1),"")</f>
        <v/>
      </c>
      <c r="K349" s="5" t="n"/>
    </row>
    <row r="350">
      <c r="A350" s="5" t="inlineStr">
        <is>
          <t>VOLDIS</t>
        </is>
      </c>
      <c r="B350" s="5" t="inlineStr">
        <is>
          <t>LIPTON ZERO LIMON VIDRIO RET 35CL CAJA 24U</t>
        </is>
      </c>
      <c r="C350" s="11" t="n">
        <v>32.88</v>
      </c>
      <c r="D350" s="11" t="n"/>
      <c r="E350" s="11" t="n">
        <v>32.88</v>
      </c>
      <c r="F350" s="11">
        <f>IF(D350&lt;&gt;"",D350,IF(C350&lt;&gt;"",C350,""))</f>
        <v/>
      </c>
      <c r="G350" s="11">
        <f>IF(AND(E350&lt;&gt;"",F350&lt;&gt;""),E350-F350,"")</f>
        <v/>
      </c>
      <c r="H350" s="17">
        <f>IF(G350="","",IF(F350=0,"",G350/F350))</f>
        <v/>
      </c>
      <c r="I350" s="18">
        <f>IF(E350="","SIN COMPRA",IF(F350="","NUEVO",IF(AND(ABS(G350)&lt;0.015,ABS(G350)&lt;F350*0.005),"IGUAL",IF(G350&gt;0,"SUBE","BAJA"))))</f>
        <v/>
      </c>
      <c r="J350" s="17">
        <f>IF(AND(C350&lt;&gt;"",D350&lt;&gt;""),IF(C350=0,"",D350/C350-1),"")</f>
        <v/>
      </c>
      <c r="K350" s="5" t="n"/>
    </row>
    <row r="351">
      <c r="A351" s="5" t="inlineStr">
        <is>
          <t>VOLDIS</t>
        </is>
      </c>
      <c r="B351" s="5" t="inlineStr">
        <is>
          <t>MAHOU 0,0 TOSTADA VIDRIO RET 33CL</t>
        </is>
      </c>
      <c r="C351" s="11" t="n">
        <v>38.3</v>
      </c>
      <c r="D351" s="11" t="n"/>
      <c r="E351" s="11" t="n">
        <v>38.3</v>
      </c>
      <c r="F351" s="11">
        <f>IF(D351&lt;&gt;"",D351,IF(C351&lt;&gt;"",C351,""))</f>
        <v/>
      </c>
      <c r="G351" s="11">
        <f>IF(AND(E351&lt;&gt;"",F351&lt;&gt;""),E351-F351,"")</f>
        <v/>
      </c>
      <c r="H351" s="17">
        <f>IF(G351="","",IF(F351=0,"",G351/F351))</f>
        <v/>
      </c>
      <c r="I351" s="18">
        <f>IF(E351="","SIN COMPRA",IF(F351="","NUEVO",IF(AND(ABS(G351)&lt;0.015,ABS(G351)&lt;F351*0.005),"IGUAL",IF(G351&gt;0,"SUBE","BAJA"))))</f>
        <v/>
      </c>
      <c r="J351" s="17">
        <f>IF(AND(C351&lt;&gt;"",D351&lt;&gt;""),IF(C351=0,"",D351/C351-1),"")</f>
        <v/>
      </c>
      <c r="K351" s="5" t="n"/>
    </row>
    <row r="352">
      <c r="A352" s="5" t="inlineStr">
        <is>
          <t>VOLDIS</t>
        </is>
      </c>
      <c r="B352" s="5" t="inlineStr">
        <is>
          <t>MAHOU 5 ESTRELLAS SIN GLUTEN VIDRIO NR 33CL</t>
        </is>
      </c>
      <c r="C352" s="11" t="n">
        <v>45.52</v>
      </c>
      <c r="D352" s="11" t="n"/>
      <c r="E352" s="11" t="n">
        <v>45.52</v>
      </c>
      <c r="F352" s="11">
        <f>IF(D352&lt;&gt;"",D352,IF(C352&lt;&gt;"",C352,""))</f>
        <v/>
      </c>
      <c r="G352" s="11">
        <f>IF(AND(E352&lt;&gt;"",F352&lt;&gt;""),E352-F352,"")</f>
        <v/>
      </c>
      <c r="H352" s="17">
        <f>IF(G352="","",IF(F352=0,"",G352/F352))</f>
        <v/>
      </c>
      <c r="I352" s="18">
        <f>IF(E352="","SIN COMPRA",IF(F352="","NUEVO",IF(AND(ABS(G352)&lt;0.015,ABS(G352)&lt;F352*0.005),"IGUAL",IF(G352&gt;0,"SUBE","BAJA"))))</f>
        <v/>
      </c>
      <c r="J352" s="17">
        <f>IF(AND(C352&lt;&gt;"",D352&lt;&gt;""),IF(C352=0,"",D352/C352-1),"")</f>
        <v/>
      </c>
      <c r="K352" s="5" t="n"/>
    </row>
    <row r="353">
      <c r="A353" s="5" t="inlineStr">
        <is>
          <t>VOLDIS</t>
        </is>
      </c>
      <c r="B353" s="5" t="inlineStr">
        <is>
          <t>MAHOU 5 ESTRELLAS VIDRIO RET 33CL CAJA 24U</t>
        </is>
      </c>
      <c r="C353" s="11" t="n">
        <v>31.26</v>
      </c>
      <c r="D353" s="11" t="n"/>
      <c r="E353" s="11" t="n">
        <v>31.27</v>
      </c>
      <c r="F353" s="11">
        <f>IF(D353&lt;&gt;"",D353,IF(C353&lt;&gt;"",C353,""))</f>
        <v/>
      </c>
      <c r="G353" s="11">
        <f>IF(AND(E353&lt;&gt;"",F353&lt;&gt;""),E353-F353,"")</f>
        <v/>
      </c>
      <c r="H353" s="17">
        <f>IF(G353="","",IF(F353=0,"",G353/F353))</f>
        <v/>
      </c>
      <c r="I353" s="18">
        <f>IF(E353="","SIN COMPRA",IF(F353="","NUEVO",IF(AND(ABS(G353)&lt;0.015,ABS(G353)&lt;F353*0.005),"IGUAL",IF(G353&gt;0,"SUBE","BAJA"))))</f>
        <v/>
      </c>
      <c r="J353" s="17">
        <f>IF(AND(C353&lt;&gt;"",D353&lt;&gt;""),IF(C353=0,"",D353/C353-1),"")</f>
        <v/>
      </c>
      <c r="K353" s="5" t="n"/>
    </row>
    <row r="354">
      <c r="A354" s="5" t="inlineStr">
        <is>
          <t>VOLDIS</t>
        </is>
      </c>
      <c r="B354" s="5" t="inlineStr">
        <is>
          <t>MAHOU SIN BARRIL RET 10L</t>
        </is>
      </c>
      <c r="C354" s="11" t="n">
        <v>46.21</v>
      </c>
      <c r="D354" s="11" t="n"/>
      <c r="E354" s="11" t="n">
        <v>46.21</v>
      </c>
      <c r="F354" s="11">
        <f>IF(D354&lt;&gt;"",D354,IF(C354&lt;&gt;"",C354,""))</f>
        <v/>
      </c>
      <c r="G354" s="11">
        <f>IF(AND(E354&lt;&gt;"",F354&lt;&gt;""),E354-F354,"")</f>
        <v/>
      </c>
      <c r="H354" s="17">
        <f>IF(G354="","",IF(F354=0,"",G354/F354))</f>
        <v/>
      </c>
      <c r="I354" s="18">
        <f>IF(E354="","SIN COMPRA",IF(F354="","NUEVO",IF(AND(ABS(G354)&lt;0.015,ABS(G354)&lt;F354*0.005),"IGUAL",IF(G354&gt;0,"SUBE","BAJA"))))</f>
        <v/>
      </c>
      <c r="J354" s="17">
        <f>IF(AND(C354&lt;&gt;"",D354&lt;&gt;""),IF(C354=0,"",D354/C354-1),"")</f>
        <v/>
      </c>
      <c r="K354" s="5" t="n"/>
    </row>
    <row r="355">
      <c r="A355" s="5" t="inlineStr">
        <is>
          <t>VOLDIS</t>
        </is>
      </c>
      <c r="B355" s="5" t="inlineStr">
        <is>
          <t>SCHWEPPES GINGER ALE LOW CAL VIDRIO RET 20CL CAJA 28 U</t>
        </is>
      </c>
      <c r="C355" s="11" t="n">
        <v>31.92</v>
      </c>
      <c r="D355" s="11" t="n"/>
      <c r="E355" s="11" t="n">
        <v>31.92</v>
      </c>
      <c r="F355" s="11">
        <f>IF(D355&lt;&gt;"",D355,IF(C355&lt;&gt;"",C355,""))</f>
        <v/>
      </c>
      <c r="G355" s="11">
        <f>IF(AND(E355&lt;&gt;"",F355&lt;&gt;""),E355-F355,"")</f>
        <v/>
      </c>
      <c r="H355" s="17">
        <f>IF(G355="","",IF(F355=0,"",G355/F355))</f>
        <v/>
      </c>
      <c r="I355" s="18">
        <f>IF(E355="","SIN COMPRA",IF(F355="","NUEVO",IF(AND(ABS(G355)&lt;0.015,ABS(G355)&lt;F355*0.005),"IGUAL",IF(G355&gt;0,"SUBE","BAJA"))))</f>
        <v/>
      </c>
      <c r="J355" s="17">
        <f>IF(AND(C355&lt;&gt;"",D355&lt;&gt;""),IF(C355=0,"",D355/C355-1),"")</f>
        <v/>
      </c>
      <c r="K355" s="5" t="n"/>
    </row>
    <row r="356">
      <c r="A356" s="5" t="inlineStr">
        <is>
          <t>VOLDIS</t>
        </is>
      </c>
      <c r="B356" s="5" t="inlineStr">
        <is>
          <t>SCHWEPPES LIMON LOW CAL VIDRIO RET 20CL</t>
        </is>
      </c>
      <c r="C356" s="11" t="n">
        <v>26.04</v>
      </c>
      <c r="D356" s="11" t="n"/>
      <c r="E356" s="11" t="n">
        <v>26.04</v>
      </c>
      <c r="F356" s="11">
        <f>IF(D356&lt;&gt;"",D356,IF(C356&lt;&gt;"",C356,""))</f>
        <v/>
      </c>
      <c r="G356" s="11">
        <f>IF(AND(E356&lt;&gt;"",F356&lt;&gt;""),E356-F356,"")</f>
        <v/>
      </c>
      <c r="H356" s="17">
        <f>IF(G356="","",IF(F356=0,"",G356/F356))</f>
        <v/>
      </c>
      <c r="I356" s="18">
        <f>IF(E356="","SIN COMPRA",IF(F356="","NUEVO",IF(AND(ABS(G356)&lt;0.015,ABS(G356)&lt;F356*0.005),"IGUAL",IF(G356&gt;0,"SUBE","BAJA"))))</f>
        <v/>
      </c>
      <c r="J356" s="17">
        <f>IF(AND(C356&lt;&gt;"",D356&lt;&gt;""),IF(C356=0,"",D356/C356-1),"")</f>
        <v/>
      </c>
      <c r="K356" s="5" t="n"/>
    </row>
    <row r="357">
      <c r="A357" s="5" t="inlineStr">
        <is>
          <t>VOLDIS</t>
        </is>
      </c>
      <c r="B357" s="5" t="inlineStr">
        <is>
          <t>SCHWEPPES NARANJA LOW CAL VIDRIO RET 20CL</t>
        </is>
      </c>
      <c r="C357" s="11" t="n">
        <v>26.04</v>
      </c>
      <c r="D357" s="11" t="n"/>
      <c r="E357" s="11" t="n">
        <v>26.04</v>
      </c>
      <c r="F357" s="11">
        <f>IF(D357&lt;&gt;"",D357,IF(C357&lt;&gt;"",C357,""))</f>
        <v/>
      </c>
      <c r="G357" s="11">
        <f>IF(AND(E357&lt;&gt;"",F357&lt;&gt;""),E357-F357,"")</f>
        <v/>
      </c>
      <c r="H357" s="17">
        <f>IF(G357="","",IF(F357=0,"",G357/F357))</f>
        <v/>
      </c>
      <c r="I357" s="18">
        <f>IF(E357="","SIN COMPRA",IF(F357="","NUEVO",IF(AND(ABS(G357)&lt;0.015,ABS(G357)&lt;F357*0.005),"IGUAL",IF(G357&gt;0,"SUBE","BAJA"))))</f>
        <v/>
      </c>
      <c r="J357" s="17">
        <f>IF(AND(C357&lt;&gt;"",D357&lt;&gt;""),IF(C357=0,"",D357/C357-1),"")</f>
        <v/>
      </c>
      <c r="K357" s="5" t="n"/>
    </row>
    <row r="358">
      <c r="A358" s="5" t="inlineStr">
        <is>
          <t>VOLDIS</t>
        </is>
      </c>
      <c r="B358" s="5" t="inlineStr">
        <is>
          <t>SCHWEPPES SELECTION GINGER BEER VIDRIO NR 20CL</t>
        </is>
      </c>
      <c r="C358" s="11" t="n"/>
      <c r="D358" s="11" t="n"/>
      <c r="E358" s="11" t="n">
        <v>23.28</v>
      </c>
      <c r="F358" s="11">
        <f>IF(D358&lt;&gt;"",D358,IF(C358&lt;&gt;"",C358,""))</f>
        <v/>
      </c>
      <c r="G358" s="11">
        <f>IF(AND(E358&lt;&gt;"",F358&lt;&gt;""),E358-F358,"")</f>
        <v/>
      </c>
      <c r="H358" s="17">
        <f>IF(G358="","",IF(F358=0,"",G358/F358))</f>
        <v/>
      </c>
      <c r="I358" s="18">
        <f>IF(E358="","SIN COMPRA",IF(F358="","NUEVO",IF(AND(ABS(G358)&lt;0.015,ABS(G358)&lt;F358*0.005),"IGUAL",IF(G358&gt;0,"SUBE","BAJA"))))</f>
        <v/>
      </c>
      <c r="J358" s="17">
        <f>IF(AND(C358&lt;&gt;"",D358&lt;&gt;""),IF(C358=0,"",D358/C358-1),"")</f>
        <v/>
      </c>
      <c r="K358" s="5" t="n"/>
    </row>
    <row r="359">
      <c r="A359" s="5" t="inlineStr">
        <is>
          <t>VOLDIS</t>
        </is>
      </c>
      <c r="B359" s="5" t="inlineStr">
        <is>
          <t>SCHWEPPES TONICA VIDRIO RET 20CL CAJA 28U</t>
        </is>
      </c>
      <c r="C359" s="11" t="n">
        <v>31.92</v>
      </c>
      <c r="D359" s="11" t="n"/>
      <c r="E359" s="11" t="n">
        <v>31.92</v>
      </c>
      <c r="F359" s="11">
        <f>IF(D359&lt;&gt;"",D359,IF(C359&lt;&gt;"",C359,""))</f>
        <v/>
      </c>
      <c r="G359" s="11">
        <f>IF(AND(E359&lt;&gt;"",F359&lt;&gt;""),E359-F359,"")</f>
        <v/>
      </c>
      <c r="H359" s="17">
        <f>IF(G359="","",IF(F359=0,"",G359/F359))</f>
        <v/>
      </c>
      <c r="I359" s="18">
        <f>IF(E359="","SIN COMPRA",IF(F359="","NUEVO",IF(AND(ABS(G359)&lt;0.015,ABS(G359)&lt;F359*0.005),"IGUAL",IF(G359&gt;0,"SUBE","BAJA"))))</f>
        <v/>
      </c>
      <c r="J359" s="17">
        <f>IF(AND(C359&lt;&gt;"",D359&lt;&gt;""),IF(C359=0,"",D359/C359-1),"")</f>
        <v/>
      </c>
      <c r="K359" s="5" t="n"/>
    </row>
    <row r="360">
      <c r="A360" s="5" t="inlineStr">
        <is>
          <t>VOLDIS</t>
        </is>
      </c>
      <c r="B360" s="5" t="inlineStr">
        <is>
          <t>SEVEN UP ZERO AXL VIDRIO RET 20CL</t>
        </is>
      </c>
      <c r="C360" s="11" t="n">
        <v>23.28</v>
      </c>
      <c r="D360" s="11" t="n"/>
      <c r="E360" s="11" t="n">
        <v>23.28</v>
      </c>
      <c r="F360" s="11">
        <f>IF(D360&lt;&gt;"",D360,IF(C360&lt;&gt;"",C360,""))</f>
        <v/>
      </c>
      <c r="G360" s="11">
        <f>IF(AND(E360&lt;&gt;"",F360&lt;&gt;""),E360-F360,"")</f>
        <v/>
      </c>
      <c r="H360" s="17">
        <f>IF(G360="","",IF(F360=0,"",G360/F360))</f>
        <v/>
      </c>
      <c r="I360" s="18">
        <f>IF(E360="","SIN COMPRA",IF(F360="","NUEVO",IF(AND(ABS(G360)&lt;0.015,ABS(G360)&lt;F360*0.005),"IGUAL",IF(G360&gt;0,"SUBE","BAJA"))))</f>
        <v/>
      </c>
      <c r="J360" s="17">
        <f>IF(AND(C360&lt;&gt;"",D360&lt;&gt;""),IF(C360=0,"",D360/C360-1),"")</f>
        <v/>
      </c>
      <c r="K360" s="5" t="n"/>
    </row>
    <row r="361">
      <c r="A361" s="5" t="inlineStr">
        <is>
          <t>VOLDIS</t>
        </is>
      </c>
      <c r="B361" s="5" t="inlineStr">
        <is>
          <t>ZUMO VIDA MELOCOTON VIDRIO NR 20CL</t>
        </is>
      </c>
      <c r="C361" s="11" t="n"/>
      <c r="D361" s="11" t="n"/>
      <c r="E361" s="11" t="n">
        <v>29.91</v>
      </c>
      <c r="F361" s="11">
        <f>IF(D361&lt;&gt;"",D361,IF(C361&lt;&gt;"",C361,""))</f>
        <v/>
      </c>
      <c r="G361" s="11">
        <f>IF(AND(E361&lt;&gt;"",F361&lt;&gt;""),E361-F361,"")</f>
        <v/>
      </c>
      <c r="H361" s="17">
        <f>IF(G361="","",IF(F361=0,"",G361/F361))</f>
        <v/>
      </c>
      <c r="I361" s="18">
        <f>IF(E361="","SIN COMPRA",IF(F361="","NUEVO",IF(AND(ABS(G361)&lt;0.015,ABS(G361)&lt;F361*0.005),"IGUAL",IF(G361&gt;0,"SUBE","BAJA"))))</f>
        <v/>
      </c>
      <c r="J361" s="17">
        <f>IF(AND(C361&lt;&gt;"",D361&lt;&gt;""),IF(C361=0,"",D361/C361-1),"")</f>
        <v/>
      </c>
      <c r="K361" s="5" t="n"/>
    </row>
    <row r="362">
      <c r="A362" s="5" t="inlineStr">
        <is>
          <t>VOLDIS</t>
        </is>
      </c>
      <c r="B362" s="5" t="inlineStr">
        <is>
          <t>ZUMO VIDA NARANJA VIDRIO NR 20CL</t>
        </is>
      </c>
      <c r="C362" s="11" t="n">
        <v>29.91</v>
      </c>
      <c r="D362" s="11" t="n"/>
      <c r="E362" s="11" t="n">
        <v>29.91</v>
      </c>
      <c r="F362" s="11">
        <f>IF(D362&lt;&gt;"",D362,IF(C362&lt;&gt;"",C362,""))</f>
        <v/>
      </c>
      <c r="G362" s="11">
        <f>IF(AND(E362&lt;&gt;"",F362&lt;&gt;""),E362-F362,"")</f>
        <v/>
      </c>
      <c r="H362" s="17">
        <f>IF(G362="","",IF(F362=0,"",G362/F362))</f>
        <v/>
      </c>
      <c r="I362" s="18">
        <f>IF(E362="","SIN COMPRA",IF(F362="","NUEVO",IF(AND(ABS(G362)&lt;0.015,ABS(G362)&lt;F362*0.005),"IGUAL",IF(G362&gt;0,"SUBE","BAJA"))))</f>
        <v/>
      </c>
      <c r="J362" s="17">
        <f>IF(AND(C362&lt;&gt;"",D362&lt;&gt;""),IF(C362=0,"",D362/C362-1),"")</f>
        <v/>
      </c>
      <c r="K362" s="5" t="n"/>
    </row>
    <row r="363">
      <c r="A363" s="5" t="inlineStr">
        <is>
          <t>VOLDIS</t>
        </is>
      </c>
      <c r="B363" s="5" t="inlineStr">
        <is>
          <t>ZUMO VIDA PIÑA VIDRIO NR 20CL</t>
        </is>
      </c>
      <c r="C363" s="11" t="n">
        <v>29.91</v>
      </c>
      <c r="D363" s="11" t="n"/>
      <c r="E363" s="11" t="n"/>
      <c r="F363" s="11">
        <f>IF(D363&lt;&gt;"",D363,IF(C363&lt;&gt;"",C363,""))</f>
        <v/>
      </c>
      <c r="G363" s="11">
        <f>IF(AND(E363&lt;&gt;"",F363&lt;&gt;""),E363-F363,"")</f>
        <v/>
      </c>
      <c r="H363" s="17">
        <f>IF(G363="","",IF(F363=0,"",G363/F363))</f>
        <v/>
      </c>
      <c r="I363" s="18">
        <f>IF(E363="","SIN COMPRA",IF(F363="","NUEVO",IF(AND(ABS(G363)&lt;0.015,ABS(G363)&lt;F363*0.005),"IGUAL",IF(G363&gt;0,"SUBE","BAJA"))))</f>
        <v/>
      </c>
      <c r="J363" s="17">
        <f>IF(AND(C363&lt;&gt;"",D363&lt;&gt;""),IF(C363=0,"",D363/C363-1),"")</f>
        <v/>
      </c>
      <c r="K363" s="5" t="n"/>
    </row>
    <row r="364">
      <c r="A364" s="5" t="inlineStr">
        <is>
          <t>VOLDIS</t>
        </is>
      </c>
      <c r="B364" s="5" t="inlineStr">
        <is>
          <t>ZUMO VIDA TOMATE VIDRIO NR 20CL</t>
        </is>
      </c>
      <c r="C364" s="11" t="n"/>
      <c r="D364" s="11" t="n"/>
      <c r="E364" s="11" t="n">
        <v>29.91</v>
      </c>
      <c r="F364" s="11">
        <f>IF(D364&lt;&gt;"",D364,IF(C364&lt;&gt;"",C364,""))</f>
        <v/>
      </c>
      <c r="G364" s="11">
        <f>IF(AND(E364&lt;&gt;"",F364&lt;&gt;""),E364-F364,"")</f>
        <v/>
      </c>
      <c r="H364" s="17">
        <f>IF(G364="","",IF(F364=0,"",G364/F364))</f>
        <v/>
      </c>
      <c r="I364" s="18">
        <f>IF(E364="","SIN COMPRA",IF(F364="","NUEVO",IF(AND(ABS(G364)&lt;0.015,ABS(G364)&lt;F364*0.005),"IGUAL",IF(G364&gt;0,"SUBE","BAJA"))))</f>
        <v/>
      </c>
      <c r="J364" s="17">
        <f>IF(AND(C364&lt;&gt;"",D364&lt;&gt;""),IF(C364=0,"",D364/C364-1),"")</f>
        <v/>
      </c>
      <c r="K364" s="5" t="n"/>
    </row>
  </sheetData>
  <autoFilter ref="A55:K364"/>
  <mergeCells count="31">
    <mergeCell ref="G43:K43"/>
    <mergeCell ref="A30:K30"/>
    <mergeCell ref="A9:B9"/>
    <mergeCell ref="A11:E11"/>
    <mergeCell ref="G11:K11"/>
    <mergeCell ref="G36:K36"/>
    <mergeCell ref="G42:K42"/>
    <mergeCell ref="G39:K39"/>
    <mergeCell ref="A1:K1"/>
    <mergeCell ref="A6:B6"/>
    <mergeCell ref="G48:K48"/>
    <mergeCell ref="A7:B7"/>
    <mergeCell ref="G38:K38"/>
    <mergeCell ref="G37:K37"/>
    <mergeCell ref="G49:K49"/>
    <mergeCell ref="G34:K34"/>
    <mergeCell ref="A5:B5"/>
    <mergeCell ref="A2:K2"/>
    <mergeCell ref="G33:K33"/>
    <mergeCell ref="G45:K45"/>
    <mergeCell ref="A8:B8"/>
    <mergeCell ref="G35:K35"/>
    <mergeCell ref="G51:K51"/>
    <mergeCell ref="G47:K47"/>
    <mergeCell ref="G32:K32"/>
    <mergeCell ref="G50:K50"/>
    <mergeCell ref="G44:K44"/>
    <mergeCell ref="G41:K41"/>
    <mergeCell ref="G31:K31"/>
    <mergeCell ref="G46:K46"/>
    <mergeCell ref="G40:K40"/>
  </mergeCells>
  <conditionalFormatting sqref="I56:I364">
    <cfRule type="cellIs" priority="1" operator="equal" dxfId="0">
      <formula>"SUBE"</formula>
    </cfRule>
    <cfRule type="cellIs" priority="2" operator="equal" dxfId="1">
      <formula>"BAJA"</formula>
    </cfRule>
    <cfRule type="cellIs" priority="3" operator="equal" dxfId="2">
      <formula>"NUEVO"</formula>
    </cfRule>
    <cfRule type="cellIs" priority="4" operator="equal" dxfId="3">
      <formula>"SIN COMPRA"</formula>
    </cfRule>
  </conditionalFormatting>
  <conditionalFormatting sqref="J56:J364">
    <cfRule type="expression" priority="5" dxfId="4">
      <formula>AND(ISNUMBER(J56),J56&gt;0.00001)</formula>
    </cfRule>
    <cfRule type="expression" priority="6" dxfId="5">
      <formula>AND(ISNUMBER(J56),J56&lt;-0.00001)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2026-10-07T12:26:38Z</dcterms:created>
  <dcterms:modified xmlns:dcterms="http://purl.org/dc/terms/" xmlns:xsi="http://www.w3.org/2001/XMLSchema-instance" xsi:type="dcterms:W3CDTF">2026-10-07T12:26:38Z</dcterms:modified>
</cp:coreProperties>
</file>
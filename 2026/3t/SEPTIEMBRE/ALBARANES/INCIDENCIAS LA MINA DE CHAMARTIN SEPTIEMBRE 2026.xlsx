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CIAS SEPTIEMBRE" sheetId="1" state="visible" r:id="rId1"/>
  </sheets>
  <definedNames>
    <definedName name="_xlnm._FilterDatabase" localSheetId="0" hidden="1">'INCIDENCIAS SEPTIEMBRE'!$A$9:$M$57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;[Red]\-#,##0.00&quot; €&quot;;\-"/>
  </numFmts>
  <fonts count="11">
    <font>
      <name val="Calibri"/>
      <family val="2"/>
      <color theme="1"/>
      <sz val="11"/>
      <scheme val="minor"/>
    </font>
    <font>
      <name val="Cambria"/>
      <b val="1"/>
      <color rgb="001F3864"/>
      <sz val="14"/>
    </font>
    <font>
      <name val="Cambria"/>
      <i val="1"/>
      <color rgb="00595959"/>
      <sz val="11"/>
    </font>
    <font>
      <name val="Calibri"/>
      <sz val="11"/>
    </font>
    <font>
      <name val="Cambria"/>
      <b val="1"/>
      <sz val="11"/>
    </font>
    <font>
      <name val="Cambria"/>
      <color rgb="00595959"/>
      <sz val="11"/>
    </font>
    <font>
      <name val="Cambria"/>
      <b val="1"/>
      <color rgb="001F3864"/>
      <sz val="11"/>
    </font>
    <font>
      <name val="Cambria"/>
      <b val="1"/>
      <color rgb="00FFFFFF"/>
      <sz val="11"/>
    </font>
    <font>
      <name val="Cambria"/>
      <b val="1"/>
      <color rgb="007030A0"/>
      <sz val="11"/>
    </font>
    <font>
      <name val="Cambria"/>
      <b val="1"/>
      <color rgb="00C55A11"/>
      <sz val="11"/>
    </font>
    <font>
      <name val="Cambria"/>
      <b val="1"/>
      <color rgb="001F7A6B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9DDF3"/>
      </patternFill>
    </fill>
    <fill>
      <patternFill patternType="solid">
        <fgColor rgb="00FCE4D6"/>
      </patternFill>
    </fill>
    <fill>
      <patternFill patternType="solid">
        <fgColor rgb="00D9F0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7">
    <dxf>
      <font>
        <color rgb="00808080"/>
      </font>
    </dxf>
    <dxf>
      <font>
        <color rgb="009C0006"/>
      </font>
      <fill>
        <patternFill patternType="solid">
          <bgColor rgb="00FFC7CE"/>
        </patternFill>
      </fill>
    </dxf>
    <dxf>
      <font>
        <color rgb="009C5700"/>
      </font>
      <fill>
        <patternFill patternType="solid">
          <bgColor rgb="00FFEB9C"/>
        </patternFill>
      </fill>
    </dxf>
    <dxf>
      <font>
        <color rgb="001F3864"/>
      </font>
      <fill>
        <patternFill patternType="solid">
          <bgColor rgb="00DDEBF7"/>
        </patternFill>
      </fill>
    </dxf>
    <dxf>
      <font>
        <color rgb="00595959"/>
      </font>
      <fill>
        <patternFill patternType="solid">
          <bgColor rgb="00EDEDED"/>
        </patternFill>
      </fill>
    </dxf>
    <dxf>
      <font>
        <color rgb="00C00000"/>
      </font>
    </dxf>
    <dxf>
      <font>
        <color rgb="00006100"/>
      </font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M5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24" customWidth="1" min="4" max="4"/>
    <col width="26" customWidth="1" min="5" max="5"/>
    <col width="70" customWidth="1" min="6" max="6"/>
    <col width="13" customWidth="1" min="7" max="7"/>
    <col width="40" customWidth="1" min="8" max="8"/>
    <col width="13" customWidth="1" min="9" max="9"/>
    <col width="14" customWidth="1" min="10" max="10"/>
    <col width="40" customWidth="1" min="11" max="11"/>
    <col width="22" customWidth="1" min="12" max="12"/>
    <col width="70" customWidth="1" min="13" max="13"/>
  </cols>
  <sheetData>
    <row r="1" ht="18" customHeight="1">
      <c r="A1" s="1" t="inlineStr">
        <is>
          <t>INCIDENCIAS — ALBARANES LA MINA DE CHAMARTÍN SEPTIEMBRE 2026</t>
        </is>
      </c>
    </row>
    <row r="2" ht="30" customHeight="1">
      <c r="A2" s="2" t="inlineStr">
        <is>
          <t>Las de septiembre (nº 39 en adelante) y, debajo, lo que sigue pendiente de agosto y julio con su nº de siempre. Las subidas y bajadas de precio están en el Excel COMPARATIVA PRECIOS. ESTADO: PENDIENTE / REVISADO / CORREGIDO. La columna ACCION es para lo que decidas, DEPARTAMENTO para quién se encarga y RESULTADO para lo que se hace. Revisadas por la asesoría el 07/10/2026.</t>
        </is>
      </c>
    </row>
    <row r="3">
      <c r="I3" s="3" t="inlineStr">
        <is>
          <t>PENDIENTES POR DEPARTAMENTO</t>
        </is>
      </c>
    </row>
    <row r="4">
      <c r="A4" s="4" t="inlineStr">
        <is>
          <t>Pendientes ALTA</t>
        </is>
      </c>
      <c r="C4" s="5">
        <f>COUNTIFS($B$10:$B$57,"ALTA",$I$10:$I$57,"PENDIENTE")</f>
        <v/>
      </c>
      <c r="E4" s="4" t="inlineStr">
        <is>
          <t>Subidas de precio en septiembre</t>
        </is>
      </c>
      <c r="G4" s="6" t="n">
        <v>15</v>
      </c>
      <c r="I4" s="4" t="inlineStr">
        <is>
          <t>GONZALOS</t>
        </is>
      </c>
      <c r="L4" s="6">
        <f>COUNTIFS($L$10:$L$57,"GONZALOS",$I$10:$I$57,"PENDIENTE")</f>
        <v/>
      </c>
    </row>
    <row r="5">
      <c r="A5" s="4" t="inlineStr">
        <is>
          <t>Pendientes MEDIA</t>
        </is>
      </c>
      <c r="C5" s="5">
        <f>COUNTIFS($B$10:$B$57,"MEDIA",$I$10:$I$57,"PENDIENTE")</f>
        <v/>
      </c>
      <c r="E5" s="4" t="inlineStr">
        <is>
          <t>Bajadas de precio en septiembre</t>
        </is>
      </c>
      <c r="G5" s="6" t="n">
        <v>7</v>
      </c>
      <c r="I5" s="4" t="inlineStr">
        <is>
          <t>MARCOS/FINANCIERO</t>
        </is>
      </c>
      <c r="L5" s="6">
        <f>COUNTIFS($L$10:$L$57,"MARCOS/FINANCIERO",$I$10:$I$57,"PENDIENTE")</f>
        <v/>
      </c>
    </row>
    <row r="6">
      <c r="A6" s="4" t="inlineStr">
        <is>
          <t>Pendientes BAJA</t>
        </is>
      </c>
      <c r="C6" s="5">
        <f>COUNTIFS($B$10:$B$57,"BAJA",$I$10:$I$57,"PENDIENTE")</f>
        <v/>
      </c>
      <c r="E6" s="7" t="inlineStr">
        <is>
          <t>(detalle en COMPARATIVA PRECIOS LA MINA CHAMARTIN SEPTIEMBRE 2026)</t>
        </is>
      </c>
      <c r="I6" s="4" t="inlineStr">
        <is>
          <t>ADMINISTRACION WIT</t>
        </is>
      </c>
      <c r="L6" s="6">
        <f>COUNTIFS($L$10:$L$57,"ADMINISTRACION WIT",$I$10:$I$57,"PENDIENTE")</f>
        <v/>
      </c>
    </row>
    <row r="7">
      <c r="A7" s="4" t="inlineStr">
        <is>
          <t>Pendientes de LA MINA</t>
        </is>
      </c>
      <c r="C7" s="5">
        <f>COUNTIFS($J$10:$J$57,"LA MINA",$I$10:$I$57,"PENDIENTE",$B$10:$B$57,"&lt;&gt;INFO")</f>
        <v/>
      </c>
      <c r="E7" s="4" t="inlineStr">
        <is>
          <t>Pendientes de WIT</t>
        </is>
      </c>
      <c r="G7" s="6">
        <f>COUNTIFS($J$10:$J$57,"WIT",$I$10:$I$57,"PENDIENTE",$B$10:$B$57,"&lt;&gt;INFO")</f>
        <v/>
      </c>
      <c r="I7" s="4" t="inlineStr">
        <is>
          <t>Sin asignar</t>
        </is>
      </c>
      <c r="L7" s="6">
        <f>COUNTIF($I$10:$I$57,"PENDIENTE")-SUM(L4:L6)</f>
        <v/>
      </c>
    </row>
    <row r="9" ht="30" customHeight="1">
      <c r="A9" s="8" t="inlineStr">
        <is>
          <t>Nº</t>
        </is>
      </c>
      <c r="B9" s="8" t="inlineStr">
        <is>
          <t>PRIORIDAD</t>
        </is>
      </c>
      <c r="C9" s="8" t="inlineStr">
        <is>
          <t>MES</t>
        </is>
      </c>
      <c r="D9" s="8" t="inlineStr">
        <is>
          <t>PROVEEDOR</t>
        </is>
      </c>
      <c r="E9" s="8" t="inlineStr">
        <is>
          <t>TIPO</t>
        </is>
      </c>
      <c r="F9" s="8" t="inlineStr">
        <is>
          <t>DETALLE</t>
        </is>
      </c>
      <c r="G9" s="8" t="inlineStr">
        <is>
          <t>IMPORTE (€)</t>
        </is>
      </c>
      <c r="H9" s="8" t="inlineStr">
        <is>
          <t>ACCIÓN SUGERIDA</t>
        </is>
      </c>
      <c r="I9" s="8" t="inlineStr">
        <is>
          <t>ESTADO</t>
        </is>
      </c>
      <c r="J9" s="8" t="inlineStr">
        <is>
          <t>RESPONSABLE</t>
        </is>
      </c>
      <c r="K9" s="8" t="inlineStr">
        <is>
          <t>ACCION (lo que decidas)</t>
        </is>
      </c>
      <c r="L9" s="8" t="inlineStr">
        <is>
          <t>DEPARTAMENTO</t>
        </is>
      </c>
      <c r="M9" s="8" t="inlineStr">
        <is>
          <t>RESULTADO</t>
        </is>
      </c>
    </row>
    <row r="10" ht="167" customHeight="1">
      <c r="A10" s="9" t="n">
        <v>39</v>
      </c>
      <c r="B10" s="9" t="inlineStr">
        <is>
          <t>ALTA</t>
        </is>
      </c>
      <c r="C10" s="10" t="inlineStr">
        <is>
          <t>SEPTIEMBRE</t>
        </is>
      </c>
      <c r="D10" s="11" t="inlineStr">
        <is>
          <t>PESCARUM</t>
        </is>
      </c>
      <c r="E10" s="11" t="inlineStr">
        <is>
          <t>Albarán tapado en el escaneo</t>
        </is>
      </c>
      <c r="F10" s="11" t="inlineStr">
        <is>
          <t>Debajo del albarán 12377 de Peñalastallas (02/09) hay otro albarán manuscrito del que solo se ve el pie: una línea a 35 € (38,50 €), subtotal 833,30 € y total 916,6… € (el último dígito no se lee). Por el formato y los precios es de Pescarum, y falta justo el del 05/09. Incluido como «s/f (tapado)» con base 833,30 € al 10 %, sin detalle de productos.</t>
        </is>
      </c>
      <c r="G10" s="12" t="n">
        <v>833.3</v>
      </c>
      <c r="H10" s="11" t="inlineStr">
        <is>
          <t>Volver a escanear ese albarán suelto (o pedir copia a Pescarum) para meter fecha y productos.</t>
        </is>
      </c>
      <c r="I10" s="9" t="inlineStr">
        <is>
          <t>PENDIENTE</t>
        </is>
      </c>
      <c r="J10" s="9" t="inlineStr">
        <is>
          <t>LA MINA</t>
        </is>
      </c>
      <c r="K10" s="11" t="inlineStr">
        <is>
          <t>INCLUIR ESTE ALBARAN
04/09/2026
1 CIGALAS 78 
4 COQUINAS 32,50 130
9,96 PULO 30,50.   274,50
1,1 LANGOSTINO 35.  38,50
2,7 CALAMAR 21,50 58,05
2,1 CARABINERO 120 252
SUBTOTAL 831,05
83,10IVA
TOTAL 914,55</t>
        </is>
      </c>
      <c r="L10" s="9" t="n"/>
      <c r="M10" s="11" t="inlineStr">
        <is>
          <t>07/10/2026: el detalle que has anotado (cigalas, coquinas, pulpo, langostino, calamar y carabinero; base 831,05 €) es el del albarán del 04/09, que ya estaba en el Excel: es la página siguiente del escaneo. El albarán tapado es otro distinto: su última línea es 35 → 38,50 €, el subtotal 833,30 € y el total 916,6… €. No se añade nada, para no contar dos veces el del 04/09, y el tapado sigue solo por su importe. Falta ese papel (seguramente es el del 05/09).</t>
        </is>
      </c>
    </row>
    <row r="11" ht="92" customHeight="1">
      <c r="A11" s="9" t="n">
        <v>40</v>
      </c>
      <c r="B11" s="9" t="inlineStr">
        <is>
          <t>ALTA</t>
        </is>
      </c>
      <c r="C11" s="10" t="inlineStr">
        <is>
          <t>SEPTIEMBRE</t>
        </is>
      </c>
      <c r="D11" s="11" t="inlineStr">
        <is>
          <t>VOLDIS</t>
        </is>
      </c>
      <c r="E11" s="11" t="inlineStr">
        <is>
          <t>Tickets ilegibles o tapados</t>
        </is>
      </c>
      <c r="F11" s="11" t="inlineStr">
        <is>
          <t>Tres tickets sin detalle legible: 08/09 AP26-030095 (los importes de línea quedan tapados por otro ticket; base 1.249,77 €; lleva escrito «EXCEL AGORA»), 18/09 (importes cortados por el borde del escaneo; base 1.118,56 €) y 25/09 (tapado por una tira; base 1.009,05 €). Solo se leen las bases por IVA y el total: están en el Excel por esas bases, pero no hay precios que comparar.</t>
        </is>
      </c>
      <c r="G11" s="12" t="n">
        <v>3377.38</v>
      </c>
      <c r="H11" s="11" t="inlineStr">
        <is>
          <t>Volver a escanear los tickets sueltos y sin doblar, o pedir copia a Voldis.</t>
        </is>
      </c>
      <c r="I11" s="9" t="inlineStr">
        <is>
          <t>CORREGIDO</t>
        </is>
      </c>
      <c r="J11" s="9" t="inlineStr">
        <is>
          <t>LA MINA</t>
        </is>
      </c>
      <c r="K11" s="11" t="inlineStr">
        <is>
          <t>ESCANEADOS DE NUEVO Y SUBIDOS A ALBARANES DE 1 EN UNO MAXIMA RESOLUCION. INCLUIR EN EL EXCELL Y QUITAR INCIDENCIA.</t>
        </is>
      </c>
      <c r="L11" s="9" t="n"/>
      <c r="M11" s="11" t="inlineStr">
        <is>
          <t>07/10/2026: con los reescaneos del 07/10 (Scanned-image07-10-2026-105415 y 105610) se lee el detalle de los tres tickets y ya está en el Excel línea a línea (v2): 08/09 AP26-030095 (14 artículos), 18/09 AP26-031592 (12) y 25/09 AP26-032600 (21). Bases y totales no cambian. En el del 08/09 el cargo logístico (2,50 €) no se lee y en el del 25/09 (3,50 €) queda bajo la tira: están puestos por diferencia con la base al 21 %.</t>
        </is>
      </c>
    </row>
    <row r="12" ht="62" customHeight="1">
      <c r="A12" s="9" t="n">
        <v>41</v>
      </c>
      <c r="B12" s="9" t="inlineStr">
        <is>
          <t>ALTA</t>
        </is>
      </c>
      <c r="C12" s="10" t="inlineStr">
        <is>
          <t>SEPTIEMBRE</t>
        </is>
      </c>
      <c r="D12" s="11" t="inlineStr">
        <is>
          <t>CRUSTAPESCA</t>
        </is>
      </c>
      <c r="E12" s="11" t="inlineStr">
        <is>
          <t>Devolución pendiente de abono y subida de precio</t>
        </is>
      </c>
      <c r="F12" s="11" t="inlineStr">
        <is>
          <t>Albarán 24092 (24/09): nota a mano «recoge ventresca 2,18 kg». Se cobran 4,7 kg de ventresca a 62 €/kg (el 04/09 y el 15/09 iba a 52 €/kg: +19 %). Lo devuelto son 135,16 € + IVA. En el mismo albarán la cola G va a 22 €/kg (el 17/09 a 20).</t>
        </is>
      </c>
      <c r="G12" s="12" t="n">
        <v>135.16</v>
      </c>
      <c r="H12" s="11" t="inlineStr">
        <is>
          <t>Reclamar el abono de los 2,18 kg y preguntar por la subida de la ventresca.</t>
        </is>
      </c>
      <c r="I12" s="9" t="inlineStr">
        <is>
          <t>PENDIENTE</t>
        </is>
      </c>
      <c r="J12" s="9" t="inlineStr">
        <is>
          <t>LA MINA</t>
        </is>
      </c>
      <c r="K12" s="11" t="inlineStr">
        <is>
          <t>Reclamar el abono de los 2,18 kg y preguntar por la subida de la ventresca.</t>
        </is>
      </c>
      <c r="L12" s="9" t="inlineStr">
        <is>
          <t>GONZALOS</t>
        </is>
      </c>
      <c r="M12" s="11" t="n"/>
    </row>
    <row r="13" ht="47" customHeight="1">
      <c r="A13" s="9" t="n">
        <v>42</v>
      </c>
      <c r="B13" s="9" t="inlineStr">
        <is>
          <t>MEDIA</t>
        </is>
      </c>
      <c r="C13" s="10" t="inlineStr">
        <is>
          <t>SEPTIEMBRE</t>
        </is>
      </c>
      <c r="D13" s="11" t="inlineStr">
        <is>
          <t>CRUSTAPESCA</t>
        </is>
      </c>
      <c r="E13" s="11" t="inlineStr">
        <is>
          <t>Albarán tapado en el escaneo</t>
        </is>
      </c>
      <c r="F13" s="11" t="inlineStr">
        <is>
          <t>Albarán del 03/09 escaneado debajo del 3091 (04/09): solo se ven la fecha, dos importes (93,60 y 60,00 €), el subtotal 153,60 €, el IVA 15,36 € y el total 168,96 €. No se ven nº, productos ni kilos. Incluido como «s/n (03/09)».</t>
        </is>
      </c>
      <c r="G13" s="12" t="n">
        <v>153.6</v>
      </c>
      <c r="H13" s="11" t="inlineStr">
        <is>
          <t>Volver a escanearlo suelto para meter los productos.</t>
        </is>
      </c>
      <c r="I13" s="9" t="inlineStr">
        <is>
          <t>PENDIENTE</t>
        </is>
      </c>
      <c r="J13" s="9" t="inlineStr">
        <is>
          <t>LA MINA</t>
        </is>
      </c>
      <c r="K13" s="11" t="n"/>
      <c r="L13" s="9" t="n"/>
      <c r="M13" s="11" t="n"/>
    </row>
    <row r="14" ht="47" customHeight="1">
      <c r="A14" s="9" t="n">
        <v>43</v>
      </c>
      <c r="B14" s="9" t="inlineStr">
        <is>
          <t>MEDIA</t>
        </is>
      </c>
      <c r="C14" s="10" t="inlineStr">
        <is>
          <t>SEPTIEMBRE</t>
        </is>
      </c>
      <c r="D14" s="11" t="inlineStr">
        <is>
          <t>PESCARUM</t>
        </is>
      </c>
      <c r="E14" s="11" t="inlineStr">
        <is>
          <t>Producto cobrado y no entregado</t>
        </is>
      </c>
      <c r="F14" s="11" t="inlineStr">
        <is>
          <t>Albarán del 01/09: en la línea de cocochas (2 kg x 60 € = 120 €) pone a mano «FALTA, MAÑANA»: cobradas y no entregadas ese día. En el albarán del 02/09 no vuelven a aparecer.</t>
        </is>
      </c>
      <c r="G14" s="12" t="n">
        <v>120</v>
      </c>
      <c r="H14" s="11" t="inlineStr">
        <is>
          <t>Confirmar que se entregaron después sin volver a cobrarse.</t>
        </is>
      </c>
      <c r="I14" s="9" t="inlineStr">
        <is>
          <t>PENDIENTE</t>
        </is>
      </c>
      <c r="J14" s="9" t="inlineStr">
        <is>
          <t>LA MINA</t>
        </is>
      </c>
      <c r="K14" s="11" t="inlineStr">
        <is>
          <t>Confirmar que se entregaron después sin volver a cobrarse.</t>
        </is>
      </c>
      <c r="L14" s="9" t="inlineStr">
        <is>
          <t>GONZALOS</t>
        </is>
      </c>
      <c r="M14" s="11" t="n"/>
    </row>
    <row r="15" ht="92" customHeight="1">
      <c r="A15" s="9" t="n">
        <v>44</v>
      </c>
      <c r="B15" s="9" t="inlineStr">
        <is>
          <t>MEDIA</t>
        </is>
      </c>
      <c r="C15" s="10" t="inlineStr">
        <is>
          <t>SEPTIEMBRE</t>
        </is>
      </c>
      <c r="D15" s="11" t="inlineStr">
        <is>
          <t>HIELOS ANGEL ICE</t>
        </is>
      </c>
      <c r="E15" s="11" t="inlineStr">
        <is>
          <t>Tickets sin IVA ni número</t>
        </is>
      </c>
      <c r="F15" s="11" t="inlineStr">
        <is>
          <t>Proveedor nuevo. 8 tickets manuscritos de septiembre sin nº ni IVA, a nombre de «La Mina 2» (799,00 € en total). En el Excel van con el importe del ticket como base y 0 % de IVA. El del 08/09 es una hoja de talonario genérico sin proveedor (14 «pilé» = 70 €), asignada a Hielos por el precio. El del 10/09 pone total 105 € y las líneas suman 115 € (se ha puesto 115 €). Fechas con dudas: 26/09 (podría ser 20/09) y 10/09 (9 o 10).</t>
        </is>
      </c>
      <c r="G15" s="12" t="n">
        <v>799</v>
      </c>
      <c r="H15" s="11" t="inlineStr">
        <is>
          <t>Pedir factura con IVA y confirmar el total del 10/09.</t>
        </is>
      </c>
      <c r="I15" s="9" t="inlineStr">
        <is>
          <t>PENDIENTE</t>
        </is>
      </c>
      <c r="J15" s="9" t="inlineStr">
        <is>
          <t>LA MINA</t>
        </is>
      </c>
      <c r="K15" s="11" t="inlineStr">
        <is>
          <t>Pedir factura con IVA y confirmar el total del 10/09.</t>
        </is>
      </c>
      <c r="L15" s="9" t="inlineStr">
        <is>
          <t>MARCOS/FINANCIERO</t>
        </is>
      </c>
      <c r="M15" s="11" t="n"/>
    </row>
    <row r="16" ht="62" customHeight="1">
      <c r="A16" s="9" t="n">
        <v>45</v>
      </c>
      <c r="B16" s="9" t="inlineStr">
        <is>
          <t>MEDIA</t>
        </is>
      </c>
      <c r="C16" s="10" t="inlineStr">
        <is>
          <t>SEPTIEMBRE</t>
        </is>
      </c>
      <c r="D16" s="11" t="inlineStr">
        <is>
          <t>HIELOS ANGEL ICE</t>
        </is>
      </c>
      <c r="E16" s="11" t="inlineStr">
        <is>
          <t>Ticket de otro mes</t>
        </is>
      </c>
      <c r="F16" s="11" t="inlineStr">
        <is>
          <t>Ticket del 29/08/2026 (agosto) a nombre de «La Mina Chamartín»: 10 sacos de hielo de coctelería = 50,00 €. Lleva escrito «EXCEL». Llega con los de septiembre. No incluido en septiembre; separado en PDF en ALBARANES («REVISAR - Hielos Angel Ice 29-08…»).</t>
        </is>
      </c>
      <c r="G16" s="12" t="n">
        <v>50</v>
      </c>
      <c r="H16" s="11" t="inlineStr">
        <is>
          <t>Decidir si se añade al Excel de agosto (allí no hay nada de Hielos).</t>
        </is>
      </c>
      <c r="I16" s="9" t="inlineStr">
        <is>
          <t>CORREGIDO</t>
        </is>
      </c>
      <c r="J16" s="9" t="inlineStr">
        <is>
          <t>WIT</t>
        </is>
      </c>
      <c r="K16" s="11" t="inlineStr">
        <is>
          <t>AÑADIR SEPTIEMBRE. QUITAR DE INCIDENCIAS DESPUES.</t>
        </is>
      </c>
      <c r="L16" s="9" t="n"/>
      <c r="M16" s="11" t="inlineStr">
        <is>
          <t>07/10/2026: añadido a septiembre (HIELOS ANGEL ICE, «s/n (29/08)», 50,00 €, sin IVA en el ticket). El PDF separado se ha pasado a procesados.</t>
        </is>
      </c>
    </row>
    <row r="17" ht="77" customHeight="1">
      <c r="A17" s="9" t="n">
        <v>46</v>
      </c>
      <c r="B17" s="9" t="inlineStr">
        <is>
          <t>MEDIA</t>
        </is>
      </c>
      <c r="C17" s="10" t="inlineStr">
        <is>
          <t>SEPTIEMBRE</t>
        </is>
      </c>
      <c r="D17" s="11" t="inlineStr">
        <is>
          <t>CARNICAS MEAT</t>
        </is>
      </c>
      <c r="E17" s="11" t="inlineStr">
        <is>
          <t>Albarán de La Mina de Velázquez</t>
        </is>
      </c>
      <c r="F17" s="11" t="inlineStr">
        <is>
          <t>Albarán A1/255 (22/09) a nombre de LA MINA VELAZQUEZ S.L. (B26809988), con sello de Chamartín: chuleta lechal 8,55 kg + solomillo 4,415 kg. Base 368,28 €, total 405,11 €. No incluido (la factura A1/299 de Chamartín tampoco lo recoge). Separado en PDF en ALBARANES («VELAZQUEZ - Carnicas Meat A1-255…»).</t>
        </is>
      </c>
      <c r="G17" s="12" t="n">
        <v>368.28</v>
      </c>
      <c r="H17" s="11" t="inlineStr">
        <is>
          <t>Pasar el PDF a Velázquez y comprobar que está en su Excel de septiembre.</t>
        </is>
      </c>
      <c r="I17" s="9" t="inlineStr">
        <is>
          <t>REVISADO</t>
        </is>
      </c>
      <c r="J17" s="9" t="inlineStr">
        <is>
          <t>WIT</t>
        </is>
      </c>
      <c r="K17" s="11" t="inlineStr">
        <is>
          <t>Pasar el PDF a Velázquez y comprobar que está en su Excel de septiembre. UNA VEZ HECHO. RESUELTA.</t>
        </is>
      </c>
      <c r="L17" s="9" t="n"/>
      <c r="M17" s="11" t="inlineStr">
        <is>
          <t>07/10/2026: comprobado en el Excel de septiembre de La Mina de Velázquez: el A1/255 está en su hoja TOTAL SEPTIEMBRE dentro de «FRA A1/300 (alb. A1/237 y A1/255)», 614,71 € de base. PDF copiado a la carpeta de Velázquez (3T/SEPTIEMBRE/ALBARANES/PROCESADAS, con el aviso de que ya está sumado en la factura A1/300) y el de Chamartín pasado a procesados.</t>
        </is>
      </c>
    </row>
    <row r="18" ht="92" customHeight="1">
      <c r="A18" s="9" t="n">
        <v>47</v>
      </c>
      <c r="B18" s="9" t="inlineStr">
        <is>
          <t>MEDIA</t>
        </is>
      </c>
      <c r="C18" s="10" t="inlineStr">
        <is>
          <t>SEPTIEMBRE</t>
        </is>
      </c>
      <c r="D18" s="11" t="inlineStr">
        <is>
          <t>MAHOU</t>
        </is>
      </c>
      <c r="E18" s="11" t="inlineStr">
        <is>
          <t>Albaranes de tanque sin valorar (importe estimado)</t>
        </is>
      </c>
      <c r="F18" s="11" t="inlineStr">
        <is>
          <t>Dos albaranes de cerveza de tanque sin precios: 10/09 (nº 10234), 951 litros; 23/09 (SO16026677), 1.000 litros impresos y corregido a mano a 984.</t>
        </is>
      </c>
      <c r="G18" s="12" t="n">
        <v>7740</v>
      </c>
      <c r="H18" s="11" t="inlineStr">
        <is>
          <t>Pedir la factura a Mahou para sustituir el importe estimado y confirmar los litros del 23/09.</t>
        </is>
      </c>
      <c r="I18" s="9" t="inlineStr">
        <is>
          <t>PENDIENTE</t>
        </is>
      </c>
      <c r="J18" s="9" t="inlineStr">
        <is>
          <t>LA MINA</t>
        </is>
      </c>
      <c r="K18" s="11" t="inlineStr">
        <is>
          <t>INCLUIR EL MISMO PRECIO QUE LA ULTIMA RECARGA POR EL NUMERO DE LITROS, PERO METER EN EXCELL.</t>
        </is>
      </c>
      <c r="L18" s="9" t="n"/>
      <c r="M18" s="11" t="inlineStr">
        <is>
          <t>07/10/2026: incluidos en el Excel (v2, hoja MAHOU) con importe estimado: 951 l y 984 l a 4,00 €/l (3,90 € + 0,10 € de impuesto especial) = 3.804,00 € + 3.936,00 € = 7.740,00 € de base al 21 %. Chamartín no tiene ninguna carga anterior valorada: el precio es el de las últimas cargas facturadas por Mahou (La Mina de Velázquez, 03/09 y 08/09). La asesoría da el precio por bueno (07/10/2026). Sigue pendiente la factura para poner el importe real.</t>
        </is>
      </c>
    </row>
    <row r="19" ht="77" customHeight="1">
      <c r="A19" s="9" t="n">
        <v>48</v>
      </c>
      <c r="B19" s="9" t="inlineStr">
        <is>
          <t>MEDIA</t>
        </is>
      </c>
      <c r="C19" s="10" t="inlineStr">
        <is>
          <t>SEPTIEMBRE</t>
        </is>
      </c>
      <c r="D19" s="11" t="inlineStr">
        <is>
          <t>EXTRAMAR</t>
        </is>
      </c>
      <c r="E19" s="11" t="inlineStr">
        <is>
          <t>Albaranes sin proveedor ni IVA</t>
        </is>
      </c>
      <c r="F19" s="11" t="inlineStr">
        <is>
          <t>Proveedor nuevo. Tres albaranes (J99/26/JJ/427, 430 y 432) sin cabecera de proveedor («Extramar» escrito a mano; entrega a nombre de Raúl García del Pino, obs. LA MINA II) y sin desglose de IVA: gamba blanca fresca a 26 €/kg. Se ha tomado el importe como base y 10 % de IVA. En el 427 pone «a la espera de que manden el SEPA al correo de empresa».</t>
        </is>
      </c>
      <c r="G19" s="12" t="n">
        <v>312</v>
      </c>
      <c r="H19" s="11" t="inlineStr">
        <is>
          <t>Confirmar razón social / NIF y si los 26 €/kg llevan el IVA incluido.</t>
        </is>
      </c>
      <c r="I19" s="9" t="inlineStr">
        <is>
          <t>PENDIENTE</t>
        </is>
      </c>
      <c r="J19" s="9" t="inlineStr">
        <is>
          <t>LA MINA</t>
        </is>
      </c>
      <c r="K19" s="11" t="inlineStr">
        <is>
          <t>Confirmar razón social / NIF y si los 26 €/kg llevan el IVA incluido.</t>
        </is>
      </c>
      <c r="L19" s="9" t="inlineStr">
        <is>
          <t>GONZALOS</t>
        </is>
      </c>
      <c r="M19" s="11" t="n"/>
    </row>
    <row r="20" ht="62" customHeight="1">
      <c r="A20" s="9" t="n">
        <v>49</v>
      </c>
      <c r="B20" s="9" t="inlineStr">
        <is>
          <t>MEDIA</t>
        </is>
      </c>
      <c r="C20" s="10" t="inlineStr">
        <is>
          <t>SEPTIEMBRE</t>
        </is>
      </c>
      <c r="D20" s="11" t="inlineStr">
        <is>
          <t>MAXXIMO (MOLLETES)</t>
        </is>
      </c>
      <c r="E20" s="11" t="inlineStr">
        <is>
          <t>Talonario sin datos del proveedor</t>
        </is>
      </c>
      <c r="F20" s="11" t="inlineStr">
        <is>
          <t>Dos hojas de talonario genérico sin NIF a «Taberna La Mina»: 75 molletes, total 84,24 € cada una (08/09 con «Maxximo» escrito a mano; 23/09 sin nombre). Solo figura el total: la base (81,00 €) y el precio (1,08 €) están calculados al 4 %. Es el mismo documento que la incidencia nº 25 de julio.</t>
        </is>
      </c>
      <c r="G20" s="12" t="n">
        <v>162</v>
      </c>
      <c r="H20" s="11" t="inlineStr">
        <is>
          <t>Confirmar proveedor y NIF, y pedir factura.</t>
        </is>
      </c>
      <c r="I20" s="9" t="inlineStr">
        <is>
          <t>PENDIENTE</t>
        </is>
      </c>
      <c r="J20" s="9" t="inlineStr">
        <is>
          <t>LA MINA</t>
        </is>
      </c>
      <c r="K20" s="11" t="inlineStr">
        <is>
          <t>Confirmar proveedor y NIF, y pedir factura.</t>
        </is>
      </c>
      <c r="L20" s="9" t="inlineStr">
        <is>
          <t>GONZALOS</t>
        </is>
      </c>
      <c r="M20" s="11" t="n"/>
    </row>
    <row r="21" ht="62" customHeight="1">
      <c r="A21" s="9" t="n">
        <v>50</v>
      </c>
      <c r="B21" s="9" t="inlineStr">
        <is>
          <t>MEDIA</t>
        </is>
      </c>
      <c r="C21" s="10" t="inlineStr">
        <is>
          <t>SEPTIEMBRE</t>
        </is>
      </c>
      <c r="D21" s="11" t="inlineStr">
        <is>
          <t>MARTIN CANEDA</t>
        </is>
      </c>
      <c r="E21" s="11" t="inlineStr">
        <is>
          <t>Albarán casi en blanco (importe confirmado)</t>
        </is>
      </c>
      <c r="F21" s="11" t="inlineStr">
        <is>
          <t>Albarán 26998: copia casi en blanco y sin fecha legible. Solo se leen las cantidades (4 berberecho, 2 chochas gda. y 5 mejillones). Importe estimado con los precios del mes (22 / 50 / 2,70 €): 201,50 € + IVA.</t>
        </is>
      </c>
      <c r="G21" s="12" t="n">
        <v>201.5</v>
      </c>
      <c r="H21" s="11" t="inlineStr">
        <is>
          <t>Pedir copia legible a Martín Caneda.</t>
        </is>
      </c>
      <c r="I21" s="9" t="inlineStr">
        <is>
          <t>REVISADO</t>
        </is>
      </c>
      <c r="J21" s="9" t="inlineStr">
        <is>
          <t>LA MINA</t>
        </is>
      </c>
      <c r="K21" s="11" t="inlineStr">
        <is>
          <t>4 BERBERECHO 22 88
2 CHOCHAS/CENTOLLAS 50  100
5 MEJILLONES/LENGUADO 2,70 13,50
221,05</t>
        </is>
      </c>
      <c r="L21" s="9" t="n"/>
      <c r="M21" s="11" t="inlineStr">
        <is>
          <t>07/10/2026: confirmado por La Mina: 4 berberecho a 22 €, 2 chochas a 50 € y 5 mejillones a 2,70 € = 201,50 € + IVA = 221,65 € (en tu nota pone 221,05). Es lo que ya estaba en el Excel; deja de ser estimado. Sigue sin fecha.</t>
        </is>
      </c>
    </row>
    <row r="22" ht="32" customHeight="1">
      <c r="A22" s="9" t="n">
        <v>51</v>
      </c>
      <c r="B22" s="9" t="inlineStr">
        <is>
          <t>MEDIA</t>
        </is>
      </c>
      <c r="C22" s="10" t="inlineStr">
        <is>
          <t>SEPTIEMBRE</t>
        </is>
      </c>
      <c r="D22" s="11" t="inlineStr">
        <is>
          <t>ACEITE Y SAL</t>
        </is>
      </c>
      <c r="E22" s="11" t="inlineStr">
        <is>
          <t>Devolución pendiente de abono</t>
        </is>
      </c>
      <c r="F22" s="11" t="inlineStr">
        <is>
          <t>Factura por entrega 26004113 (22/09): nota a mano «devolución 1 táper banderillas mal estado». Se facturan 8 a 9,84 € menos el 2 %.</t>
        </is>
      </c>
      <c r="G22" s="12" t="n">
        <v>9.640000000000001</v>
      </c>
      <c r="H22" s="11" t="inlineStr">
        <is>
          <t>Comprobar que abonan el táper devuelto.</t>
        </is>
      </c>
      <c r="I22" s="9" t="inlineStr">
        <is>
          <t>PENDIENTE</t>
        </is>
      </c>
      <c r="J22" s="9" t="inlineStr">
        <is>
          <t>WIT</t>
        </is>
      </c>
      <c r="K22" s="11" t="inlineStr">
        <is>
          <t>Comprobar que abonan el táper devuelto.</t>
        </is>
      </c>
      <c r="L22" s="9" t="inlineStr">
        <is>
          <t>GONZALOS</t>
        </is>
      </c>
      <c r="M22" s="11" t="n"/>
    </row>
    <row r="23" ht="77" customHeight="1">
      <c r="A23" s="9" t="n">
        <v>52</v>
      </c>
      <c r="B23" s="9" t="inlineStr">
        <is>
          <t>MEDIA</t>
        </is>
      </c>
      <c r="C23" s="10" t="inlineStr">
        <is>
          <t>SEPTIEMBRE</t>
        </is>
      </c>
      <c r="D23" s="11" t="inlineStr">
        <is>
          <t>VOLDIS</t>
        </is>
      </c>
      <c r="E23" s="11" t="inlineStr">
        <is>
          <t>Envases cargados y abonos</t>
        </is>
      </c>
      <c r="F23" s="11" t="inlineStr">
        <is>
          <t>22/09 (AP26-032005): cargan envases de Solan (200 botellas + 10 cajas = 81,00 €); además el detalle leído suma 0,09 € menos que la base al 10 % del ticket. 11/09 (AP26-030577): devuelven envases de Schweppes (−168 botellas y −6 cajas = −31,20 €). 08/09 (AP26-030104): abono de 1 barril de 50 L (−30,00 €). Todo incluido con su signo.</t>
        </is>
      </c>
      <c r="G23" s="12" t="n">
        <v>81</v>
      </c>
      <c r="H23" s="11" t="inlineStr">
        <is>
          <t>Comprobar en factura que los envases cargados se abonan al devolverlos.</t>
        </is>
      </c>
      <c r="I23" s="9" t="inlineStr">
        <is>
          <t>PENDIENTE</t>
        </is>
      </c>
      <c r="J23" s="9" t="inlineStr">
        <is>
          <t>WIT</t>
        </is>
      </c>
      <c r="K23" s="11" t="inlineStr">
        <is>
          <t>Comprobar en factura que los envases cargados se abonan al devolverlos.</t>
        </is>
      </c>
      <c r="L23" s="9" t="inlineStr">
        <is>
          <t>ADMINISTRACION WIT</t>
        </is>
      </c>
      <c r="M23" s="11" t="inlineStr">
        <is>
          <t>07/10/2026: la diferencia de 0,09 € del 22/09 queda explicada (las 10 cajas de envases son 33,09 €, no 33,00 €). En el ticket del 25/09, ya legible, devuelven 140 botellas y 7 cajas de Solan (−56,77 €) y envases de Pepsi/Kas y Schweppes (−22,10 €), y cargan envases de Mahou y una tanqueta (25,40 €). Sigue pendiente comprobarlo en factura.</t>
        </is>
      </c>
    </row>
    <row r="24" ht="92" customHeight="1">
      <c r="A24" s="9" t="n">
        <v>53</v>
      </c>
      <c r="B24" s="9" t="inlineStr">
        <is>
          <t>BAJA</t>
        </is>
      </c>
      <c r="C24" s="10" t="inlineStr">
        <is>
          <t>SEPTIEMBRE</t>
        </is>
      </c>
      <c r="D24" s="11" t="inlineStr">
        <is>
          <t>PESCARUM</t>
        </is>
      </c>
      <c r="E24" s="11" t="inlineStr">
        <is>
          <t>Totales y lecturas dudosas</t>
        </is>
      </c>
      <c r="F24" s="11" t="inlineStr">
        <is>
          <t>12/09: las líneas suman 303,50 € (+10 % = 333,85 €, escrito y tachado) y encima han puesto 336,05 € (2,20 € más); se toma 303,50 €. 04/09: el pulpo parece 9,96 kg pero el importe (274,50 €) es de 9,00 kg; se toma 9,00. 29/09: al pie pone «PULPO» sin cantidad ni precio, y el 4º producto (2,3 kg a 13,50 €) se lee mal (¿periquito?). 18/09: navaja añadida a mano después de cerrar el albarán. 15/09: una línea de pulpo tachada (repetida).</t>
        </is>
      </c>
      <c r="G24" s="12" t="n">
        <v>2.2</v>
      </c>
      <c r="H24" s="11" t="inlineStr">
        <is>
          <t>Confirmar con Pescarum el total del 12/09.</t>
        </is>
      </c>
      <c r="I24" s="9" t="inlineStr">
        <is>
          <t>REVISADO</t>
        </is>
      </c>
      <c r="J24" s="9" t="inlineStr">
        <is>
          <t>LA MINA</t>
        </is>
      </c>
      <c r="K24" s="11" t="inlineStr">
        <is>
          <t>CONFIRMADO.</t>
        </is>
      </c>
      <c r="L24" s="9" t="n"/>
      <c r="M24" s="11" t="inlineStr">
        <is>
          <t>Confirmado (07/10/2026). Sin cambios: el 12/09 sigue con base 303,50 €.</t>
        </is>
      </c>
    </row>
    <row r="25" ht="77" customHeight="1">
      <c r="A25" s="9" t="n">
        <v>54</v>
      </c>
      <c r="B25" s="9" t="inlineStr">
        <is>
          <t>BAJA</t>
        </is>
      </c>
      <c r="C25" s="10" t="inlineStr">
        <is>
          <t>SEPTIEMBRE</t>
        </is>
      </c>
      <c r="D25" s="11" t="inlineStr">
        <is>
          <t>MARTIN CANEDA</t>
        </is>
      </c>
      <c r="E25" s="11" t="inlineStr">
        <is>
          <t>Lecturas dudosas</t>
        </is>
      </c>
      <c r="F25" s="11" t="inlineStr">
        <is>
          <t>26678 (18/09): la primera línea (2 a 50 €) está escrita entre «almejas finas» y «coquinas»; por el precio podrían ser chochas. 035839 (15/09): total manuscrito poco claro (172,70 o 173,25 €); las líneas dan 173,25 €. 33150 (26/09): copia amarilla muy tenue. 26985 (19/09): anotación tachada en percebes (no se cobra).</t>
        </is>
      </c>
      <c r="G25" s="12" t="n"/>
      <c r="H25" s="11" t="inlineStr">
        <is>
          <t>Confirmar el producto del 26678.</t>
        </is>
      </c>
      <c r="I25" s="9" t="inlineStr">
        <is>
          <t>PENDIENTE</t>
        </is>
      </c>
      <c r="J25" s="9" t="inlineStr">
        <is>
          <t>WIT</t>
        </is>
      </c>
      <c r="K25" s="11" t="inlineStr">
        <is>
          <t>Confirmar el producto del 26678.</t>
        </is>
      </c>
      <c r="L25" s="9" t="inlineStr">
        <is>
          <t>GONZALOS</t>
        </is>
      </c>
      <c r="M25" s="11" t="n"/>
    </row>
    <row r="26" ht="62" customHeight="1">
      <c r="A26" s="9" t="n">
        <v>55</v>
      </c>
      <c r="B26" s="9" t="inlineStr">
        <is>
          <t>BAJA</t>
        </is>
      </c>
      <c r="C26" s="10" t="inlineStr">
        <is>
          <t>SEPTIEMBRE</t>
        </is>
      </c>
      <c r="D26" s="11" t="inlineStr">
        <is>
          <t>MAKRO</t>
        </is>
      </c>
      <c r="E26" s="11" t="inlineStr">
        <is>
          <t>Productos pedidos y no entregados</t>
        </is>
      </c>
      <c r="F26" s="11" t="inlineStr">
        <is>
          <t>Makro vuelve en septiembre (16 albaranes). En varios hay productos pedidos y no servidos, a 0,00 €: pollo pechuga (07/09, 14/09 y 28/09), cebollino (21/09 y 22/09), pollo trasero y bolsa de vacío (24/09) y perejil (18/09). Los del 05/09 y el 12/09 son «factura de entrega» (hacen de albarán).</t>
        </is>
      </c>
      <c r="G26" s="12" t="n"/>
      <c r="H26" s="11" t="inlineStr">
        <is>
          <t>Comprobar que lo no entregado no se factura.</t>
        </is>
      </c>
      <c r="I26" s="9" t="inlineStr">
        <is>
          <t>PENDIENTE</t>
        </is>
      </c>
      <c r="J26" s="9" t="inlineStr">
        <is>
          <t>WIT</t>
        </is>
      </c>
      <c r="K26" s="11" t="inlineStr">
        <is>
          <t>Comprobar que lo no entregado no se factura.</t>
        </is>
      </c>
      <c r="L26" s="9" t="inlineStr">
        <is>
          <t>ADMINISTRACION WIT</t>
        </is>
      </c>
      <c r="M26" s="11" t="n"/>
    </row>
    <row r="27" ht="47" customHeight="1">
      <c r="A27" s="9" t="n">
        <v>56</v>
      </c>
      <c r="B27" s="9" t="inlineStr">
        <is>
          <t>BAJA</t>
        </is>
      </c>
      <c r="C27" s="10" t="inlineStr">
        <is>
          <t>SEPTIEMBRE</t>
        </is>
      </c>
      <c r="D27" s="11" t="inlineStr">
        <is>
          <t>SUBMARINER</t>
        </is>
      </c>
      <c r="E27" s="11" t="inlineStr">
        <is>
          <t>Cambio de producto y hojas de pedido</t>
        </is>
      </c>
      <c r="F27" s="11" t="inlineStr">
        <is>
          <t>SF 10093 (21/09): nota «no llegó Seagrams 0,0, llegó normal, mañana lo cambian»; se cobran 2 Seagrams 0,0 a 12,99 €. Las hojas de pedido SF 741 (17/09) y SF 759 (21/09) vienen sin valorar y no son albaranes: no incluidas.</t>
        </is>
      </c>
      <c r="G27" s="12" t="n"/>
      <c r="H27" s="11" t="inlineStr">
        <is>
          <t>Confirmar que hicieron el cambio.</t>
        </is>
      </c>
      <c r="I27" s="9" t="inlineStr">
        <is>
          <t>PENDIENTE</t>
        </is>
      </c>
      <c r="J27" s="9" t="inlineStr">
        <is>
          <t>LA MINA</t>
        </is>
      </c>
      <c r="K27" s="11" t="inlineStr">
        <is>
          <t>Confirmar que hicieron el cambio.</t>
        </is>
      </c>
      <c r="L27" s="9" t="inlineStr">
        <is>
          <t>GONZALOS</t>
        </is>
      </c>
      <c r="M27" s="11" t="n"/>
    </row>
    <row r="28" ht="62" customHeight="1">
      <c r="A28" s="9" t="n">
        <v>57</v>
      </c>
      <c r="B28" s="9" t="inlineStr">
        <is>
          <t>BAJA</t>
        </is>
      </c>
      <c r="C28" s="10" t="inlineStr">
        <is>
          <t>SEPTIEMBRE</t>
        </is>
      </c>
      <c r="D28" s="11" t="inlineStr">
        <is>
          <t>LEVADURA MADRE</t>
        </is>
      </c>
      <c r="E28" s="11" t="inlineStr">
        <is>
          <t>Tickets proforma con datos tapados</t>
        </is>
      </c>
      <c r="F28" s="11" t="inlineStr">
        <is>
          <t>Proveedor nuevo. 23 tickets proforma de pan (espiga a 1,00 € con IVA), uno por día del 08/09 al 30/09: 399,02 € de base. En 9 de ellos el nº o la fecha quedan tapados por otro ticket y se han deducido por la numeración. El del 30/09 (T-229 8783) está marcado «DUPLICADO».</t>
        </is>
      </c>
      <c r="G28" s="12" t="n">
        <v>399.02</v>
      </c>
      <c r="H28" s="11" t="inlineStr">
        <is>
          <t>Pedir factura mensual y comprobar que el duplicado no se cobra dos veces.</t>
        </is>
      </c>
      <c r="I28" s="9" t="inlineStr">
        <is>
          <t>PENDIENTE</t>
        </is>
      </c>
      <c r="J28" s="9" t="inlineStr">
        <is>
          <t>WIT</t>
        </is>
      </c>
      <c r="K28" s="11" t="inlineStr">
        <is>
          <t>Pedir factura mensual y comprobar que el duplicado no se cobra dos veces. SON PROFORMADS LAS ENTREGADAS.</t>
        </is>
      </c>
      <c r="L28" s="9" t="inlineStr">
        <is>
          <t>MARCOS/FINANCIERO</t>
        </is>
      </c>
      <c r="M28" s="11" t="inlineStr">
        <is>
          <t>07/10/2026: La Mina indica que lo entregado son proformas. Pendiente la factura mensual.</t>
        </is>
      </c>
    </row>
    <row r="29" ht="47" customHeight="1">
      <c r="A29" s="9" t="n">
        <v>58</v>
      </c>
      <c r="B29" s="9" t="inlineStr">
        <is>
          <t>BAJA</t>
        </is>
      </c>
      <c r="C29" s="10" t="inlineStr">
        <is>
          <t>SEPTIEMBRE</t>
        </is>
      </c>
      <c r="D29" s="11" t="inlineStr">
        <is>
          <t>LEIKAN MEAT</t>
        </is>
      </c>
      <c r="E29" s="11" t="inlineStr">
        <is>
          <t>Albarán sin valorar</t>
        </is>
      </c>
      <c r="F29" s="11" t="inlineStr">
        <is>
          <t>Albarán 010921 (08/09) sin precios ni total, de un proveedor que no tenía albaranes en Chamartín: entrecotte de vaca madurada 0,870 kg y de añojo 0,780 kg. Parece una muestra. No incluido.</t>
        </is>
      </c>
      <c r="G29" s="12" t="n"/>
      <c r="H29" s="11" t="inlineStr">
        <is>
          <t>Confirmar si es una muestra o si lo van a facturar.</t>
        </is>
      </c>
      <c r="I29" s="9" t="inlineStr">
        <is>
          <t>REVISADO</t>
        </is>
      </c>
      <c r="J29" s="9" t="inlineStr">
        <is>
          <t>LA MINA</t>
        </is>
      </c>
      <c r="K29" s="11" t="inlineStr">
        <is>
          <t>CONFIRMADO.</t>
        </is>
      </c>
      <c r="L29" s="9" t="n"/>
      <c r="M29" s="11" t="inlineStr">
        <is>
          <t>Confirmado (07/10/2026). Se queda sin incluir.</t>
        </is>
      </c>
    </row>
    <row r="30" ht="62" customHeight="1">
      <c r="A30" s="9" t="n">
        <v>59</v>
      </c>
      <c r="B30" s="9" t="inlineStr">
        <is>
          <t>BAJA</t>
        </is>
      </c>
      <c r="C30" s="10" t="inlineStr">
        <is>
          <t>SEPTIEMBRE</t>
        </is>
      </c>
      <c r="D30" s="11" t="inlineStr">
        <is>
          <t>TOMATERIA DE CEA</t>
        </is>
      </c>
      <c r="E30" s="11" t="inlineStr">
        <is>
          <t>Albaranes con tachones</t>
        </is>
      </c>
      <c r="F30" s="11" t="inlineStr">
        <is>
          <t>28/09: albarán roto en el concepto (se lee «…IBÉRICO»). 08/09: cantidad tachada (por el importe son 7 kg) y una segunda línea tachada a 8 € sin importe. 12/09: cantidad corregida a mano (6,6 kg). 30/09: producto nuevo «tomate Mar Azul» al mismo precio (6,50 €).</t>
        </is>
      </c>
      <c r="G30" s="12" t="n"/>
      <c r="H30" s="11" t="inlineStr">
        <is>
          <t>Ninguna.</t>
        </is>
      </c>
      <c r="I30" s="9" t="inlineStr">
        <is>
          <t>REVISADO</t>
        </is>
      </c>
      <c r="J30" s="9" t="inlineStr">
        <is>
          <t>WIT</t>
        </is>
      </c>
      <c r="K30" s="11" t="inlineStr">
        <is>
          <t>QUITAR.</t>
        </is>
      </c>
      <c r="L30" s="9" t="n"/>
      <c r="M30" s="11" t="inlineStr">
        <is>
          <t>Cerrada por la asesoría (07/10/2026).</t>
        </is>
      </c>
    </row>
    <row r="31" ht="32" customHeight="1">
      <c r="A31" s="9" t="n">
        <v>60</v>
      </c>
      <c r="B31" s="9" t="inlineStr">
        <is>
          <t>BAJA</t>
        </is>
      </c>
      <c r="C31" s="10" t="inlineStr">
        <is>
          <t>SEPTIEMBRE</t>
        </is>
      </c>
      <c r="D31" s="11" t="inlineStr">
        <is>
          <t>SENSORVISION</t>
        </is>
      </c>
      <c r="E31" s="11" t="inlineStr">
        <is>
          <t>No es compra de género</t>
        </is>
      </c>
      <c r="F31" s="11" t="inlineStr">
        <is>
          <t>Albarán 01195 (15/09): 2 cajas de papel térmico 80x80 a 49 € (proveedor nuevo). Incluido en el Excel.</t>
        </is>
      </c>
      <c r="G31" s="12" t="n">
        <v>98</v>
      </c>
      <c r="H31" s="11" t="inlineStr">
        <is>
          <t>Decidir si este tipo de gasto debe ir en el control de albaranes.</t>
        </is>
      </c>
      <c r="I31" s="9" t="inlineStr">
        <is>
          <t>REVISADO</t>
        </is>
      </c>
      <c r="J31" s="9" t="inlineStr">
        <is>
          <t>WIT</t>
        </is>
      </c>
      <c r="K31" s="11" t="inlineStr">
        <is>
          <t>NO QUITAR. SON MENAJE</t>
        </is>
      </c>
      <c r="L31" s="9" t="n"/>
      <c r="M31" s="11" t="inlineStr">
        <is>
          <t>07/10/2026: se queda en el control de albaranes (es menaje).</t>
        </is>
      </c>
    </row>
    <row r="32" ht="47" customHeight="1">
      <c r="A32" s="9" t="n">
        <v>68</v>
      </c>
      <c r="B32" s="9" t="inlineStr">
        <is>
          <t>BAJA</t>
        </is>
      </c>
      <c r="C32" s="10" t="inlineStr">
        <is>
          <t>SEPTIEMBRE</t>
        </is>
      </c>
      <c r="D32" s="11" t="inlineStr">
        <is>
          <t>PESCARUM</t>
        </is>
      </c>
      <c r="E32" s="11" t="inlineStr">
        <is>
          <t>Total del albarán mal sumado</t>
        </is>
      </c>
      <c r="F32" s="11" t="inlineStr">
        <is>
          <t>Albarán del 04/09: base 831,05 € + IVA 83,10 € = 914,15 €, pero el total escrito es 914,55 € (0,40 € de más). En el Excel va la base (831,05 €).</t>
        </is>
      </c>
      <c r="G32" s="12" t="n">
        <v>0.4</v>
      </c>
      <c r="H32" s="11" t="inlineStr">
        <is>
          <t>Comprobar en la factura que se cobra 914,15 €.</t>
        </is>
      </c>
      <c r="I32" s="9" t="inlineStr">
        <is>
          <t>REVISADO</t>
        </is>
      </c>
      <c r="J32" s="9" t="inlineStr">
        <is>
          <t>WIT</t>
        </is>
      </c>
      <c r="K32" s="11" t="inlineStr">
        <is>
          <t>Aplica el precio que tú quieras (dicho por el chat el 07/10/2026).</t>
        </is>
      </c>
      <c r="L32" s="9" t="n"/>
      <c r="M32" s="11" t="inlineStr">
        <is>
          <t>07/10/2026: se mantiene la base del albarán, 831,05 €, que es la suma de las líneas (914,15 € con el 10 % de IVA). Los 0,40 € de más del total escrito a mano no se tienen en cuenta. Sin cambios en el Excel.</t>
        </is>
      </c>
    </row>
    <row r="33" ht="47" customHeight="1">
      <c r="A33" s="9" t="n">
        <v>61</v>
      </c>
      <c r="B33" s="9" t="inlineStr">
        <is>
          <t>INFO</t>
        </is>
      </c>
      <c r="C33" s="10" t="inlineStr">
        <is>
          <t>SEPTIEMBRE</t>
        </is>
      </c>
      <c r="D33" s="11" t="inlineStr">
        <is>
          <t>CARNICAS MEAT</t>
        </is>
      </c>
      <c r="E33" s="11" t="inlineStr">
        <is>
          <t>Factura entre los albaranes</t>
        </is>
      </c>
      <c r="F33" s="11" t="inlineStr">
        <is>
          <t>Factura A1/299 (30/09), resumen de los albaranes A1/234, A1/247, A1/250, A1/258 y A1/261: base 1.450,68 €, total 1.595,75 €. No incluida como albarán: sus cinco albaranes sí están y suman 1.450,69 € (cuadra).</t>
        </is>
      </c>
      <c r="G33" s="12" t="n">
        <v>1450.68</v>
      </c>
      <c r="H33" s="11" t="inlineStr">
        <is>
          <t>Archivarla en FACTURAS.</t>
        </is>
      </c>
      <c r="I33" s="9" t="inlineStr">
        <is>
          <t>REVISADO</t>
        </is>
      </c>
      <c r="J33" s="9" t="inlineStr">
        <is>
          <t>WIT</t>
        </is>
      </c>
      <c r="K33" s="11" t="inlineStr">
        <is>
          <t>Archivarla en FACTURAS.</t>
        </is>
      </c>
      <c r="L33" s="9" t="n"/>
      <c r="M33" s="11" t="inlineStr">
        <is>
          <t>07/10/2026: factura guardada en SEPTIEMBRE/FACTURAS («CARNICAS MEAT - Factura A1-299 30-09-2026.pdf»).</t>
        </is>
      </c>
    </row>
    <row r="34" ht="62" customHeight="1">
      <c r="A34" s="9" t="n">
        <v>62</v>
      </c>
      <c r="B34" s="9" t="inlineStr">
        <is>
          <t>INFO</t>
        </is>
      </c>
      <c r="C34" s="10" t="inlineStr">
        <is>
          <t>SEPTIEMBRE</t>
        </is>
      </c>
      <c r="D34" s="11" t="inlineStr">
        <is>
          <t>ACEITE Y SAL / CASA MISU</t>
        </is>
      </c>
      <c r="E34" s="11" t="inlineStr">
        <is>
          <t>Facturas directas (sin albarán)</t>
        </is>
      </c>
      <c r="F34" s="11" t="inlineStr">
        <is>
          <t>ACEITE Y SAL (Duranza Origen XXI): 9 facturas por entrega (26003920 a 26004218) y 1 albarán (26000075). CASA MISU: 6 facturas directas de tiramisú (70 € cada una). Están incluidas porque no hay albarán aparte (2.769,25 € de base). En la 26004218 (29/09) pone «aceituna manzanilla pendiente, llegó el jueves».</t>
        </is>
      </c>
      <c r="G34" s="12" t="n">
        <v>2769.25</v>
      </c>
      <c r="H34" s="11" t="inlineStr">
        <is>
          <t>Tenerlo en cuenta para no contarlas dos veces con las facturas recibidas.</t>
        </is>
      </c>
      <c r="I34" s="9" t="inlineStr">
        <is>
          <t>REVISADO</t>
        </is>
      </c>
      <c r="J34" s="9" t="inlineStr">
        <is>
          <t>WIT</t>
        </is>
      </c>
      <c r="K34" s="11" t="inlineStr">
        <is>
          <t>OK</t>
        </is>
      </c>
      <c r="L34" s="9" t="inlineStr">
        <is>
          <t>ADMINISTRACION WIT</t>
        </is>
      </c>
      <c r="M34" s="11" t="inlineStr">
        <is>
          <t>Visto por la asesoría (07/10/2026). Sin cambios en el Excel.</t>
        </is>
      </c>
    </row>
    <row r="35" ht="62" customHeight="1">
      <c r="A35" s="9" t="n">
        <v>63</v>
      </c>
      <c r="B35" s="9" t="inlineStr">
        <is>
          <t>INFO</t>
        </is>
      </c>
      <c r="C35" s="10" t="inlineStr">
        <is>
          <t>SEPTIEMBRE</t>
        </is>
      </c>
      <c r="D35" s="11" t="inlineStr">
        <is>
          <t>Varios</t>
        </is>
      </c>
      <c r="E35" s="11" t="inlineStr">
        <is>
          <t>Proveedores nuevos en septiembre</t>
        </is>
      </c>
      <c r="F35" s="11" t="inlineStr">
        <is>
          <t>ACEITE Y SAL (Duranza Origen XXI, S.L.), CASA MISU, EXTRAMAR, HIELOS ANGEL ICE, INESCU SERVICES (Carcume), LEVADURA MADRE, MAXXIMO (molletes), REGERE AOVE (Emporium) y SENSORVISION. Cada uno tiene su hoja. Vuelven a tener albaranes tras no tenerlos en agosto: MAKRO, JOSE ROMERO PLAZA, MONVA y VINS DES DIEUX.</t>
        </is>
      </c>
      <c r="G35" s="12" t="n"/>
      <c r="H35" s="11" t="inlineStr">
        <is>
          <t>Ninguna.</t>
        </is>
      </c>
      <c r="I35" s="9" t="inlineStr">
        <is>
          <t>REVISADO</t>
        </is>
      </c>
      <c r="J35" s="9" t="inlineStr">
        <is>
          <t>WIT</t>
        </is>
      </c>
      <c r="K35" s="11" t="inlineStr">
        <is>
          <t>QUITAR. OK</t>
        </is>
      </c>
      <c r="L35" s="9" t="n"/>
      <c r="M35" s="11" t="inlineStr">
        <is>
          <t>Visto por la asesoría (07/10/2026). Sin cambios en el Excel.</t>
        </is>
      </c>
    </row>
    <row r="36" ht="32" customHeight="1">
      <c r="A36" s="9" t="n">
        <v>64</v>
      </c>
      <c r="B36" s="9" t="inlineStr">
        <is>
          <t>INFO</t>
        </is>
      </c>
      <c r="C36" s="10" t="inlineStr">
        <is>
          <t>SEPTIEMBRE</t>
        </is>
      </c>
      <c r="D36" s="11" t="inlineStr">
        <is>
          <t>Varios</t>
        </is>
      </c>
      <c r="E36" s="11" t="inlineStr">
        <is>
          <t>Proveedores sin albaranes en septiembre</t>
        </is>
      </c>
      <c r="F36" s="11" t="inlineStr">
        <is>
          <t>Tuvieron compras en agosto y no hay nada en septiembre: EIF DISTRIBUCIONES y JC MACKINTOSH.</t>
        </is>
      </c>
      <c r="G36" s="12" t="n"/>
      <c r="H36" s="11" t="inlineStr">
        <is>
          <t>Confirmar si faltan albaranes por escanear o si no hubo compras.</t>
        </is>
      </c>
      <c r="I36" s="9" t="inlineStr">
        <is>
          <t>REVISADO</t>
        </is>
      </c>
      <c r="J36" s="9" t="inlineStr">
        <is>
          <t>LA MINA</t>
        </is>
      </c>
      <c r="K36" s="11" t="inlineStr">
        <is>
          <t>OK.</t>
        </is>
      </c>
      <c r="L36" s="9" t="n"/>
      <c r="M36" s="11" t="inlineStr">
        <is>
          <t>Visto por la asesoría (07/10/2026). Sin cambios en el Excel.</t>
        </is>
      </c>
    </row>
    <row r="37" ht="62" customHeight="1">
      <c r="A37" s="9" t="n">
        <v>65</v>
      </c>
      <c r="B37" s="9" t="inlineStr">
        <is>
          <t>INFO</t>
        </is>
      </c>
      <c r="C37" s="10" t="inlineStr">
        <is>
          <t>SEPTIEMBRE</t>
        </is>
      </c>
      <c r="D37" s="11" t="inlineStr">
        <is>
          <t>Varios</t>
        </is>
      </c>
      <c r="E37" s="11" t="inlineStr">
        <is>
          <t>Género sin cargo y regalos</t>
        </is>
      </c>
      <c r="F37" s="11" t="inlineStr">
        <is>
          <t>SUBMARINER: Petroni aperitivo, tequila Olmeca y Havana Origen (SF 10339), 1 Red Bull sandía (SF 10093), 1 José Cuervo y 1 Bombay (SF 9684), todos al 100 % de dto. DIST. TENA: 24 copas sin cargo (FD 2821). CONS. JIMÉNEZ: muestra de mejillones picantes (26A01144). Incluidos a 0 €.</t>
        </is>
      </c>
      <c r="G37" s="12" t="n"/>
      <c r="H37" s="11" t="inlineStr">
        <is>
          <t>Ninguna.</t>
        </is>
      </c>
      <c r="I37" s="9" t="inlineStr">
        <is>
          <t>REVISADO</t>
        </is>
      </c>
      <c r="J37" s="9" t="inlineStr">
        <is>
          <t>WIT</t>
        </is>
      </c>
      <c r="K37" s="11" t="inlineStr">
        <is>
          <t>OK</t>
        </is>
      </c>
      <c r="L37" s="9" t="n"/>
      <c r="M37" s="11" t="inlineStr">
        <is>
          <t>Visto por la asesoría (07/10/2026). Sin cambios en el Excel.</t>
        </is>
      </c>
    </row>
    <row r="38" ht="77" customHeight="1">
      <c r="A38" s="9" t="n">
        <v>66</v>
      </c>
      <c r="B38" s="9" t="inlineStr">
        <is>
          <t>INFO</t>
        </is>
      </c>
      <c r="C38" s="10" t="inlineStr">
        <is>
          <t>SEPTIEMBRE</t>
        </is>
      </c>
      <c r="D38" s="11" t="inlineStr">
        <is>
          <t>Varios</t>
        </is>
      </c>
      <c r="E38" s="11" t="inlineStr">
        <is>
          <t>Precio distinto dentro del mes</t>
        </is>
      </c>
      <c r="F38" s="11" t="inlineStr">
        <is>
          <t>CRUSTAPESCA: ventresca 52 → 62 €/kg y cola G 20 → 22. AGMASFOOD: gamba roja 89 → 95. MAGOASE: girasol 44,95 → 46,95. PESCARUM: navaja entre 22 y 25. MARTÍN CANEDA: camarón 97 y 98. JOSE ROMERO: boquerón 10 → 11. CARNICAS MEAT: solomillo 35 y 34,55. MAKRO: limón, cebolla, cebollino, pimientos, naranja, zanahoria y tomate cambian casi cada semana.</t>
        </is>
      </c>
      <c r="G38" s="12" t="n"/>
      <c r="H38" s="11" t="inlineStr">
        <is>
          <t>Detalle en COMPARATIVA PRECIOS (bloque de variaciones dentro del mes).</t>
        </is>
      </c>
      <c r="I38" s="9" t="inlineStr">
        <is>
          <t>REVISADO</t>
        </is>
      </c>
      <c r="J38" s="9" t="inlineStr">
        <is>
          <t>WIT</t>
        </is>
      </c>
      <c r="K38" s="11" t="inlineStr">
        <is>
          <t>OK INCLUYELO</t>
        </is>
      </c>
      <c r="L38" s="9" t="n"/>
      <c r="M38" s="11" t="inlineStr">
        <is>
          <t>07/10/2026: ya está en la COMPARATIVA (bloque «Variaciones dentro de SEPTIEMBRE», con los precios por fecha de albarán).</t>
        </is>
      </c>
    </row>
    <row r="39" ht="62" customHeight="1">
      <c r="A39" s="9" t="n">
        <v>67</v>
      </c>
      <c r="B39" s="9" t="inlineStr">
        <is>
          <t>INFO</t>
        </is>
      </c>
      <c r="C39" s="10" t="inlineStr">
        <is>
          <t>SEPTIEMBRE</t>
        </is>
      </c>
      <c r="D39" s="11" t="inlineStr">
        <is>
          <t>Varios</t>
        </is>
      </c>
      <c r="E39" s="11" t="inlineStr">
        <is>
          <t>Notas en albaranes</t>
        </is>
      </c>
      <c r="F39" s="11" t="inlineStr">
        <is>
          <t>AGROFOOD M26/963 (01/09): «el pedido eran 40, traigo la mitad, mañana la otra mitad». ROMERO ÁLVAREZ: 36 € de portes al 21 % en cada uno de sus dos albaranes. SUBMARINER: 1 € de «servicios logísticos» por albarán. ESCRIBANO SANZ 0665: el día se lee como 1 (trazo poco claro).</t>
        </is>
      </c>
      <c r="G39" s="12" t="n"/>
      <c r="H39" s="11" t="inlineStr">
        <is>
          <t>Ninguna.</t>
        </is>
      </c>
      <c r="I39" s="9" t="inlineStr">
        <is>
          <t>REVISADO</t>
        </is>
      </c>
      <c r="J39" s="9" t="inlineStr">
        <is>
          <t>WIT</t>
        </is>
      </c>
      <c r="K39" s="11" t="inlineStr">
        <is>
          <t>OK, QUITALO.</t>
        </is>
      </c>
      <c r="L39" s="9" t="n"/>
      <c r="M39" s="11" t="inlineStr">
        <is>
          <t>Cerrada por la asesoría (07/10/2026).</t>
        </is>
      </c>
    </row>
    <row r="40" ht="47" customHeight="1">
      <c r="A40" s="9" t="n">
        <v>1</v>
      </c>
      <c r="B40" s="9" t="inlineStr">
        <is>
          <t>ALTA</t>
        </is>
      </c>
      <c r="C40" s="13" t="inlineStr">
        <is>
          <t>AGOSTO</t>
        </is>
      </c>
      <c r="D40" s="11" t="inlineStr">
        <is>
          <t>PESCARUM</t>
        </is>
      </c>
      <c r="E40" s="11" t="inlineStr">
        <is>
          <t>Suma del albarán no cuadra</t>
        </is>
      </c>
      <c r="F40" s="11" t="inlineStr">
        <is>
          <t>Albarán del 04/08: las líneas suman 992,87 € y el albarán pone base 922,87 € (total 1.015,15 €). En el Excel está la base del albarán; por eso el CUADRE de agosto marca REVISAR (69,99 €).</t>
        </is>
      </c>
      <c r="G40" s="12" t="n">
        <v>70</v>
      </c>
      <c r="H40" s="11" t="inlineStr">
        <is>
          <t>Reclamar a Pescarum cuál es el importe correcto.</t>
        </is>
      </c>
      <c r="I40" s="9" t="inlineStr">
        <is>
          <t>PENDIENTE</t>
        </is>
      </c>
      <c r="J40" s="9" t="inlineStr">
        <is>
          <t>LA MINA</t>
        </is>
      </c>
      <c r="K40" s="11" t="n"/>
      <c r="L40" s="9" t="n"/>
      <c r="M40" s="11" t="inlineStr">
        <is>
          <t>Pendiente desde la revisión del 25/09/2026.</t>
        </is>
      </c>
    </row>
    <row r="41" ht="32" customHeight="1">
      <c r="A41" s="9" t="n">
        <v>2</v>
      </c>
      <c r="B41" s="9" t="inlineStr">
        <is>
          <t>MEDIA</t>
        </is>
      </c>
      <c r="C41" s="13" t="inlineStr">
        <is>
          <t>AGOSTO</t>
        </is>
      </c>
      <c r="D41" s="11" t="inlineStr">
        <is>
          <t>VOLDIS</t>
        </is>
      </c>
      <c r="E41" s="11" t="inlineStr">
        <is>
          <t>Ticket ilegible</t>
        </is>
      </c>
      <c r="F41" s="11" t="inlineStr">
        <is>
          <t>Ticket del 25/08 muy borroso: nº ilegible. Total 591,03 €. El desglose leído no cuadra; se puso 484,47 € al 21 % para cuadrar con el total.</t>
        </is>
      </c>
      <c r="G41" s="12" t="n">
        <v>591.03</v>
      </c>
      <c r="H41" s="11" t="inlineStr">
        <is>
          <t>Pedir copia legible y confirmar el desglose de IVA.</t>
        </is>
      </c>
      <c r="I41" s="9" t="inlineStr">
        <is>
          <t>PENDIENTE</t>
        </is>
      </c>
      <c r="J41" s="9" t="inlineStr">
        <is>
          <t>LA MINA</t>
        </is>
      </c>
      <c r="K41" s="11" t="n"/>
      <c r="L41" s="9" t="n"/>
      <c r="M41" s="11" t="inlineStr">
        <is>
          <t>Pendiente desde la revisión del 25/09/2026. En septiembre vuelve a pasar con tres tickets (nº 40).</t>
        </is>
      </c>
    </row>
    <row r="42" ht="32" customHeight="1">
      <c r="A42" s="9" t="n">
        <v>3</v>
      </c>
      <c r="B42" s="9" t="inlineStr">
        <is>
          <t>MEDIA</t>
        </is>
      </c>
      <c r="C42" s="13" t="inlineStr">
        <is>
          <t>AGOSTO</t>
        </is>
      </c>
      <c r="D42" s="11" t="inlineStr">
        <is>
          <t>VOLDIS</t>
        </is>
      </c>
      <c r="E42" s="11" t="inlineStr">
        <is>
          <t>Ticket ilegible</t>
        </is>
      </c>
      <c r="F42" s="11" t="inlineStr">
        <is>
          <t>Ticket del 19/08 borroso: nº y productos ilegibles. Total 350,10 € (29,52 € al 10 % + 262,50 € al 21 %).</t>
        </is>
      </c>
      <c r="G42" s="12" t="n">
        <v>350.1</v>
      </c>
      <c r="H42" s="11" t="inlineStr">
        <is>
          <t>Pedir copia legible (nº de ticket y productos).</t>
        </is>
      </c>
      <c r="I42" s="9" t="inlineStr">
        <is>
          <t>PENDIENTE</t>
        </is>
      </c>
      <c r="J42" s="9" t="inlineStr">
        <is>
          <t>LA MINA</t>
        </is>
      </c>
      <c r="K42" s="11" t="n"/>
      <c r="L42" s="9" t="n"/>
      <c r="M42" s="11" t="inlineStr">
        <is>
          <t>Pendiente desde la revisión del 25/09/2026.</t>
        </is>
      </c>
    </row>
    <row r="43" ht="32" customHeight="1">
      <c r="A43" s="9" t="n">
        <v>4</v>
      </c>
      <c r="B43" s="9" t="inlineStr">
        <is>
          <t>MEDIA</t>
        </is>
      </c>
      <c r="C43" s="13" t="inlineStr">
        <is>
          <t>AGOSTO</t>
        </is>
      </c>
      <c r="D43" s="11" t="inlineStr">
        <is>
          <t>CRUSTAPESCA</t>
        </is>
      </c>
      <c r="E43" s="11" t="inlineStr">
        <is>
          <t>Albarán sin número</t>
        </is>
      </c>
      <c r="F43" s="11" t="inlineStr">
        <is>
          <t>Albarán del 22/08 sin nº, a nombre «LA MINA CHAMARTIN», total 184,80 € con IVA. Nota a mano: «Retiro 5 h cola fresca».</t>
        </is>
      </c>
      <c r="G43" s="12" t="n">
        <v>168</v>
      </c>
      <c r="H43" s="11" t="inlineStr">
        <is>
          <t>Pedir el nº de albarán y confirmar la retirada de producto.</t>
        </is>
      </c>
      <c r="I43" s="9" t="inlineStr">
        <is>
          <t>PENDIENTE</t>
        </is>
      </c>
      <c r="J43" s="9" t="inlineStr">
        <is>
          <t>LA MINA</t>
        </is>
      </c>
      <c r="K43" s="11" t="n"/>
      <c r="L43" s="9" t="n"/>
      <c r="M43" s="11" t="inlineStr">
        <is>
          <t>Pendiente desde la revisión del 25/09/2026.</t>
        </is>
      </c>
    </row>
    <row r="44" ht="32" customHeight="1">
      <c r="A44" s="9" t="n">
        <v>5</v>
      </c>
      <c r="B44" s="9" t="inlineStr">
        <is>
          <t>MEDIA</t>
        </is>
      </c>
      <c r="C44" s="13" t="inlineStr">
        <is>
          <t>AGOSTO</t>
        </is>
      </c>
      <c r="D44" s="11" t="inlineStr">
        <is>
          <t>CRUSTAPESCA</t>
        </is>
      </c>
      <c r="E44" s="11" t="inlineStr">
        <is>
          <t>Nota de abono</t>
        </is>
      </c>
      <c r="F44" s="11" t="inlineStr">
        <is>
          <t>Abono 20081: cola de gambón 5 kg + ventresca 2 kg (−252,56 € con IVA). Incluido en negativo en agosto.</t>
        </is>
      </c>
      <c r="G44" s="12" t="n">
        <v>-229.6</v>
      </c>
      <c r="H44" s="11" t="inlineStr">
        <is>
          <t>Comprobar que el abono se descuenta en la factura.</t>
        </is>
      </c>
      <c r="I44" s="9" t="inlineStr">
        <is>
          <t>PENDIENTE</t>
        </is>
      </c>
      <c r="J44" s="9" t="inlineStr">
        <is>
          <t>WIT</t>
        </is>
      </c>
      <c r="K44" s="11" t="n"/>
      <c r="L44" s="9" t="n"/>
      <c r="M44" s="11" t="inlineStr">
        <is>
          <t>Pendiente desde la revisión del 25/09/2026.</t>
        </is>
      </c>
    </row>
    <row r="45" ht="32" customHeight="1">
      <c r="A45" s="9" t="n">
        <v>6</v>
      </c>
      <c r="B45" s="9" t="inlineStr">
        <is>
          <t>MEDIA</t>
        </is>
      </c>
      <c r="C45" s="13" t="inlineStr">
        <is>
          <t>AGOSTO</t>
        </is>
      </c>
      <c r="D45" s="11" t="inlineStr">
        <is>
          <t>COCACOLA</t>
        </is>
      </c>
      <c r="E45" s="11" t="inlineStr">
        <is>
          <t>Devolución de envases</t>
        </is>
      </c>
      <c r="F45" s="11" t="inlineStr">
        <is>
          <t>Albarán 4536386995 de devolución (8 cajas + botellas): −46,46 € con IVA. Incluido en negativo en agosto.</t>
        </is>
      </c>
      <c r="G45" s="12" t="n">
        <v>-38.4</v>
      </c>
      <c r="H45" s="11" t="inlineStr">
        <is>
          <t>Comprobar que se descuenta en la factura.</t>
        </is>
      </c>
      <c r="I45" s="9" t="inlineStr">
        <is>
          <t>PENDIENTE</t>
        </is>
      </c>
      <c r="J45" s="9" t="inlineStr">
        <is>
          <t>WIT</t>
        </is>
      </c>
      <c r="K45" s="11" t="n"/>
      <c r="L45" s="9" t="n"/>
      <c r="M45" s="11" t="inlineStr">
        <is>
          <t>Pendiente desde la revisión del 25/09/2026.</t>
        </is>
      </c>
    </row>
    <row r="46" ht="32" customHeight="1">
      <c r="A46" s="9" t="n">
        <v>7</v>
      </c>
      <c r="B46" s="9" t="inlineStr">
        <is>
          <t>MEDIA</t>
        </is>
      </c>
      <c r="C46" s="13" t="inlineStr">
        <is>
          <t>AGOSTO</t>
        </is>
      </c>
      <c r="D46" s="11" t="inlineStr">
        <is>
          <t>AGMASFOOD</t>
        </is>
      </c>
      <c r="E46" s="11" t="inlineStr">
        <is>
          <t>Albarán a 0 €</t>
        </is>
      </c>
      <c r="F46" s="11" t="inlineStr">
        <is>
          <t>Albarán 26 7151: gamba roja 1,3 kg cargada y abonada en el mismo albarán (total 0 €).</t>
        </is>
      </c>
      <c r="G46" s="12" t="n"/>
      <c r="H46" s="11" t="inlineStr">
        <is>
          <t>Comprobar que no se factura.</t>
        </is>
      </c>
      <c r="I46" s="9" t="inlineStr">
        <is>
          <t>PENDIENTE</t>
        </is>
      </c>
      <c r="J46" s="9" t="inlineStr">
        <is>
          <t>WIT</t>
        </is>
      </c>
      <c r="K46" s="11" t="n"/>
      <c r="L46" s="9" t="n"/>
      <c r="M46" s="11" t="inlineStr">
        <is>
          <t>Pendiente desde la revisión del 25/09/2026.</t>
        </is>
      </c>
    </row>
    <row r="47" ht="47" customHeight="1">
      <c r="A47" s="9" t="n">
        <v>8</v>
      </c>
      <c r="B47" s="9" t="inlineStr">
        <is>
          <t>MEDIA</t>
        </is>
      </c>
      <c r="C47" s="13" t="inlineStr">
        <is>
          <t>AGOSTO</t>
        </is>
      </c>
      <c r="D47" s="11" t="inlineStr">
        <is>
          <t>MANUEL AMBRES</t>
        </is>
      </c>
      <c r="E47" s="11" t="inlineStr">
        <is>
          <t>Producto dudoso</t>
        </is>
      </c>
      <c r="F47" s="11" t="inlineStr">
        <is>
          <t>Albarán 26/11925 (agosto): pone «cecina premium 100 gr / black angus» a 7,35 €. En julio la black angus wagyu iba a 16 € y la cecina premium a 7,35 €.</t>
        </is>
      </c>
      <c r="G47" s="12" t="n"/>
      <c r="H47" s="11" t="inlineStr">
        <is>
          <t>Confirmar qué cecina se sirvió.</t>
        </is>
      </c>
      <c r="I47" s="9" t="inlineStr">
        <is>
          <t>PENDIENTE</t>
        </is>
      </c>
      <c r="J47" s="9" t="inlineStr">
        <is>
          <t>LA MINA</t>
        </is>
      </c>
      <c r="K47" s="11" t="n"/>
      <c r="L47" s="9" t="n"/>
      <c r="M47" s="11" t="inlineStr">
        <is>
          <t>Pendiente desde la revisión del 25/09/2026. En septiembre vienen separadas: «cecina premium black angus» a 7,35 € (26/12750 y 26/13640) y «cecina premium wagyu» a 16,00 € (26/13079).</t>
        </is>
      </c>
    </row>
    <row r="48" ht="32" customHeight="1">
      <c r="A48" s="9" t="n">
        <v>15</v>
      </c>
      <c r="B48" s="9" t="inlineStr">
        <is>
          <t>BAJA</t>
        </is>
      </c>
      <c r="C48" s="13" t="inlineStr">
        <is>
          <t>AGOSTO</t>
        </is>
      </c>
      <c r="D48" s="11" t="inlineStr">
        <is>
          <t>AGROFOOD</t>
        </is>
      </c>
      <c r="E48" s="11" t="inlineStr">
        <is>
          <t>Cargo «MER» en el precio</t>
        </is>
      </c>
      <c r="F48" s="11" t="inlineStr">
        <is>
          <t>Entrecot y medallón llevan +0,07 €/kg (concepto «MER») desde agosto: 27,57 y 36,97 €/kg.</t>
        </is>
      </c>
      <c r="G48" s="12" t="n"/>
      <c r="H48" s="11" t="inlineStr">
        <is>
          <t>Confirmar a qué corresponde el cargo.</t>
        </is>
      </c>
      <c r="I48" s="9" t="inlineStr">
        <is>
          <t>PENDIENTE</t>
        </is>
      </c>
      <c r="J48" s="9" t="inlineStr">
        <is>
          <t>LA MINA</t>
        </is>
      </c>
      <c r="K48" s="11" t="n"/>
      <c r="L48" s="9" t="n"/>
      <c r="M48" s="11" t="inlineStr">
        <is>
          <t>Pendiente desde la revisión del 25/09/2026. Sigue igual en los 12 albaranes de septiembre.</t>
        </is>
      </c>
    </row>
    <row r="49" ht="32" customHeight="1">
      <c r="A49" s="9" t="n">
        <v>21</v>
      </c>
      <c r="B49" s="9" t="inlineStr">
        <is>
          <t>ALTA</t>
        </is>
      </c>
      <c r="C49" s="14" t="inlineStr">
        <is>
          <t>JULIO</t>
        </is>
      </c>
      <c r="D49" s="11" t="inlineStr">
        <is>
          <t>JOSE ROMERO PLAZA</t>
        </is>
      </c>
      <c r="E49" s="11" t="inlineStr">
        <is>
          <t>Posible error de precio</t>
        </is>
      </c>
      <c r="F49" s="11" t="inlineStr">
        <is>
          <t>Albarán 149 (29/07): una línea de 1 kg de boquerón a 46,20 € (el resto a 11 €). Total del albarán 87,12 €.</t>
        </is>
      </c>
      <c r="G49" s="12" t="n">
        <v>35.2</v>
      </c>
      <c r="H49" s="11" t="inlineStr">
        <is>
          <t>Pedir aclaración o abono al proveedor.</t>
        </is>
      </c>
      <c r="I49" s="9" t="inlineStr">
        <is>
          <t>PENDIENTE</t>
        </is>
      </c>
      <c r="J49" s="9" t="inlineStr">
        <is>
          <t>LA MINA</t>
        </is>
      </c>
      <c r="K49" s="11" t="n"/>
      <c r="L49" s="9" t="n"/>
      <c r="M49" s="11" t="inlineStr">
        <is>
          <t>Pendiente desde la revisión del 25/09/2026. En septiembre el boquerón va a 10–11 €/kg.</t>
        </is>
      </c>
    </row>
    <row r="50" ht="77" customHeight="1">
      <c r="A50" s="9" t="n">
        <v>22</v>
      </c>
      <c r="B50" s="9" t="inlineStr">
        <is>
          <t>ALTA</t>
        </is>
      </c>
      <c r="C50" s="14" t="inlineStr">
        <is>
          <t>JULIO</t>
        </is>
      </c>
      <c r="D50" s="11" t="inlineStr">
        <is>
          <t>Varios (La Mina de Velázquez)</t>
        </is>
      </c>
      <c r="E50" s="11" t="inlineStr">
        <is>
          <t>Albaranes de Velázquez en el PDF de Chamartín</t>
        </is>
      </c>
      <c r="F50" s="11" t="inlineStr">
        <is>
          <t>En el PDF de julio de Chamartín venían 23 albaranes a nombre de La Mina de Velázquez (Leikan, Madosa, Agmasfood, Don Bocarte, Magoase, José Peña, Crustapesca, Pescarum, Disoltrigo, Tomatería, Enrique Camps, Servan, Martín Caneda, Manuel Ambres y Monva). Comprobado el 25/09: en el Excel de julio de Velázquez no está ninguno.</t>
        </is>
      </c>
      <c r="G50" s="12" t="n"/>
      <c r="H50" s="11" t="inlineStr">
        <is>
          <t>Dar de alta esos 23 albaranes en el Excel de julio de Velázquez.</t>
        </is>
      </c>
      <c r="I50" s="9" t="inlineStr">
        <is>
          <t>PENDIENTE</t>
        </is>
      </c>
      <c r="J50" s="9" t="inlineStr">
        <is>
          <t>WIT</t>
        </is>
      </c>
      <c r="K50" s="11" t="n"/>
      <c r="L50" s="9" t="n"/>
      <c r="M50" s="11" t="inlineStr">
        <is>
          <t>Pendiente desde la revisión del 25/09/2026.</t>
        </is>
      </c>
    </row>
    <row r="51" ht="47" customHeight="1">
      <c r="A51" s="9" t="n">
        <v>24</v>
      </c>
      <c r="B51" s="9" t="inlineStr">
        <is>
          <t>MEDIA</t>
        </is>
      </c>
      <c r="C51" s="14" t="inlineStr">
        <is>
          <t>JULIO</t>
        </is>
      </c>
      <c r="D51" s="11" t="inlineStr">
        <is>
          <t>CRUSTAPESCA</t>
        </is>
      </c>
      <c r="E51" s="11" t="inlineStr">
        <is>
          <t>Albarán de otro mes</t>
        </is>
      </c>
      <c r="F51" s="11" t="inlineStr">
        <is>
          <t>Albarán sin nº con fecha «02 mayo 2026» y a mano «ES 2 DE JUNIO». Total 223,50 €. No incluido. PDF separado en JULIO/ALBARANES («REVISAR - Crustapesca mayo-junio…»).</t>
        </is>
      </c>
      <c r="G51" s="12" t="n">
        <v>223.5</v>
      </c>
      <c r="H51" s="11" t="inlineStr">
        <is>
          <t>Decidir dónde va: Chamartín no tiene Excel de junio con datos (el de junio es copia del de mayo).</t>
        </is>
      </c>
      <c r="I51" s="9" t="inlineStr">
        <is>
          <t>PENDIENTE</t>
        </is>
      </c>
      <c r="J51" s="9" t="inlineStr">
        <is>
          <t>WIT</t>
        </is>
      </c>
      <c r="K51" s="11" t="n"/>
      <c r="L51" s="9" t="n"/>
      <c r="M51" s="11" t="inlineStr">
        <is>
          <t>Pendiente desde la revisión del 25/09/2026.</t>
        </is>
      </c>
    </row>
    <row r="52" ht="47" customHeight="1">
      <c r="A52" s="9" t="n">
        <v>25</v>
      </c>
      <c r="B52" s="9" t="inlineStr">
        <is>
          <t>MEDIA</t>
        </is>
      </c>
      <c r="C52" s="14" t="inlineStr">
        <is>
          <t>JULIO</t>
        </is>
      </c>
      <c r="D52" s="11" t="inlineStr">
        <is>
          <t>(sin proveedor) → MAXXIMO</t>
        </is>
      </c>
      <c r="E52" s="11" t="inlineStr">
        <is>
          <t>Factura sin datos del proveedor</t>
        </is>
      </c>
      <c r="F52" s="11" t="inlineStr">
        <is>
          <t>Talonario manuscrito para «Taberna La Mina» (22/07): 75 uds x 1,08 = 81 € + 4 % = 84,24 €. Sin proveedor ni nº. No incluido en julio.</t>
        </is>
      </c>
      <c r="G52" s="12" t="n">
        <v>81</v>
      </c>
      <c r="H52" s="11" t="inlineStr">
        <is>
          <t>Confirmar que es de Maxximo y decidir si se añade a julio.</t>
        </is>
      </c>
      <c r="I52" s="9" t="inlineStr">
        <is>
          <t>PENDIENTE</t>
        </is>
      </c>
      <c r="J52" s="9" t="inlineStr">
        <is>
          <t>LA MINA</t>
        </is>
      </c>
      <c r="K52" s="11" t="n"/>
      <c r="L52" s="9" t="n"/>
      <c r="M52" s="11" t="inlineStr">
        <is>
          <t>05/10/2026: en septiembre llegan dos talonarios idénticos (75 molletes, 84,24 €), uno con «Maxximo» escrito a mano. Casi seguro que el de julio es lo mismo: molletes, no mollejas (ver nº 49). Falta confirmarlo.</t>
        </is>
      </c>
    </row>
    <row r="53" ht="32" customHeight="1">
      <c r="A53" s="9" t="n">
        <v>26</v>
      </c>
      <c r="B53" s="9" t="inlineStr">
        <is>
          <t>MEDIA</t>
        </is>
      </c>
      <c r="C53" s="14" t="inlineStr">
        <is>
          <t>JULIO</t>
        </is>
      </c>
      <c r="D53" s="11" t="inlineStr">
        <is>
          <t>TOMATERIA DE CEA</t>
        </is>
      </c>
      <c r="E53" s="11" t="inlineStr">
        <is>
          <t>Posible duplicado</t>
        </is>
      </c>
      <c r="F53" s="11" t="inlineStr">
        <is>
          <t>Nota manuscrita (fecha poco clara, 15 o 25/07) de 6 kg a 6 € con una anotación del alb. 931 del 25/07 (37,44 €). No incluida.</t>
        </is>
      </c>
      <c r="G53" s="12" t="n">
        <v>37.44</v>
      </c>
      <c r="H53" s="11" t="inlineStr">
        <is>
          <t>Confirmar si duplica el albarán 931.</t>
        </is>
      </c>
      <c r="I53" s="9" t="inlineStr">
        <is>
          <t>PENDIENTE</t>
        </is>
      </c>
      <c r="J53" s="9" t="inlineStr">
        <is>
          <t>WIT</t>
        </is>
      </c>
      <c r="K53" s="11" t="n"/>
      <c r="L53" s="9" t="n"/>
      <c r="M53" s="11" t="inlineStr">
        <is>
          <t>Pendiente desde la revisión del 25/09/2026.</t>
        </is>
      </c>
    </row>
    <row r="54" ht="32" customHeight="1">
      <c r="A54" s="9" t="n">
        <v>30</v>
      </c>
      <c r="B54" s="9" t="inlineStr">
        <is>
          <t>MEDIA</t>
        </is>
      </c>
      <c r="C54" s="14" t="inlineStr">
        <is>
          <t>JULIO</t>
        </is>
      </c>
      <c r="D54" s="11" t="inlineStr">
        <is>
          <t>MARTIN CANEDA</t>
        </is>
      </c>
      <c r="E54" s="11" t="inlineStr">
        <is>
          <t>Albaranes poco legibles</t>
        </is>
      </c>
      <c r="F54" s="11" t="inlineStr">
        <is>
          <t>27547: casi ilegible, se puso 0,5 kg camarón a 98 € + 2 chochas a 50 € (149 €). 27662: fecha dudosa (¿11/07?), 250 € + IVA.</t>
        </is>
      </c>
      <c r="G54" s="12" t="n">
        <v>399</v>
      </c>
      <c r="H54" s="11" t="inlineStr">
        <is>
          <t>Comprobar con copia legible.</t>
        </is>
      </c>
      <c r="I54" s="9" t="inlineStr">
        <is>
          <t>PENDIENTE</t>
        </is>
      </c>
      <c r="J54" s="9" t="inlineStr">
        <is>
          <t>WIT</t>
        </is>
      </c>
      <c r="K54" s="11" t="n"/>
      <c r="L54" s="9" t="n"/>
      <c r="M54" s="11" t="inlineStr">
        <is>
          <t>Pendiente desde la revisión del 25/09/2026.</t>
        </is>
      </c>
    </row>
    <row r="55" ht="32" customHeight="1">
      <c r="A55" s="9" t="n">
        <v>33</v>
      </c>
      <c r="B55" s="9" t="inlineStr">
        <is>
          <t>BAJA</t>
        </is>
      </c>
      <c r="C55" s="14" t="inlineStr">
        <is>
          <t>JULIO</t>
        </is>
      </c>
      <c r="D55" s="11" t="inlineStr">
        <is>
          <t>CONS. SELEC. SANTO (DON BOCARTE)</t>
        </is>
      </c>
      <c r="E55" s="11" t="inlineStr">
        <is>
          <t>Copia borrosa</t>
        </is>
      </c>
      <c r="F55" s="11" t="inlineStr">
        <is>
          <t>Albarán 4604: nº (4604/4664) y fecha dudosos. Importe 347,76 € + IVA = 382,54 €.</t>
        </is>
      </c>
      <c r="G55" s="12" t="n">
        <v>347.76</v>
      </c>
      <c r="H55" s="11" t="inlineStr">
        <is>
          <t>Pedir copia legible.</t>
        </is>
      </c>
      <c r="I55" s="9" t="inlineStr">
        <is>
          <t>PENDIENTE</t>
        </is>
      </c>
      <c r="J55" s="9" t="inlineStr">
        <is>
          <t>WIT</t>
        </is>
      </c>
      <c r="K55" s="11" t="n"/>
      <c r="L55" s="9" t="n"/>
      <c r="M55" s="11" t="inlineStr">
        <is>
          <t>Pendiente desde la revisión del 25/09/2026.</t>
        </is>
      </c>
    </row>
    <row r="56" ht="32" customHeight="1">
      <c r="A56" s="9" t="n">
        <v>34</v>
      </c>
      <c r="B56" s="9" t="inlineStr">
        <is>
          <t>BAJA</t>
        </is>
      </c>
      <c r="C56" s="14" t="inlineStr">
        <is>
          <t>JULIO</t>
        </is>
      </c>
      <c r="D56" s="11" t="inlineStr">
        <is>
          <t>PESCARUM</t>
        </is>
      </c>
      <c r="E56" s="11" t="inlineStr">
        <is>
          <t>Datos ilegibles / sin cabecera</t>
        </is>
      </c>
      <c r="F56" s="11" t="inlineStr">
        <is>
          <t>22/07: primera línea y total ilegibles (base calculada 346,40 €). 31/07: albarán sin sello, asignado a Pescarum por formato y precios (301,45 € + IVA).</t>
        </is>
      </c>
      <c r="G56" s="12" t="n"/>
      <c r="H56" s="11" t="inlineStr">
        <is>
          <t>Confirmar con el proveedor los albaranes del 22 y del 31/07.</t>
        </is>
      </c>
      <c r="I56" s="9" t="inlineStr">
        <is>
          <t>PENDIENTE</t>
        </is>
      </c>
      <c r="J56" s="9" t="inlineStr">
        <is>
          <t>LA MINA</t>
        </is>
      </c>
      <c r="K56" s="11" t="n"/>
      <c r="L56" s="9" t="n"/>
      <c r="M56" s="11" t="inlineStr">
        <is>
          <t>Pendiente desde la revisión del 25/09/2026.</t>
        </is>
      </c>
    </row>
    <row r="57" ht="30" customHeight="1">
      <c r="A57" s="9" t="n">
        <v>36</v>
      </c>
      <c r="B57" s="9" t="inlineStr">
        <is>
          <t>BAJA</t>
        </is>
      </c>
      <c r="C57" s="14" t="inlineStr">
        <is>
          <t>JULIO</t>
        </is>
      </c>
      <c r="D57" s="11" t="inlineStr">
        <is>
          <t>FRUTERIA D'ALISTE</t>
        </is>
      </c>
      <c r="E57" s="11" t="inlineStr">
        <is>
          <t>Albarán manuscrito</t>
        </is>
      </c>
      <c r="F57" s="11" t="inlineStr">
        <is>
          <t>Albarán del 03/07 sin nº y poco legible. Base 67,79 € al 4 %.</t>
        </is>
      </c>
      <c r="G57" s="12" t="n">
        <v>67.79000000000001</v>
      </c>
      <c r="H57" s="11" t="inlineStr">
        <is>
          <t>Pedir copia legible.</t>
        </is>
      </c>
      <c r="I57" s="9" t="inlineStr">
        <is>
          <t>PENDIENTE</t>
        </is>
      </c>
      <c r="J57" s="9" t="inlineStr">
        <is>
          <t>WIT</t>
        </is>
      </c>
      <c r="K57" s="11" t="n"/>
      <c r="L57" s="9" t="n"/>
      <c r="M57" s="11" t="inlineStr">
        <is>
          <t>Pendiente desde la revisión del 25/09/2026.</t>
        </is>
      </c>
    </row>
  </sheetData>
  <autoFilter ref="A9:M57"/>
  <mergeCells count="6">
    <mergeCell ref="A1:M1"/>
    <mergeCell ref="I5:K5"/>
    <mergeCell ref="I4:K4"/>
    <mergeCell ref="A2:M2"/>
    <mergeCell ref="I7:K7"/>
    <mergeCell ref="I6:K6"/>
  </mergeCells>
  <conditionalFormatting sqref="A10:H57 J10:M57">
    <cfRule type="expression" priority="1" dxfId="0">
      <formula>AND($I10&lt;&gt;"",$I10&lt;&gt;"PENDIENTE")</formula>
    </cfRule>
  </conditionalFormatting>
  <conditionalFormatting sqref="B10:B57">
    <cfRule type="cellIs" priority="2" operator="equal" dxfId="1">
      <formula>"ALTA"</formula>
    </cfRule>
    <cfRule type="cellIs" priority="3" operator="equal" dxfId="2">
      <formula>"MEDIA"</formula>
    </cfRule>
    <cfRule type="cellIs" priority="4" operator="equal" dxfId="3">
      <formula>"BAJA"</formula>
    </cfRule>
    <cfRule type="cellIs" priority="5" operator="equal" dxfId="4">
      <formula>"INFO"</formula>
    </cfRule>
  </conditionalFormatting>
  <conditionalFormatting sqref="I10:I57">
    <cfRule type="cellIs" priority="6" operator="equal" dxfId="5">
      <formula>"PENDIENTE"</formula>
    </cfRule>
    <cfRule type="cellIs" priority="7" operator="notEqual" dxfId="6">
      <formula>"PENDIENTE"</formula>
    </cfRule>
  </conditionalFormatting>
  <dataValidations count="3">
    <dataValidation sqref="I10:I57" showDropDown="0" showInputMessage="0" showErrorMessage="0" allowBlank="1" type="list">
      <formula1>"PENDIENTE,REVISADO,CORREGIDO"</formula1>
    </dataValidation>
    <dataValidation sqref="J10:J57" showDropDown="0" showInputMessage="0" showErrorMessage="0" allowBlank="1" type="list">
      <formula1>"LA MINA,WIT"</formula1>
    </dataValidation>
    <dataValidation sqref="L10:L57" showDropDown="0" showInputMessage="0" showErrorMessage="0" allowBlank="1" type="list">
      <formula1>"GONZALOS,MARCOS/FINANCIERO,ADMINISTRACION WIT"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2026-10-07T14:26:31Z</dcterms:created>
  <dcterms:modified xmlns:dcterms="http://purl.org/dc/terms/" xmlns:xsi="http://www.w3.org/2001/XMLSchema-instance" xsi:type="dcterms:W3CDTF">2026-10-07T14:26:31Z</dcterms:modified>
</cp:coreProperties>
</file>
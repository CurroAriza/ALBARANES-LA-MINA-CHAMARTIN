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DETALLE" sheetId="2" state="visible" r:id="rId2"/>
  </sheets>
  <definedNames>
    <definedName name="_xlnm._FilterDatabase" localSheetId="1" hidden="1">'DETALLE'!$A$1:$L$326</definedName>
  </definedNames>
  <calcPr calcId="124519" fullCalcOnLoad="1"/>
</workbook>
</file>

<file path=xl/styles.xml><?xml version="1.0" encoding="utf-8"?>
<styleSheet xmlns="http://schemas.openxmlformats.org/spreadsheetml/2006/main">
  <numFmts count="1">
    <numFmt numFmtId="164" formatCode="_-* #,##0.00&quot; €&quot;_-;[RED]\-* #,##0.00&quot; €&quot;_-;_-* \-??&quot; €&quot;_-;_-@_-"/>
  </numFmts>
  <fonts count="8">
    <font>
      <name val="Calibri"/>
      <family val="2"/>
      <color theme="1"/>
      <sz val="11"/>
      <scheme val="minor"/>
    </font>
    <font>
      <name val="Cambria"/>
      <b val="1"/>
      <color rgb="001F3864"/>
      <sz val="15"/>
    </font>
    <font>
      <name val="Cambria"/>
      <i val="1"/>
      <color rgb="007F7F7F"/>
      <sz val="11"/>
    </font>
    <font>
      <name val="Cambria"/>
      <b val="1"/>
      <color rgb="00FFFFFF"/>
      <sz val="11"/>
    </font>
    <font>
      <name val="Calibri"/>
      <sz val="11"/>
    </font>
    <font>
      <name val="Cambria"/>
      <b val="1"/>
      <color rgb="00006100"/>
      <sz val="11"/>
    </font>
    <font>
      <name val="Cambria"/>
      <b val="1"/>
      <color rgb="001F3864"/>
      <sz val="11"/>
    </font>
    <font>
      <name val="Cambria"/>
      <b val="1"/>
      <sz val="11"/>
    </font>
  </fonts>
  <fills count="5">
    <fill>
      <patternFill/>
    </fill>
    <fill>
      <patternFill patternType="gray125"/>
    </fill>
    <fill>
      <patternFill patternType="solid">
        <fgColor rgb="001F3864"/>
      </patternFill>
    </fill>
    <fill>
      <patternFill patternType="solid">
        <fgColor rgb="007030A0"/>
      </patternFill>
    </fill>
    <fill>
      <patternFill patternType="solid">
        <fgColor rgb="00C6EFCE"/>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0" applyAlignment="1" pivotButton="0" quotePrefix="0" xfId="0">
      <alignment horizontal="left"/>
    </xf>
    <xf numFmtId="0" fontId="4" fillId="0" borderId="0" applyAlignment="1" pivotButton="0" quotePrefix="0" xfId="0">
      <alignment horizontal="center"/>
    </xf>
    <xf numFmtId="0" fontId="3" fillId="3" borderId="0" applyAlignment="1" pivotButton="0" quotePrefix="0" xfId="0">
      <alignment horizontal="center" vertical="center" wrapText="1"/>
    </xf>
    <xf numFmtId="0" fontId="5" fillId="4" borderId="0" applyAlignment="1" pivotButton="0" quotePrefix="0" xfId="0">
      <alignment vertical="center" wrapText="1"/>
    </xf>
    <xf numFmtId="0" fontId="6" fillId="0" borderId="0" pivotButton="0" quotePrefix="0" xfId="0"/>
    <xf numFmtId="0" fontId="4" fillId="0" borderId="0" pivotButton="0" quotePrefix="0" xfId="0"/>
    <xf numFmtId="1" fontId="7" fillId="0" borderId="0" pivotButton="0" quotePrefix="0" xfId="0"/>
    <xf numFmtId="164" fontId="7" fillId="0" borderId="0" pivotButton="0" quotePrefix="0" xfId="0"/>
    <xf numFmtId="49" fontId="4" fillId="0" borderId="0" pivotButton="0" quotePrefix="0" xfId="0"/>
    <xf numFmtId="164" fontId="4" fillId="0" borderId="0" pivotButton="0" quotePrefix="0" xfId="0"/>
    <xf numFmtId="0" fontId="4" fillId="0" borderId="0" applyAlignment="1" pivotButton="0" quotePrefix="0" xfId="0">
      <alignment wrapText="1"/>
    </xf>
  </cellXfs>
  <cellStyles count="1">
    <cellStyle name="Normal" xfId="0" builtinId="0" hidden="0"/>
  </cellStyles>
  <dxfs count="4">
    <dxf>
      <font>
        <color rgb="009C5700"/>
      </font>
      <fill>
        <patternFill patternType="solid">
          <bgColor rgb="00FFEB9C"/>
        </patternFill>
      </fill>
    </dxf>
    <dxf>
      <font>
        <color rgb="00006100"/>
      </font>
    </dxf>
    <dxf>
      <font>
        <color rgb="001F3864"/>
      </font>
      <fill>
        <patternFill patternType="solid">
          <bgColor rgb="00DDEBF7"/>
        </patternFill>
      </fill>
    </dxf>
    <dxf>
      <font>
        <color rgb="009C0006"/>
      </font>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B2:I23"/>
  <sheetViews>
    <sheetView showGridLines="0" workbookViewId="0">
      <selection activeCell="A1" sqref="A1"/>
    </sheetView>
  </sheetViews>
  <sheetFormatPr baseColWidth="8" defaultRowHeight="15"/>
  <cols>
    <col width="3" customWidth="1" min="1" max="1"/>
    <col width="62" customWidth="1" min="2" max="2"/>
    <col width="10" customWidth="1" min="3" max="3"/>
    <col width="12" customWidth="1" min="4" max="4"/>
    <col width="16" customWidth="1" min="5" max="5"/>
    <col width="14" customWidth="1" min="6" max="6"/>
    <col width="14" customWidth="1" min="7" max="7"/>
    <col width="14" customWidth="1" min="8" max="8"/>
    <col width="14" customWidth="1" min="9" max="9"/>
  </cols>
  <sheetData>
    <row r="2" ht="18.55" customHeight="1">
      <c r="B2" s="1" t="inlineStr">
        <is>
          <t>CONTROL DE PDF PROCESADOS · SEPTIEMBRE 2026 · LA MINA DE CHAMARTÍN</t>
        </is>
      </c>
    </row>
    <row r="3">
      <c r="B3" s="2" t="inlineStr">
        <is>
          <t>Revisión página a página de los PDF escaneados: qué albarán es cada página y si está en el Excel de albaranes del mes.</t>
        </is>
      </c>
    </row>
    <row r="5" ht="45" customHeight="1">
      <c r="B5" s="3" t="inlineStr">
        <is>
          <t>PDF (carpeta ALBARANES)</t>
        </is>
      </c>
      <c r="C5" s="3" t="inlineStr">
        <is>
          <t>PÁGINAS</t>
        </is>
      </c>
      <c r="D5" s="3" t="inlineStr">
        <is>
          <t>PÁGINAS REVISADAS</t>
        </is>
      </c>
      <c r="E5" s="3" t="inlineStr">
        <is>
          <t>ALBARANES CHAMARTÍN EN EXCEL</t>
        </is>
      </c>
      <c r="F5" s="3" t="inlineStr">
        <is>
          <t>DE ELLOS CON INCIDENCIA</t>
        </is>
      </c>
      <c r="G5" s="3" t="inlineStr">
        <is>
          <t>NO INCLUIDOS (otro cliente)</t>
        </is>
      </c>
      <c r="H5" s="3" t="inlineStr">
        <is>
          <t>NO INCLUIDOS (revisar)</t>
        </is>
      </c>
      <c r="I5" s="3" t="inlineStr">
        <is>
          <t>NO ENCONTRADOS</t>
        </is>
      </c>
    </row>
    <row r="6">
      <c r="B6" s="4" t="inlineStr">
        <is>
          <t>procesados/Scanned-image05-10-2026-121034.pdf</t>
        </is>
      </c>
      <c r="C6" s="5" t="n">
        <v>70</v>
      </c>
      <c r="D6" s="5" t="n">
        <v>70</v>
      </c>
      <c r="E6" s="5" t="n">
        <v>61</v>
      </c>
      <c r="F6" s="5" t="n">
        <v>14</v>
      </c>
      <c r="G6" s="5" t="n">
        <v>1</v>
      </c>
      <c r="H6" s="5" t="n">
        <v>4</v>
      </c>
      <c r="I6" s="5" t="n">
        <v>0</v>
      </c>
    </row>
    <row r="7">
      <c r="B7" s="4" t="inlineStr">
        <is>
          <t>procesados/Scanned-image05-10-2026-121251.pdf</t>
        </is>
      </c>
      <c r="C7" s="5" t="n">
        <v>81</v>
      </c>
      <c r="D7" s="5" t="n">
        <v>81</v>
      </c>
      <c r="E7" s="5" t="n">
        <v>73</v>
      </c>
      <c r="F7" s="5" t="n">
        <v>13</v>
      </c>
      <c r="G7" s="5" t="n">
        <v>0</v>
      </c>
      <c r="H7" s="5" t="n">
        <v>1</v>
      </c>
      <c r="I7" s="5" t="n">
        <v>0</v>
      </c>
    </row>
    <row r="8">
      <c r="B8" s="4" t="inlineStr">
        <is>
          <t>procesados/Scanned-image05-10-2026-121630.pdf</t>
        </is>
      </c>
      <c r="C8" s="5" t="n">
        <v>30</v>
      </c>
      <c r="D8" s="5" t="n">
        <v>30</v>
      </c>
      <c r="E8" s="5" t="n">
        <v>29</v>
      </c>
      <c r="F8" s="5" t="n">
        <v>13</v>
      </c>
      <c r="G8" s="5" t="n">
        <v>0</v>
      </c>
      <c r="H8" s="5" t="n">
        <v>1</v>
      </c>
      <c r="I8" s="5" t="n">
        <v>0</v>
      </c>
    </row>
    <row r="9">
      <c r="B9" s="4" t="inlineStr">
        <is>
          <t>procesados/Scanned-image05-10-2026-121805.pdf</t>
        </is>
      </c>
      <c r="C9" s="5" t="n">
        <v>103</v>
      </c>
      <c r="D9" s="5" t="n">
        <v>103</v>
      </c>
      <c r="E9" s="5" t="n">
        <v>103</v>
      </c>
      <c r="F9" s="5" t="n">
        <v>25</v>
      </c>
      <c r="G9" s="5" t="n">
        <v>0</v>
      </c>
      <c r="H9" s="5" t="n">
        <v>1</v>
      </c>
      <c r="I9" s="5" t="n">
        <v>0</v>
      </c>
    </row>
    <row r="10">
      <c r="B10" s="4" t="inlineStr">
        <is>
          <t>procesados/Scanned-image05-10-2026-122506.pdf</t>
        </is>
      </c>
      <c r="C10" s="5" t="n">
        <v>6</v>
      </c>
      <c r="D10" s="5" t="n">
        <v>6</v>
      </c>
      <c r="E10" s="5" t="n">
        <v>6</v>
      </c>
      <c r="F10" s="5" t="n">
        <v>0</v>
      </c>
      <c r="G10" s="5" t="n">
        <v>0</v>
      </c>
      <c r="H10" s="5" t="n">
        <v>0</v>
      </c>
      <c r="I10" s="5" t="n">
        <v>0</v>
      </c>
    </row>
    <row r="11">
      <c r="B11" s="4" t="inlineStr">
        <is>
          <t>procesados/Scanned-image05-10-2026-124247.pdf</t>
        </is>
      </c>
      <c r="C11" s="5" t="n">
        <v>11</v>
      </c>
      <c r="D11" s="5" t="n">
        <v>11</v>
      </c>
      <c r="E11" s="5" t="n">
        <v>33</v>
      </c>
      <c r="F11" s="5" t="n">
        <v>16</v>
      </c>
      <c r="G11" s="5" t="n">
        <v>0</v>
      </c>
      <c r="H11" s="5" t="n">
        <v>0</v>
      </c>
      <c r="I11" s="5" t="n">
        <v>0</v>
      </c>
    </row>
    <row r="12">
      <c r="B12" s="6" t="inlineStr">
        <is>
          <t>TOTAL</t>
        </is>
      </c>
      <c r="C12" s="6">
        <f>SUM(C6:C11)</f>
        <v/>
      </c>
      <c r="D12" s="6">
        <f>SUM(D6:D11)</f>
        <v/>
      </c>
      <c r="E12" s="6">
        <f>SUM(E6:E11)</f>
        <v/>
      </c>
      <c r="F12" s="6">
        <f>SUM(F6:F11)</f>
        <v/>
      </c>
      <c r="G12" s="6">
        <f>SUM(G6:G11)</f>
        <v/>
      </c>
      <c r="H12" s="6">
        <f>SUM(H6:H11)</f>
        <v/>
      </c>
      <c r="I12" s="6">
        <f>SUM(I6:I11)</f>
        <v/>
      </c>
    </row>
    <row r="14" ht="52" customHeight="1">
      <c r="B14" s="7" t="inlineStr">
        <is>
          <t>✔ TODAS LAS PÁGINAS REVISADAS (301 páginas, 6 PDF). Todos los albaranes valorados de La Mina de Chamartín de estos PDF están en el Excel del mes. Lo que no se ha incluido es de otro cliente, de otro mes o viene sin valorar (ver hoja DETALLE e INCIDENCIAS). Ojo: en 2 páginas hay un albarán tapado por otro; están en el Excel solo por el importe que se ve.</t>
        </is>
      </c>
    </row>
    <row r="16">
      <c r="B16" s="8" t="inlineStr">
        <is>
          <t>CUADRE CON EL EXCEL DE ALBARANES</t>
        </is>
      </c>
    </row>
    <row r="17">
      <c r="B17" s="9" t="inlineStr">
        <is>
          <t>Albaranes en el Excel del mes</t>
        </is>
      </c>
      <c r="F17" s="10" t="n">
        <v>305</v>
      </c>
    </row>
    <row r="18">
      <c r="B18" s="9" t="inlineStr">
        <is>
          <t>Líneas en TOTAL SEPTIEMBRE (albarán o tramo de IVA)</t>
        </is>
      </c>
      <c r="F18" s="10" t="n">
        <v>341</v>
      </c>
    </row>
    <row r="19">
      <c r="B19" s="9" t="inlineStr">
        <is>
          <t>Base total del Excel</t>
        </is>
      </c>
      <c r="F19" s="11" t="n">
        <v>65831.92</v>
      </c>
    </row>
    <row r="20">
      <c r="B20" s="9" t="inlineStr">
        <is>
          <t>Líneas que salen de estos PDF</t>
        </is>
      </c>
      <c r="F20" s="10" t="n">
        <v>341</v>
      </c>
    </row>
    <row r="21">
      <c r="B21" s="9" t="inlineStr">
        <is>
          <t>Base de esas líneas</t>
        </is>
      </c>
      <c r="F21" s="11" t="n">
        <v>65831.92</v>
      </c>
    </row>
    <row r="22">
      <c r="B22" s="9" t="inlineStr">
        <is>
          <t>Líneas que NO salen de estos PDF</t>
        </is>
      </c>
      <c r="F22" s="10" t="n">
        <v>0</v>
      </c>
    </row>
    <row r="23">
      <c r="B23" s="9" t="inlineStr">
        <is>
          <t>Base de esas líneas</t>
        </is>
      </c>
      <c r="F23" s="11" t="n">
        <v>0</v>
      </c>
    </row>
  </sheetData>
  <mergeCells count="10">
    <mergeCell ref="B17:E17"/>
    <mergeCell ref="B18:E18"/>
    <mergeCell ref="B23:E23"/>
    <mergeCell ref="B2:I2"/>
    <mergeCell ref="B21:E21"/>
    <mergeCell ref="B3:I3"/>
    <mergeCell ref="B14:I14"/>
    <mergeCell ref="B19:E19"/>
    <mergeCell ref="B20:E20"/>
    <mergeCell ref="B22:E22"/>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L326"/>
  <sheetViews>
    <sheetView workbookViewId="0">
      <pane ySplit="1" topLeftCell="A2" activePane="bottomLeft" state="frozen"/>
      <selection pane="bottomLeft" activeCell="A1" sqref="A1"/>
    </sheetView>
  </sheetViews>
  <sheetFormatPr baseColWidth="8" defaultRowHeight="15"/>
  <cols>
    <col width="36" customWidth="1" min="1" max="1"/>
    <col width="6" customWidth="1" min="2" max="2"/>
    <col width="24" customWidth="1" min="3" max="3"/>
    <col width="22" customWidth="1" min="4" max="4"/>
    <col width="12" customWidth="1" min="5" max="5"/>
    <col width="26" customWidth="1" min="6" max="6"/>
    <col width="10" customWidth="1" min="7" max="7"/>
    <col width="13" customWidth="1" min="8" max="8"/>
    <col width="26" customWidth="1" min="9" max="9"/>
    <col width="11" customWidth="1" min="10" max="10"/>
    <col width="30" customWidth="1" min="11" max="11"/>
    <col width="70" customWidth="1" min="12" max="12"/>
  </cols>
  <sheetData>
    <row r="1" ht="41.75" customHeight="1">
      <c r="A1" s="3" t="inlineStr">
        <is>
          <t>PDF</t>
        </is>
      </c>
      <c r="B1" s="3" t="inlineStr">
        <is>
          <t>PÁG.</t>
        </is>
      </c>
      <c r="C1" s="3" t="inlineStr">
        <is>
          <t>PROVEEDOR</t>
        </is>
      </c>
      <c r="D1" s="3" t="inlineStr">
        <is>
          <t>Nº ALBARÁN</t>
        </is>
      </c>
      <c r="E1" s="3" t="inlineStr">
        <is>
          <t>FECHA</t>
        </is>
      </c>
      <c r="F1" s="3" t="inlineStr">
        <is>
          <t>CLIENTE</t>
        </is>
      </c>
      <c r="G1" s="3" t="inlineStr">
        <is>
          <t>¿EN EXCEL?</t>
        </is>
      </c>
      <c r="H1" s="3" t="inlineStr">
        <is>
          <t>BASE EN EXCEL</t>
        </is>
      </c>
      <c r="I1" s="3" t="inlineStr">
        <is>
          <t>RESULTADO</t>
        </is>
      </c>
      <c r="J1" s="3" t="inlineStr">
        <is>
          <t>INCIDENCIA Nº</t>
        </is>
      </c>
      <c r="K1" s="3" t="inlineStr">
        <is>
          <t>TIPO DE INCIDENCIA</t>
        </is>
      </c>
      <c r="L1" s="3" t="inlineStr">
        <is>
          <t>NOTA</t>
        </is>
      </c>
    </row>
    <row r="2" ht="15" customHeight="1">
      <c r="A2" s="9" t="inlineStr">
        <is>
          <t>Scanned-image05-10-2026-121034.pdf</t>
        </is>
      </c>
      <c r="B2" s="9" t="n">
        <v>1</v>
      </c>
      <c r="C2" s="9" t="inlineStr">
        <is>
          <t>SUBMARINER</t>
        </is>
      </c>
      <c r="D2" s="12" t="inlineStr">
        <is>
          <t>SF 10143</t>
        </is>
      </c>
      <c r="E2" s="9" t="inlineStr">
        <is>
          <t>21/09</t>
        </is>
      </c>
      <c r="F2" s="9" t="inlineStr">
        <is>
          <t>LA MINA DE CHAMARTÍN</t>
        </is>
      </c>
      <c r="G2" s="9" t="inlineStr">
        <is>
          <t>SÍ</t>
        </is>
      </c>
      <c r="H2" s="13" t="n">
        <v>129.96</v>
      </c>
      <c r="I2" s="9" t="inlineStr">
        <is>
          <t>OK</t>
        </is>
      </c>
      <c r="J2" s="9" t="n"/>
      <c r="K2" s="14" t="n"/>
      <c r="L2" s="9" t="n"/>
    </row>
    <row r="3" ht="15" customHeight="1">
      <c r="A3" s="9" t="inlineStr">
        <is>
          <t>Scanned-image05-10-2026-121034.pdf</t>
        </is>
      </c>
      <c r="B3" s="9" t="n">
        <v>2</v>
      </c>
      <c r="C3" s="9" t="inlineStr">
        <is>
          <t>SUBMARINER</t>
        </is>
      </c>
      <c r="D3" s="12" t="inlineStr">
        <is>
          <t>SF 10339</t>
        </is>
      </c>
      <c r="E3" s="9" t="inlineStr">
        <is>
          <t>24/09</t>
        </is>
      </c>
      <c r="F3" s="9" t="inlineStr">
        <is>
          <t>LA MINA DE CHAMARTÍN</t>
        </is>
      </c>
      <c r="G3" s="9" t="inlineStr">
        <is>
          <t>SÍ</t>
        </is>
      </c>
      <c r="H3" s="13" t="n">
        <v>613.1799999999999</v>
      </c>
      <c r="I3" s="9" t="inlineStr">
        <is>
          <t>OK CON INCIDENCIA</t>
        </is>
      </c>
      <c r="J3" s="9" t="inlineStr">
        <is>
          <t>65</t>
        </is>
      </c>
      <c r="K3" s="14" t="inlineStr">
        <is>
          <t>Sin cargo / regalo</t>
        </is>
      </c>
      <c r="L3" s="9" t="n"/>
    </row>
    <row r="4" ht="15" customHeight="1">
      <c r="A4" s="9" t="inlineStr">
        <is>
          <t>Scanned-image05-10-2026-121034.pdf</t>
        </is>
      </c>
      <c r="B4" s="9" t="n">
        <v>3</v>
      </c>
      <c r="C4" s="9" t="inlineStr">
        <is>
          <t>SUBMARINER</t>
        </is>
      </c>
      <c r="D4" s="12" t="inlineStr">
        <is>
          <t>PEDIDO SF 741</t>
        </is>
      </c>
      <c r="E4" s="9" t="inlineStr">
        <is>
          <t>17/09</t>
        </is>
      </c>
      <c r="F4" s="9" t="inlineStr">
        <is>
          <t>LA MINA DE CHAMARTÍN</t>
        </is>
      </c>
      <c r="G4" s="9" t="inlineStr">
        <is>
          <t>NO</t>
        </is>
      </c>
      <c r="H4" s="13" t="n"/>
      <c r="I4" s="9" t="inlineStr">
        <is>
          <t>NO INCLUIDO (revisar)</t>
        </is>
      </c>
      <c r="J4" s="9" t="inlineStr">
        <is>
          <t>56</t>
        </is>
      </c>
      <c r="K4" s="14" t="inlineStr">
        <is>
          <t>Cambio de producto / pedido</t>
        </is>
      </c>
      <c r="L4" s="9" t="inlineStr">
        <is>
          <t>Hoja de pedido sin valorar (2 Beefeater 0,70L), total 0,00 €. No es albarán.</t>
        </is>
      </c>
    </row>
    <row r="5" ht="15" customHeight="1">
      <c r="A5" s="9" t="inlineStr">
        <is>
          <t>Scanned-image05-10-2026-121034.pdf</t>
        </is>
      </c>
      <c r="B5" s="9" t="n">
        <v>4</v>
      </c>
      <c r="C5" s="9" t="inlineStr">
        <is>
          <t>COCACOLA</t>
        </is>
      </c>
      <c r="D5" s="12" t="inlineStr">
        <is>
          <t>4537429705</t>
        </is>
      </c>
      <c r="E5" s="9" t="inlineStr">
        <is>
          <t>25/09</t>
        </is>
      </c>
      <c r="F5" s="9" t="inlineStr">
        <is>
          <t>LA MINA DE CHAMARTÍN</t>
        </is>
      </c>
      <c r="G5" s="9" t="inlineStr">
        <is>
          <t>SÍ</t>
        </is>
      </c>
      <c r="H5" s="13" t="n">
        <v>304.19</v>
      </c>
      <c r="I5" s="9" t="inlineStr">
        <is>
          <t>OK</t>
        </is>
      </c>
      <c r="J5" s="9" t="n"/>
      <c r="K5" s="14" t="n"/>
      <c r="L5" s="9" t="n"/>
    </row>
    <row r="6" ht="15" customHeight="1">
      <c r="A6" s="9" t="inlineStr">
        <is>
          <t>Scanned-image05-10-2026-121034.pdf</t>
        </is>
      </c>
      <c r="B6" s="9" t="n">
        <v>5</v>
      </c>
      <c r="C6" s="9" t="inlineStr">
        <is>
          <t>COCACOLA</t>
        </is>
      </c>
      <c r="D6" s="12" t="inlineStr">
        <is>
          <t>4537342018</t>
        </is>
      </c>
      <c r="E6" s="9" t="inlineStr">
        <is>
          <t>23/09</t>
        </is>
      </c>
      <c r="F6" s="9" t="inlineStr">
        <is>
          <t>LA MINA DE CHAMARTÍN</t>
        </is>
      </c>
      <c r="G6" s="9" t="inlineStr">
        <is>
          <t>SÍ</t>
        </is>
      </c>
      <c r="H6" s="13" t="n">
        <v>189.26</v>
      </c>
      <c r="I6" s="9" t="inlineStr">
        <is>
          <t>OK</t>
        </is>
      </c>
      <c r="J6" s="9" t="n"/>
      <c r="K6" s="14" t="n"/>
      <c r="L6" s="9" t="n"/>
    </row>
    <row r="7" ht="15" customHeight="1">
      <c r="A7" s="9" t="inlineStr">
        <is>
          <t>Scanned-image05-10-2026-121034.pdf</t>
        </is>
      </c>
      <c r="B7" s="9" t="n">
        <v>6</v>
      </c>
      <c r="C7" s="9" t="inlineStr">
        <is>
          <t>SUBMARINER</t>
        </is>
      </c>
      <c r="D7" s="12" t="inlineStr">
        <is>
          <t>SF 10093</t>
        </is>
      </c>
      <c r="E7" s="9" t="inlineStr">
        <is>
          <t>21/09</t>
        </is>
      </c>
      <c r="F7" s="9" t="inlineStr">
        <is>
          <t>LA MINA DE CHAMARTÍN</t>
        </is>
      </c>
      <c r="G7" s="9" t="inlineStr">
        <is>
          <t>SÍ</t>
        </is>
      </c>
      <c r="H7" s="13" t="n">
        <v>219.51</v>
      </c>
      <c r="I7" s="9" t="inlineStr">
        <is>
          <t>OK CON INCIDENCIA</t>
        </is>
      </c>
      <c r="J7" s="9" t="inlineStr">
        <is>
          <t>56, 65</t>
        </is>
      </c>
      <c r="K7" s="14" t="inlineStr">
        <is>
          <t>Cambio de producto / pedido; Sin cargo / regalo</t>
        </is>
      </c>
      <c r="L7" s="9" t="inlineStr">
        <is>
          <t>Nota manuscrita tachada: "no llegó Seagrams 0.0, llegó normal, mañana lo cambian"</t>
        </is>
      </c>
    </row>
    <row r="8" ht="15" customHeight="1">
      <c r="A8" s="9" t="inlineStr">
        <is>
          <t>Scanned-image05-10-2026-121034.pdf</t>
        </is>
      </c>
      <c r="B8" s="9" t="n">
        <v>7</v>
      </c>
      <c r="C8" s="9" t="inlineStr">
        <is>
          <t>SUBMARINER</t>
        </is>
      </c>
      <c r="D8" s="12" t="inlineStr">
        <is>
          <t>PEDIDO SF 759</t>
        </is>
      </c>
      <c r="E8" s="9" t="inlineStr">
        <is>
          <t>21/09</t>
        </is>
      </c>
      <c r="F8" s="9" t="inlineStr">
        <is>
          <t>LA MINA DE CHAMARTÍN</t>
        </is>
      </c>
      <c r="G8" s="9" t="inlineStr">
        <is>
          <t>NO</t>
        </is>
      </c>
      <c r="H8" s="13" t="n"/>
      <c r="I8" s="9" t="inlineStr">
        <is>
          <t>NO INCLUIDO (revisar)</t>
        </is>
      </c>
      <c r="J8" s="9" t="inlineStr">
        <is>
          <t>56</t>
        </is>
      </c>
      <c r="K8" s="14" t="inlineStr">
        <is>
          <t>Cambio de producto / pedido</t>
        </is>
      </c>
      <c r="L8" s="9" t="inlineStr">
        <is>
          <t>Hoja de pedido sin valorar (2 Seagrams 0.0; "recoger 2 Seagrams normal"), total 0,00 €. Cambio de producto del SF 10093.</t>
        </is>
      </c>
    </row>
    <row r="9" ht="15" customHeight="1">
      <c r="A9" s="9" t="inlineStr">
        <is>
          <t>Scanned-image05-10-2026-121034.pdf</t>
        </is>
      </c>
      <c r="B9" s="9" t="n">
        <v>8</v>
      </c>
      <c r="C9" s="9" t="inlineStr">
        <is>
          <t>MUNDELA</t>
        </is>
      </c>
      <c r="D9" s="12" t="inlineStr">
        <is>
          <t>FM 3291</t>
        </is>
      </c>
      <c r="E9" s="9" t="inlineStr">
        <is>
          <t>22/09</t>
        </is>
      </c>
      <c r="F9" s="9" t="inlineStr">
        <is>
          <t>LA MINA DE CHAMARTÍN</t>
        </is>
      </c>
      <c r="G9" s="9" t="inlineStr">
        <is>
          <t>SÍ</t>
        </is>
      </c>
      <c r="H9" s="13" t="n">
        <v>482.34</v>
      </c>
      <c r="I9" s="9" t="inlineStr">
        <is>
          <t>OK</t>
        </is>
      </c>
      <c r="J9" s="9" t="n"/>
      <c r="K9" s="14" t="n"/>
      <c r="L9" s="9" t="n"/>
    </row>
    <row r="10" ht="15" customHeight="1">
      <c r="A10" s="9" t="inlineStr">
        <is>
          <t>Scanned-image05-10-2026-121034.pdf</t>
        </is>
      </c>
      <c r="B10" s="9" t="n">
        <v>9</v>
      </c>
      <c r="C10" s="9" t="inlineStr">
        <is>
          <t>MUNDELA</t>
        </is>
      </c>
      <c r="D10" s="12" t="inlineStr">
        <is>
          <t>FM 3343</t>
        </is>
      </c>
      <c r="E10" s="9" t="inlineStr">
        <is>
          <t>25/09</t>
        </is>
      </c>
      <c r="F10" s="9" t="inlineStr">
        <is>
          <t>LA MINA DE CHAMARTÍN</t>
        </is>
      </c>
      <c r="G10" s="9" t="inlineStr">
        <is>
          <t>SÍ</t>
        </is>
      </c>
      <c r="H10" s="13" t="n">
        <v>797.46</v>
      </c>
      <c r="I10" s="9" t="inlineStr">
        <is>
          <t>OK</t>
        </is>
      </c>
      <c r="J10" s="9" t="n"/>
      <c r="K10" s="14" t="n"/>
      <c r="L10" s="9" t="n"/>
    </row>
    <row r="11" ht="15" customHeight="1">
      <c r="A11" s="9" t="inlineStr">
        <is>
          <t>Scanned-image05-10-2026-121034.pdf</t>
        </is>
      </c>
      <c r="B11" s="9" t="n">
        <v>10</v>
      </c>
      <c r="C11" s="9" t="inlineStr">
        <is>
          <t>MUNDELA</t>
        </is>
      </c>
      <c r="D11" s="12" t="inlineStr">
        <is>
          <t>FM 3374</t>
        </is>
      </c>
      <c r="E11" s="9" t="inlineStr">
        <is>
          <t>29/09</t>
        </is>
      </c>
      <c r="F11" s="9" t="inlineStr">
        <is>
          <t>LA MINA DE CHAMARTÍN</t>
        </is>
      </c>
      <c r="G11" s="9" t="inlineStr">
        <is>
          <t>SÍ</t>
        </is>
      </c>
      <c r="H11" s="13" t="n">
        <v>141.24</v>
      </c>
      <c r="I11" s="9" t="inlineStr">
        <is>
          <t>OK</t>
        </is>
      </c>
      <c r="J11" s="9" t="n"/>
      <c r="K11" s="14" t="n"/>
      <c r="L11" s="9" t="n"/>
    </row>
    <row r="12" ht="15" customHeight="1">
      <c r="A12" s="9" t="inlineStr">
        <is>
          <t>Scanned-image05-10-2026-121034.pdf</t>
        </is>
      </c>
      <c r="B12" s="9" t="n">
        <v>11</v>
      </c>
      <c r="C12" s="9" t="inlineStr">
        <is>
          <t>MAHOU</t>
        </is>
      </c>
      <c r="D12" s="12" t="inlineStr">
        <is>
          <t>SO16026677</t>
        </is>
      </c>
      <c r="E12" s="9" t="inlineStr">
        <is>
          <t>23/09</t>
        </is>
      </c>
      <c r="F12" s="9" t="inlineStr">
        <is>
          <t>LA MINA DE CHAMARTÍN</t>
        </is>
      </c>
      <c r="G12" s="9" t="inlineStr">
        <is>
          <t>NO</t>
        </is>
      </c>
      <c r="H12" s="13" t="n"/>
      <c r="I12" s="9" t="inlineStr">
        <is>
          <t>NO INCLUIDO (revisar)</t>
        </is>
      </c>
      <c r="J12" s="9" t="inlineStr">
        <is>
          <t>47</t>
        </is>
      </c>
      <c r="K12" s="14" t="inlineStr">
        <is>
          <t>Sin valorar</t>
        </is>
      </c>
      <c r="L12" s="9" t="inlineStr">
        <is>
          <t>Albarán de entrega de cerveza de tanque: Mahou Clásica Duotank 1L, 1.000 L impreso (corregido a mano: 984). Sin precios.</t>
        </is>
      </c>
    </row>
    <row r="13" ht="15" customHeight="1">
      <c r="A13" s="9" t="inlineStr">
        <is>
          <t>Scanned-image05-10-2026-121034.pdf</t>
        </is>
      </c>
      <c r="B13" s="9" t="n">
        <v>12</v>
      </c>
      <c r="C13" s="9" t="inlineStr">
        <is>
          <t>DIST. TENA MTNEZ</t>
        </is>
      </c>
      <c r="D13" s="12" t="inlineStr">
        <is>
          <t>FD 3016</t>
        </is>
      </c>
      <c r="E13" s="9" t="inlineStr">
        <is>
          <t>22/09</t>
        </is>
      </c>
      <c r="F13" s="9" t="inlineStr">
        <is>
          <t>LA MINA DE CHAMARTÍN</t>
        </is>
      </c>
      <c r="G13" s="9" t="inlineStr">
        <is>
          <t>SÍ</t>
        </is>
      </c>
      <c r="H13" s="13" t="n">
        <v>763.38</v>
      </c>
      <c r="I13" s="9" t="inlineStr">
        <is>
          <t>OK</t>
        </is>
      </c>
      <c r="J13" s="9" t="n"/>
      <c r="K13" s="14" t="n"/>
      <c r="L13" s="9" t="n"/>
    </row>
    <row r="14" ht="15" customHeight="1">
      <c r="A14" s="9" t="inlineStr">
        <is>
          <t>Scanned-image05-10-2026-121034.pdf</t>
        </is>
      </c>
      <c r="B14" s="9" t="n">
        <v>13</v>
      </c>
      <c r="C14" s="9" t="inlineStr">
        <is>
          <t>DIST. TENA MTNEZ</t>
        </is>
      </c>
      <c r="D14" s="12" t="inlineStr">
        <is>
          <t>FD 3106</t>
        </is>
      </c>
      <c r="E14" s="9" t="inlineStr">
        <is>
          <t>29/09</t>
        </is>
      </c>
      <c r="F14" s="9" t="inlineStr">
        <is>
          <t>LA MINA DE CHAMARTÍN</t>
        </is>
      </c>
      <c r="G14" s="9" t="inlineStr">
        <is>
          <t>SÍ</t>
        </is>
      </c>
      <c r="H14" s="13" t="n">
        <v>168.72</v>
      </c>
      <c r="I14" s="9" t="inlineStr">
        <is>
          <t>OK</t>
        </is>
      </c>
      <c r="J14" s="9" t="n"/>
      <c r="K14" s="14" t="n"/>
      <c r="L14" s="9" t="n"/>
    </row>
    <row r="15" ht="15" customHeight="1">
      <c r="A15" s="9" t="inlineStr">
        <is>
          <t>Scanned-image05-10-2026-121034.pdf</t>
        </is>
      </c>
      <c r="B15" s="9" t="n">
        <v>14</v>
      </c>
      <c r="C15" s="9" t="inlineStr">
        <is>
          <t>DIST. TENA MTNEZ</t>
        </is>
      </c>
      <c r="D15" s="12" t="inlineStr">
        <is>
          <t>FD 3073</t>
        </is>
      </c>
      <c r="E15" s="9" t="inlineStr">
        <is>
          <t>25/09</t>
        </is>
      </c>
      <c r="F15" s="9" t="inlineStr">
        <is>
          <t>LA MINA DE CHAMARTÍN</t>
        </is>
      </c>
      <c r="G15" s="9" t="inlineStr">
        <is>
          <t>SÍ</t>
        </is>
      </c>
      <c r="H15" s="13" t="n">
        <v>358.44</v>
      </c>
      <c r="I15" s="9" t="inlineStr">
        <is>
          <t>OK</t>
        </is>
      </c>
      <c r="J15" s="9" t="n"/>
      <c r="K15" s="14" t="n"/>
      <c r="L15" s="9" t="n"/>
    </row>
    <row r="16" ht="15" customHeight="1">
      <c r="A16" s="9" t="inlineStr">
        <is>
          <t>Scanned-image05-10-2026-121034.pdf</t>
        </is>
      </c>
      <c r="B16" s="9" t="n">
        <v>15</v>
      </c>
      <c r="C16" s="9" t="inlineStr">
        <is>
          <t>ACEITE Y SAL</t>
        </is>
      </c>
      <c r="D16" s="12" t="inlineStr">
        <is>
          <t>26000075</t>
        </is>
      </c>
      <c r="E16" s="9" t="inlineStr">
        <is>
          <t>23/09</t>
        </is>
      </c>
      <c r="F16" s="9" t="inlineStr">
        <is>
          <t>LA MINA DE CHAMARTÍN</t>
        </is>
      </c>
      <c r="G16" s="9" t="inlineStr">
        <is>
          <t>SÍ</t>
        </is>
      </c>
      <c r="H16" s="13" t="n">
        <v>9.640000000000001</v>
      </c>
      <c r="I16" s="9" t="inlineStr">
        <is>
          <t>OK</t>
        </is>
      </c>
      <c r="J16" s="9" t="n"/>
      <c r="K16" s="14" t="n"/>
      <c r="L16" s="9" t="inlineStr">
        <is>
          <t>Proveedor nuevo (Duranza Origen XXI, S.L.). Precio 10,49 -6,2% = 9,84; dto. adicional 0,20</t>
        </is>
      </c>
    </row>
    <row r="17" ht="15" customHeight="1">
      <c r="A17" s="9" t="inlineStr">
        <is>
          <t>Scanned-image05-10-2026-121034.pdf</t>
        </is>
      </c>
      <c r="B17" s="9" t="n">
        <v>16</v>
      </c>
      <c r="C17" s="9" t="inlineStr">
        <is>
          <t>VINS DES DIEUX</t>
        </is>
      </c>
      <c r="D17" s="12" t="inlineStr">
        <is>
          <t>A262984</t>
        </is>
      </c>
      <c r="E17" s="9" t="inlineStr">
        <is>
          <t>25/09</t>
        </is>
      </c>
      <c r="F17" s="9" t="inlineStr">
        <is>
          <t>LA MINA DE CHAMARTÍN</t>
        </is>
      </c>
      <c r="G17" s="9" t="inlineStr">
        <is>
          <t>SÍ</t>
        </is>
      </c>
      <c r="H17" s="13" t="n">
        <v>527.72</v>
      </c>
      <c r="I17" s="9" t="inlineStr">
        <is>
          <t>OK</t>
        </is>
      </c>
      <c r="J17" s="9" t="n"/>
      <c r="K17" s="14" t="n"/>
      <c r="L17" s="9" t="n"/>
    </row>
    <row r="18" ht="15" customHeight="1">
      <c r="A18" s="9" t="inlineStr">
        <is>
          <t>Scanned-image05-10-2026-121034.pdf</t>
        </is>
      </c>
      <c r="B18" s="9" t="n">
        <v>17</v>
      </c>
      <c r="C18" s="9" t="inlineStr">
        <is>
          <t>MUNDELA</t>
        </is>
      </c>
      <c r="D18" s="12" t="inlineStr">
        <is>
          <t>FM 3161</t>
        </is>
      </c>
      <c r="E18" s="9" t="inlineStr">
        <is>
          <t>11/09</t>
        </is>
      </c>
      <c r="F18" s="9" t="inlineStr">
        <is>
          <t>LA MINA DE CHAMARTÍN</t>
        </is>
      </c>
      <c r="G18" s="9" t="inlineStr">
        <is>
          <t>SÍ</t>
        </is>
      </c>
      <c r="H18" s="13" t="n">
        <v>493.2</v>
      </c>
      <c r="I18" s="9" t="inlineStr">
        <is>
          <t>OK</t>
        </is>
      </c>
      <c r="J18" s="9" t="n"/>
      <c r="K18" s="14" t="n"/>
      <c r="L18" s="9" t="n"/>
    </row>
    <row r="19" ht="15" customHeight="1">
      <c r="A19" s="9" t="inlineStr">
        <is>
          <t>Scanned-image05-10-2026-121034.pdf</t>
        </is>
      </c>
      <c r="B19" s="9" t="n">
        <v>18</v>
      </c>
      <c r="C19" s="9" t="inlineStr">
        <is>
          <t>SUBMARINER</t>
        </is>
      </c>
      <c r="D19" s="12" t="inlineStr">
        <is>
          <t>SF 9684</t>
        </is>
      </c>
      <c r="E19" s="9" t="inlineStr">
        <is>
          <t>10/09</t>
        </is>
      </c>
      <c r="F19" s="9" t="inlineStr">
        <is>
          <t>LA MINA DE CHAMARTÍN</t>
        </is>
      </c>
      <c r="G19" s="9" t="inlineStr">
        <is>
          <t>SÍ</t>
        </is>
      </c>
      <c r="H19" s="13" t="n">
        <v>715.48</v>
      </c>
      <c r="I19" s="9" t="inlineStr">
        <is>
          <t>OK CON INCIDENCIA</t>
        </is>
      </c>
      <c r="J19" s="9" t="inlineStr">
        <is>
          <t>65</t>
        </is>
      </c>
      <c r="K19" s="14" t="inlineStr">
        <is>
          <t>Sin cargo / regalo</t>
        </is>
      </c>
      <c r="L19" s="9" t="n"/>
    </row>
    <row r="20" ht="15" customHeight="1">
      <c r="A20" s="9" t="inlineStr">
        <is>
          <t>Scanned-image05-10-2026-121034.pdf</t>
        </is>
      </c>
      <c r="B20" s="9" t="n">
        <v>19</v>
      </c>
      <c r="C20" s="9" t="inlineStr">
        <is>
          <t>DIST. TENA MTNEZ</t>
        </is>
      </c>
      <c r="D20" s="12" t="inlineStr">
        <is>
          <t>FD 2887</t>
        </is>
      </c>
      <c r="E20" s="9" t="inlineStr">
        <is>
          <t>11/09</t>
        </is>
      </c>
      <c r="F20" s="9" t="inlineStr">
        <is>
          <t>LA MINA DE CHAMARTÍN</t>
        </is>
      </c>
      <c r="G20" s="9" t="inlineStr">
        <is>
          <t>SÍ</t>
        </is>
      </c>
      <c r="H20" s="13" t="n">
        <v>511.32</v>
      </c>
      <c r="I20" s="9" t="inlineStr">
        <is>
          <t>OK</t>
        </is>
      </c>
      <c r="J20" s="9" t="n"/>
      <c r="K20" s="14" t="n"/>
      <c r="L20" s="9" t="n"/>
    </row>
    <row r="21" ht="15" customHeight="1">
      <c r="A21" s="9" t="inlineStr">
        <is>
          <t>Scanned-image05-10-2026-121034.pdf</t>
        </is>
      </c>
      <c r="B21" s="9" t="n">
        <v>20</v>
      </c>
      <c r="C21" s="9" t="inlineStr">
        <is>
          <t>COCACOLA</t>
        </is>
      </c>
      <c r="D21" s="12" t="inlineStr">
        <is>
          <t>4536891120</t>
        </is>
      </c>
      <c r="E21" s="9" t="inlineStr">
        <is>
          <t>09/09</t>
        </is>
      </c>
      <c r="F21" s="9" t="inlineStr">
        <is>
          <t>LA MINA DE CHAMARTÍN</t>
        </is>
      </c>
      <c r="G21" s="9" t="inlineStr">
        <is>
          <t>SÍ</t>
        </is>
      </c>
      <c r="H21" s="13" t="n">
        <v>435.64</v>
      </c>
      <c r="I21" s="9" t="inlineStr">
        <is>
          <t>OK</t>
        </is>
      </c>
      <c r="J21" s="9" t="n"/>
      <c r="K21" s="14" t="n"/>
      <c r="L21" s="9" t="n"/>
    </row>
    <row r="22" ht="15" customHeight="1">
      <c r="A22" s="9" t="inlineStr">
        <is>
          <t>Scanned-image05-10-2026-121034.pdf</t>
        </is>
      </c>
      <c r="B22" s="9" t="n">
        <v>21</v>
      </c>
      <c r="C22" s="9" t="inlineStr">
        <is>
          <t>DIST. TENA MTNEZ</t>
        </is>
      </c>
      <c r="D22" s="12" t="inlineStr">
        <is>
          <t>FD 2821</t>
        </is>
      </c>
      <c r="E22" s="9" t="inlineStr">
        <is>
          <t>07/09</t>
        </is>
      </c>
      <c r="F22" s="9" t="inlineStr">
        <is>
          <t>LA MINA DE CHAMARTÍN</t>
        </is>
      </c>
      <c r="G22" s="9" t="inlineStr">
        <is>
          <t>SÍ</t>
        </is>
      </c>
      <c r="H22" s="13" t="n">
        <v>834.24</v>
      </c>
      <c r="I22" s="9" t="inlineStr">
        <is>
          <t>OK CON INCIDENCIA</t>
        </is>
      </c>
      <c r="J22" s="9" t="inlineStr">
        <is>
          <t>65</t>
        </is>
      </c>
      <c r="K22" s="14" t="inlineStr">
        <is>
          <t>Sin cargo / regalo</t>
        </is>
      </c>
      <c r="L22" s="9" t="n"/>
    </row>
    <row r="23" ht="15" customHeight="1">
      <c r="A23" s="9" t="inlineStr">
        <is>
          <t>Scanned-image05-10-2026-121034.pdf</t>
        </is>
      </c>
      <c r="B23" s="9" t="n">
        <v>22</v>
      </c>
      <c r="C23" s="9" t="inlineStr">
        <is>
          <t>MUNDELA</t>
        </is>
      </c>
      <c r="D23" s="12" t="inlineStr">
        <is>
          <t>FM 3090</t>
        </is>
      </c>
      <c r="E23" s="9" t="inlineStr">
        <is>
          <t>07/09</t>
        </is>
      </c>
      <c r="F23" s="9" t="inlineStr">
        <is>
          <t>LA MINA DE CHAMARTÍN</t>
        </is>
      </c>
      <c r="G23" s="9" t="inlineStr">
        <is>
          <t>SÍ</t>
        </is>
      </c>
      <c r="H23" s="13" t="n">
        <v>1022.58</v>
      </c>
      <c r="I23" s="9" t="inlineStr">
        <is>
          <t>OK</t>
        </is>
      </c>
      <c r="J23" s="9" t="n"/>
      <c r="K23" s="14" t="n"/>
      <c r="L23" s="9" t="n"/>
    </row>
    <row r="24" ht="15" customHeight="1">
      <c r="A24" s="9" t="inlineStr">
        <is>
          <t>Scanned-image05-10-2026-121034.pdf</t>
        </is>
      </c>
      <c r="B24" s="9" t="n">
        <v>23</v>
      </c>
      <c r="C24" s="9" t="inlineStr">
        <is>
          <t>DELIPAN</t>
        </is>
      </c>
      <c r="D24" s="12" t="inlineStr">
        <is>
          <t>A2/11.806</t>
        </is>
      </c>
      <c r="E24" s="9" t="inlineStr">
        <is>
          <t>30/09</t>
        </is>
      </c>
      <c r="F24" s="9" t="inlineStr">
        <is>
          <t>LA MINA DE CHAMARTÍN</t>
        </is>
      </c>
      <c r="G24" s="9" t="inlineStr">
        <is>
          <t>SÍ</t>
        </is>
      </c>
      <c r="H24" s="13" t="n">
        <v>88.09</v>
      </c>
      <c r="I24" s="9" t="inlineStr">
        <is>
          <t>OK</t>
        </is>
      </c>
      <c r="J24" s="9" t="n"/>
      <c r="K24" s="14" t="n"/>
      <c r="L24" s="9" t="n"/>
    </row>
    <row r="25" ht="15" customHeight="1">
      <c r="A25" s="9" t="inlineStr">
        <is>
          <t>Scanned-image05-10-2026-121034.pdf</t>
        </is>
      </c>
      <c r="B25" s="9" t="n">
        <v>24</v>
      </c>
      <c r="C25" s="9" t="inlineStr">
        <is>
          <t>DELIPAN</t>
        </is>
      </c>
      <c r="D25" s="12" t="inlineStr">
        <is>
          <t>A2/11.721</t>
        </is>
      </c>
      <c r="E25" s="9" t="inlineStr">
        <is>
          <t>29/09</t>
        </is>
      </c>
      <c r="F25" s="9" t="inlineStr">
        <is>
          <t>LA MINA DE CHAMARTÍN</t>
        </is>
      </c>
      <c r="G25" s="9" t="inlineStr">
        <is>
          <t>SÍ</t>
        </is>
      </c>
      <c r="H25" s="13" t="n">
        <v>57.21</v>
      </c>
      <c r="I25" s="9" t="inlineStr">
        <is>
          <t>OK</t>
        </is>
      </c>
      <c r="J25" s="9" t="n"/>
      <c r="K25" s="14" t="n"/>
      <c r="L25" s="9" t="n"/>
    </row>
    <row r="26" ht="15" customHeight="1">
      <c r="A26" s="9" t="inlineStr">
        <is>
          <t>Scanned-image05-10-2026-121034.pdf</t>
        </is>
      </c>
      <c r="B26" s="9" t="n">
        <v>25</v>
      </c>
      <c r="C26" s="9" t="inlineStr">
        <is>
          <t>EXTRAMAR</t>
        </is>
      </c>
      <c r="D26" s="12" t="inlineStr">
        <is>
          <t>J99/26/JJ/432</t>
        </is>
      </c>
      <c r="E26" s="9" t="inlineStr">
        <is>
          <t>30/09</t>
        </is>
      </c>
      <c r="F26" s="9" t="inlineStr">
        <is>
          <t>LA MINA DE CHAMARTÍN</t>
        </is>
      </c>
      <c r="G26" s="9" t="inlineStr">
        <is>
          <t>SÍ</t>
        </is>
      </c>
      <c r="H26" s="13" t="n">
        <v>156</v>
      </c>
      <c r="I26" s="9" t="inlineStr">
        <is>
          <t>OK CON INCIDENCIA</t>
        </is>
      </c>
      <c r="J26" s="9" t="inlineStr">
        <is>
          <t>48</t>
        </is>
      </c>
      <c r="K26" s="14" t="inlineStr">
        <is>
          <t>Sin proveedor ni IVA</t>
        </is>
      </c>
      <c r="L26" s="9" t="inlineStr">
        <is>
          <t>Albarán sin cabecera de proveedor ("Extramar" a mano; entrega a nombre de Raúl García del Pino, obs. LA MINA II) y sin desglose de IVA; se toma el total como base al 10%</t>
        </is>
      </c>
    </row>
    <row r="27" ht="15" customHeight="1">
      <c r="A27" s="9" t="inlineStr">
        <is>
          <t>Scanned-image05-10-2026-121034.pdf</t>
        </is>
      </c>
      <c r="B27" s="9" t="n">
        <v>26</v>
      </c>
      <c r="C27" s="9" t="inlineStr">
        <is>
          <t>EXTRAMAR</t>
        </is>
      </c>
      <c r="D27" s="12" t="inlineStr">
        <is>
          <t>J99/26/JJ/430</t>
        </is>
      </c>
      <c r="E27" s="9" t="inlineStr">
        <is>
          <t>29/09</t>
        </is>
      </c>
      <c r="F27" s="9" t="inlineStr">
        <is>
          <t>LA MINA DE CHAMARTÍN</t>
        </is>
      </c>
      <c r="G27" s="9" t="inlineStr">
        <is>
          <t>SÍ</t>
        </is>
      </c>
      <c r="H27" s="13" t="n">
        <v>78</v>
      </c>
      <c r="I27" s="9" t="inlineStr">
        <is>
          <t>OK CON INCIDENCIA</t>
        </is>
      </c>
      <c r="J27" s="9" t="inlineStr">
        <is>
          <t>48</t>
        </is>
      </c>
      <c r="K27" s="14" t="inlineStr">
        <is>
          <t>Sin proveedor ni IVA</t>
        </is>
      </c>
      <c r="L27" s="9" t="inlineStr">
        <is>
          <t>Igual que el anterior</t>
        </is>
      </c>
    </row>
    <row r="28" ht="15" customHeight="1">
      <c r="A28" s="9" t="inlineStr">
        <is>
          <t>Scanned-image05-10-2026-121034.pdf</t>
        </is>
      </c>
      <c r="B28" s="9" t="n">
        <v>27</v>
      </c>
      <c r="C28" s="9" t="inlineStr">
        <is>
          <t>MAKRO</t>
        </is>
      </c>
      <c r="D28" s="12" t="inlineStr">
        <is>
          <t>9-241215399</t>
        </is>
      </c>
      <c r="E28" s="9" t="inlineStr">
        <is>
          <t>28/09</t>
        </is>
      </c>
      <c r="F28" s="9" t="inlineStr">
        <is>
          <t>LA MINA DE CHAMARTÍN</t>
        </is>
      </c>
      <c r="G28" s="9" t="inlineStr">
        <is>
          <t>SÍ</t>
        </is>
      </c>
      <c r="H28" s="13" t="n">
        <v>1011.57</v>
      </c>
      <c r="I28" s="9" t="inlineStr">
        <is>
          <t>OK CON INCIDENCIA</t>
        </is>
      </c>
      <c r="J28" s="9" t="inlineStr">
        <is>
          <t>55</t>
        </is>
      </c>
      <c r="K28" s="14" t="inlineStr">
        <is>
          <t>Pedido no entregado</t>
        </is>
      </c>
      <c r="L28" s="9" t="inlineStr">
        <is>
          <t>2 páginas. Pollo pechuga VC (95730) pedido 3,8 kg y no entregado (0,00 €)</t>
        </is>
      </c>
    </row>
    <row r="29" ht="15" customHeight="1">
      <c r="A29" s="9" t="inlineStr">
        <is>
          <t>Scanned-image05-10-2026-121034.pdf</t>
        </is>
      </c>
      <c r="B29" s="9" t="n">
        <v>28</v>
      </c>
      <c r="C29" s="9" t="inlineStr">
        <is>
          <t>MAKRO</t>
        </is>
      </c>
      <c r="D29" s="12" t="inlineStr">
        <is>
          <t>9-241215399</t>
        </is>
      </c>
      <c r="E29" s="9" t="inlineStr">
        <is>
          <t>28/09</t>
        </is>
      </c>
      <c r="F29" s="9" t="inlineStr">
        <is>
          <t>LA MINA DE CHAMARTÍN</t>
        </is>
      </c>
      <c r="G29" s="9" t="inlineStr">
        <is>
          <t>SÍ</t>
        </is>
      </c>
      <c r="H29" s="13" t="n"/>
      <c r="I29" s="9" t="inlineStr">
        <is>
          <t>OK (2ª página)</t>
        </is>
      </c>
      <c r="J29" s="9" t="n"/>
      <c r="K29" s="14" t="n"/>
      <c r="L29" s="9" t="inlineStr">
        <is>
          <t>Segunda página del albarán 9-241215399 (ya contado en la página 27).</t>
        </is>
      </c>
    </row>
    <row r="30" ht="15" customHeight="1">
      <c r="A30" s="9" t="inlineStr">
        <is>
          <t>Scanned-image05-10-2026-121034.pdf</t>
        </is>
      </c>
      <c r="B30" s="9" t="n">
        <v>29</v>
      </c>
      <c r="C30" s="9" t="inlineStr">
        <is>
          <t>MAKRO</t>
        </is>
      </c>
      <c r="D30" s="12" t="inlineStr">
        <is>
          <t>9-242017778</t>
        </is>
      </c>
      <c r="E30" s="9" t="inlineStr">
        <is>
          <t>29/09</t>
        </is>
      </c>
      <c r="F30" s="9" t="inlineStr">
        <is>
          <t>LA MINA DE CHAMARTÍN</t>
        </is>
      </c>
      <c r="G30" s="9" t="inlineStr">
        <is>
          <t>SÍ</t>
        </is>
      </c>
      <c r="H30" s="13" t="n">
        <v>66.51000000000001</v>
      </c>
      <c r="I30" s="9" t="inlineStr">
        <is>
          <t>OK</t>
        </is>
      </c>
      <c r="J30" s="9" t="n"/>
      <c r="K30" s="14" t="n"/>
      <c r="L30" s="9" t="n"/>
    </row>
    <row r="31" ht="15" customHeight="1">
      <c r="A31" s="9" t="inlineStr">
        <is>
          <t>Scanned-image05-10-2026-121034.pdf</t>
        </is>
      </c>
      <c r="B31" s="9" t="n">
        <v>30</v>
      </c>
      <c r="C31" s="9" t="inlineStr">
        <is>
          <t>CONS. SELEC. SANTO</t>
        </is>
      </c>
      <c r="D31" s="12" t="inlineStr">
        <is>
          <t>6562</t>
        </is>
      </c>
      <c r="E31" s="9" t="inlineStr">
        <is>
          <t>29/09</t>
        </is>
      </c>
      <c r="F31" s="9" t="inlineStr">
        <is>
          <t>LA MINA DE CHAMARTÍN</t>
        </is>
      </c>
      <c r="G31" s="9" t="inlineStr">
        <is>
          <t>SÍ</t>
        </is>
      </c>
      <c r="H31" s="13" t="n">
        <v>185.49</v>
      </c>
      <c r="I31" s="9" t="inlineStr">
        <is>
          <t>OK</t>
        </is>
      </c>
      <c r="J31" s="9" t="n"/>
      <c r="K31" s="14" t="n"/>
      <c r="L31" s="9" t="n"/>
    </row>
    <row r="32" ht="15" customHeight="1">
      <c r="A32" s="9" t="inlineStr">
        <is>
          <t>Scanned-image05-10-2026-121034.pdf</t>
        </is>
      </c>
      <c r="B32" s="9" t="n">
        <v>31</v>
      </c>
      <c r="C32" s="9" t="inlineStr">
        <is>
          <t>AGROFOOD</t>
        </is>
      </c>
      <c r="D32" s="12" t="inlineStr">
        <is>
          <t>M26/1117</t>
        </is>
      </c>
      <c r="E32" s="9" t="inlineStr">
        <is>
          <t>28/09</t>
        </is>
      </c>
      <c r="F32" s="9" t="inlineStr">
        <is>
          <t>LA MINA DE CHAMARTÍN</t>
        </is>
      </c>
      <c r="G32" s="9" t="inlineStr">
        <is>
          <t>SÍ</t>
        </is>
      </c>
      <c r="H32" s="13" t="n">
        <v>462.72</v>
      </c>
      <c r="I32" s="9" t="inlineStr">
        <is>
          <t>OK</t>
        </is>
      </c>
      <c r="J32" s="9" t="n"/>
      <c r="K32" s="14" t="n"/>
      <c r="L32" s="9" t="inlineStr">
        <is>
          <t>Tasa residuos 1,12 incluida en MER</t>
        </is>
      </c>
    </row>
    <row r="33" ht="15" customHeight="1">
      <c r="A33" s="9" t="inlineStr">
        <is>
          <t>Scanned-image05-10-2026-121034.pdf</t>
        </is>
      </c>
      <c r="B33" s="9" t="n">
        <v>32</v>
      </c>
      <c r="C33" s="9" t="inlineStr">
        <is>
          <t>VENERO CLARO</t>
        </is>
      </c>
      <c r="D33" s="12" t="inlineStr">
        <is>
          <t>26VC-2279</t>
        </is>
      </c>
      <c r="E33" s="9" t="inlineStr">
        <is>
          <t>28/09</t>
        </is>
      </c>
      <c r="F33" s="9" t="inlineStr">
        <is>
          <t>LA MINA DE CHAMARTÍN</t>
        </is>
      </c>
      <c r="G33" s="9" t="inlineStr">
        <is>
          <t>SÍ</t>
        </is>
      </c>
      <c r="H33" s="13" t="n">
        <v>394.16</v>
      </c>
      <c r="I33" s="9" t="inlineStr">
        <is>
          <t>OK</t>
        </is>
      </c>
      <c r="J33" s="9" t="n"/>
      <c r="K33" s="14" t="n"/>
      <c r="L33" s="9" t="n"/>
    </row>
    <row r="34" ht="15" customHeight="1">
      <c r="A34" s="9" t="inlineStr">
        <is>
          <t>Scanned-image05-10-2026-121034.pdf</t>
        </is>
      </c>
      <c r="B34" s="9" t="n">
        <v>33</v>
      </c>
      <c r="C34" s="9" t="inlineStr">
        <is>
          <t>REGERE AOVE</t>
        </is>
      </c>
      <c r="D34" s="12" t="inlineStr">
        <is>
          <t>1/000041</t>
        </is>
      </c>
      <c r="E34" s="9" t="inlineStr">
        <is>
          <t>28/09</t>
        </is>
      </c>
      <c r="F34" s="9" t="inlineStr">
        <is>
          <t>LA MINA DE CHAMARTÍN</t>
        </is>
      </c>
      <c r="G34" s="9" t="inlineStr">
        <is>
          <t>SÍ</t>
        </is>
      </c>
      <c r="H34" s="13" t="n">
        <v>414</v>
      </c>
      <c r="I34" s="9" t="inlineStr">
        <is>
          <t>OK</t>
        </is>
      </c>
      <c r="J34" s="9" t="n"/>
      <c r="K34" s="14" t="n"/>
      <c r="L34" s="9" t="inlineStr">
        <is>
          <t>Proveedor nuevo (Regere AOVE, S.L. - Emporium)</t>
        </is>
      </c>
    </row>
    <row r="35" ht="15" customHeight="1">
      <c r="A35" s="9" t="inlineStr">
        <is>
          <t>Scanned-image05-10-2026-121034.pdf</t>
        </is>
      </c>
      <c r="B35" s="9" t="n">
        <v>34</v>
      </c>
      <c r="C35" s="9" t="inlineStr">
        <is>
          <t>INESCU SERVICES</t>
        </is>
      </c>
      <c r="D35" s="12" t="inlineStr">
        <is>
          <t>ALB2</t>
        </is>
      </c>
      <c r="E35" s="9" t="inlineStr">
        <is>
          <t>27/09</t>
        </is>
      </c>
      <c r="F35" s="9" t="inlineStr">
        <is>
          <t>LA MINA DE CHAMARTÍN</t>
        </is>
      </c>
      <c r="G35" s="9" t="inlineStr">
        <is>
          <t>SÍ</t>
        </is>
      </c>
      <c r="H35" s="13" t="n">
        <v>448.2</v>
      </c>
      <c r="I35" s="9" t="inlineStr">
        <is>
          <t>OK</t>
        </is>
      </c>
      <c r="J35" s="9" t="n"/>
      <c r="K35" s="14" t="n"/>
      <c r="L35" s="9" t="inlineStr">
        <is>
          <t>Proveedor nuevo (Inescu Services SL - Productos Alto Gourmet Grupo Carcume)</t>
        </is>
      </c>
    </row>
    <row r="36" ht="15" customHeight="1">
      <c r="A36" s="9" t="inlineStr">
        <is>
          <t>Scanned-image05-10-2026-121034.pdf</t>
        </is>
      </c>
      <c r="B36" s="9" t="n">
        <v>35</v>
      </c>
      <c r="C36" s="9" t="inlineStr">
        <is>
          <t>AGMASFOOD</t>
        </is>
      </c>
      <c r="D36" s="12" t="inlineStr">
        <is>
          <t>26 8111</t>
        </is>
      </c>
      <c r="E36" s="9" t="inlineStr">
        <is>
          <t>28/09</t>
        </is>
      </c>
      <c r="F36" s="9" t="inlineStr">
        <is>
          <t>LA MINA DE CHAMARTÍN</t>
        </is>
      </c>
      <c r="G36" s="9" t="inlineStr">
        <is>
          <t>SÍ</t>
        </is>
      </c>
      <c r="H36" s="13" t="n">
        <v>328.9</v>
      </c>
      <c r="I36" s="9" t="inlineStr">
        <is>
          <t>OK</t>
        </is>
      </c>
      <c r="J36" s="9" t="n"/>
      <c r="K36" s="14" t="n"/>
      <c r="L36" s="9" t="n"/>
    </row>
    <row r="37" ht="15" customHeight="1">
      <c r="A37" s="9" t="inlineStr">
        <is>
          <t>Scanned-image05-10-2026-121034.pdf</t>
        </is>
      </c>
      <c r="B37" s="9" t="n">
        <v>36</v>
      </c>
      <c r="C37" s="9" t="inlineStr">
        <is>
          <t>ROMERO ALVAREZ</t>
        </is>
      </c>
      <c r="D37" s="12" t="inlineStr">
        <is>
          <t>SEC 877</t>
        </is>
      </c>
      <c r="E37" s="9" t="inlineStr">
        <is>
          <t>28/09</t>
        </is>
      </c>
      <c r="F37" s="9" t="inlineStr">
        <is>
          <t>LA MINA DE CHAMARTÍN</t>
        </is>
      </c>
      <c r="G37" s="9" t="inlineStr">
        <is>
          <t>SÍ</t>
        </is>
      </c>
      <c r="H37" s="13" t="n">
        <v>606.53</v>
      </c>
      <c r="I37" s="9" t="inlineStr">
        <is>
          <t>OK CON INCIDENCIA</t>
        </is>
      </c>
      <c r="J37" s="9" t="inlineStr">
        <is>
          <t>67</t>
        </is>
      </c>
      <c r="K37" s="14" t="inlineStr">
        <is>
          <t>Nota manuscrita</t>
        </is>
      </c>
      <c r="L37" s="9" t="n"/>
    </row>
    <row r="38" ht="15" customHeight="1">
      <c r="A38" s="9" t="inlineStr">
        <is>
          <t>Scanned-image05-10-2026-121034.pdf</t>
        </is>
      </c>
      <c r="B38" s="9" t="n">
        <v>37</v>
      </c>
      <c r="C38" s="9" t="inlineStr">
        <is>
          <t>PATATAS YAGO</t>
        </is>
      </c>
      <c r="D38" s="12" t="inlineStr">
        <is>
          <t>971</t>
        </is>
      </c>
      <c r="E38" s="9" t="inlineStr">
        <is>
          <t>28/09</t>
        </is>
      </c>
      <c r="F38" s="9" t="inlineStr">
        <is>
          <t>LA MINA DE CHAMARTÍN</t>
        </is>
      </c>
      <c r="G38" s="9" t="inlineStr">
        <is>
          <t>SÍ</t>
        </is>
      </c>
      <c r="H38" s="13" t="n">
        <v>44</v>
      </c>
      <c r="I38" s="9" t="inlineStr">
        <is>
          <t>OK</t>
        </is>
      </c>
      <c r="J38" s="9" t="n"/>
      <c r="K38" s="14" t="n"/>
      <c r="L38" s="9" t="n"/>
    </row>
    <row r="39" ht="15" customHeight="1">
      <c r="A39" s="9" t="inlineStr">
        <is>
          <t>Scanned-image05-10-2026-121034.pdf</t>
        </is>
      </c>
      <c r="B39" s="9" t="n">
        <v>38</v>
      </c>
      <c r="C39" s="9" t="inlineStr">
        <is>
          <t>CARNICAS MEAT</t>
        </is>
      </c>
      <c r="D39" s="12" t="inlineStr">
        <is>
          <t>A1/261</t>
        </is>
      </c>
      <c r="E39" s="9" t="inlineStr">
        <is>
          <t>30/09</t>
        </is>
      </c>
      <c r="F39" s="9" t="inlineStr">
        <is>
          <t>LA MINA DE CHAMARTÍN</t>
        </is>
      </c>
      <c r="G39" s="9" t="inlineStr">
        <is>
          <t>SÍ</t>
        </is>
      </c>
      <c r="H39" s="13" t="n">
        <v>391.01</v>
      </c>
      <c r="I39" s="9" t="inlineStr">
        <is>
          <t>OK</t>
        </is>
      </c>
      <c r="J39" s="9" t="n"/>
      <c r="K39" s="14" t="n"/>
      <c r="L39" s="9" t="n"/>
    </row>
    <row r="40" ht="15" customHeight="1">
      <c r="A40" s="9" t="inlineStr">
        <is>
          <t>Scanned-image05-10-2026-121034.pdf</t>
        </is>
      </c>
      <c r="B40" s="9" t="n">
        <v>39</v>
      </c>
      <c r="C40" s="9" t="inlineStr">
        <is>
          <t>CARNICAS MEAT</t>
        </is>
      </c>
      <c r="D40" s="12" t="inlineStr">
        <is>
          <t>FACTURA A1/299</t>
        </is>
      </c>
      <c r="E40" s="9" t="inlineStr">
        <is>
          <t>30/09</t>
        </is>
      </c>
      <c r="F40" s="9" t="inlineStr">
        <is>
          <t>LA MINA DE CHAMARTÍN</t>
        </is>
      </c>
      <c r="G40" s="9" t="inlineStr">
        <is>
          <t>NO</t>
        </is>
      </c>
      <c r="H40" s="13" t="n"/>
      <c r="I40" s="9" t="inlineStr">
        <is>
          <t>NO INCLUIDO (revisar)</t>
        </is>
      </c>
      <c r="J40" s="9" t="inlineStr">
        <is>
          <t>61</t>
        </is>
      </c>
      <c r="K40" s="14" t="inlineStr">
        <is>
          <t>Es factura</t>
        </is>
      </c>
      <c r="L40" s="9" t="inlineStr">
        <is>
          <t>Factura resumen de los albaranes A1/234 (05/09), A1/247 (15/09), A1/250 (18/09), A1/258 (26/09) y A1/261 (30/09): solomillo 16,205 kg a 35,00 + 5,095 kg a 34,55; chuleta lechal 28,3 kg a 25,00. Base 1.450,68 €, total 1.595,75 €.</t>
        </is>
      </c>
    </row>
    <row r="41" ht="15" customHeight="1">
      <c r="A41" s="9" t="inlineStr">
        <is>
          <t>Scanned-image05-10-2026-121034.pdf</t>
        </is>
      </c>
      <c r="B41" s="9" t="n">
        <v>40</v>
      </c>
      <c r="C41" s="9" t="inlineStr">
        <is>
          <t>CASA MISU</t>
        </is>
      </c>
      <c r="D41" s="12" t="inlineStr">
        <is>
          <t>FRA 2026-134</t>
        </is>
      </c>
      <c r="E41" s="9" t="inlineStr">
        <is>
          <t>29/09</t>
        </is>
      </c>
      <c r="F41" s="9" t="inlineStr">
        <is>
          <t>LA MINA DE CHAMARTÍN</t>
        </is>
      </c>
      <c r="G41" s="9" t="inlineStr">
        <is>
          <t>SÍ</t>
        </is>
      </c>
      <c r="H41" s="13" t="n">
        <v>70</v>
      </c>
      <c r="I41" s="9" t="inlineStr">
        <is>
          <t>OK CON INCIDENCIA</t>
        </is>
      </c>
      <c r="J41" s="9" t="inlineStr">
        <is>
          <t>62</t>
        </is>
      </c>
      <c r="K41" s="14" t="inlineStr">
        <is>
          <t>Factura directa</t>
        </is>
      </c>
      <c r="L41" s="9" t="inlineStr">
        <is>
          <t>Es factura directa (sin albarán). Proveedor nuevo (Casa Misu SL)</t>
        </is>
      </c>
    </row>
    <row r="42" ht="15" customHeight="1">
      <c r="A42" s="9" t="inlineStr">
        <is>
          <t>Scanned-image05-10-2026-121034.pdf</t>
        </is>
      </c>
      <c r="B42" s="9" t="n">
        <v>41</v>
      </c>
      <c r="C42" s="9" t="inlineStr">
        <is>
          <t>DELIPAN</t>
        </is>
      </c>
      <c r="D42" s="12" t="inlineStr">
        <is>
          <t>A2/11.370</t>
        </is>
      </c>
      <c r="E42" s="9" t="inlineStr">
        <is>
          <t>22/09</t>
        </is>
      </c>
      <c r="F42" s="9" t="inlineStr">
        <is>
          <t>LA MINA DE CHAMARTÍN</t>
        </is>
      </c>
      <c r="G42" s="9" t="inlineStr">
        <is>
          <t>SÍ</t>
        </is>
      </c>
      <c r="H42" s="13" t="n">
        <v>128.78</v>
      </c>
      <c r="I42" s="9" t="inlineStr">
        <is>
          <t>OK</t>
        </is>
      </c>
      <c r="J42" s="9" t="n"/>
      <c r="K42" s="14" t="n"/>
      <c r="L42" s="9" t="n"/>
    </row>
    <row r="43" ht="15" customHeight="1">
      <c r="A43" s="9" t="inlineStr">
        <is>
          <t>Scanned-image05-10-2026-121034.pdf</t>
        </is>
      </c>
      <c r="B43" s="9" t="n">
        <v>42</v>
      </c>
      <c r="C43" s="9" t="inlineStr">
        <is>
          <t>CASA MISU</t>
        </is>
      </c>
      <c r="D43" s="12" t="inlineStr">
        <is>
          <t>FRA 2026-132</t>
        </is>
      </c>
      <c r="E43" s="9" t="inlineStr">
        <is>
          <t>24/09</t>
        </is>
      </c>
      <c r="F43" s="9" t="inlineStr">
        <is>
          <t>LA MINA DE CHAMARTÍN</t>
        </is>
      </c>
      <c r="G43" s="9" t="inlineStr">
        <is>
          <t>SÍ</t>
        </is>
      </c>
      <c r="H43" s="13" t="n">
        <v>70</v>
      </c>
      <c r="I43" s="9" t="inlineStr">
        <is>
          <t>OK CON INCIDENCIA</t>
        </is>
      </c>
      <c r="J43" s="9" t="inlineStr">
        <is>
          <t>62</t>
        </is>
      </c>
      <c r="K43" s="14" t="inlineStr">
        <is>
          <t>Factura directa</t>
        </is>
      </c>
      <c r="L43" s="9" t="inlineStr">
        <is>
          <t>Es factura directa (sin albarán)</t>
        </is>
      </c>
    </row>
    <row r="44" ht="15" customHeight="1">
      <c r="A44" s="9" t="inlineStr">
        <is>
          <t>Scanned-image05-10-2026-121034.pdf</t>
        </is>
      </c>
      <c r="B44" s="9" t="n">
        <v>43</v>
      </c>
      <c r="C44" s="9" t="inlineStr">
        <is>
          <t>CONS. Y SAL. JIMENEZ</t>
        </is>
      </c>
      <c r="D44" s="12" t="inlineStr">
        <is>
          <t>26A01199</t>
        </is>
      </c>
      <c r="E44" s="9" t="inlineStr">
        <is>
          <t>25/09</t>
        </is>
      </c>
      <c r="F44" s="9" t="inlineStr">
        <is>
          <t>LA MINA DE CHAMARTÍN</t>
        </is>
      </c>
      <c r="G44" s="9" t="inlineStr">
        <is>
          <t>SÍ</t>
        </is>
      </c>
      <c r="H44" s="13" t="n">
        <v>301.02</v>
      </c>
      <c r="I44" s="9" t="inlineStr">
        <is>
          <t>OK</t>
        </is>
      </c>
      <c r="J44" s="9" t="n"/>
      <c r="K44" s="14" t="n"/>
      <c r="L44" s="9" t="n"/>
    </row>
    <row r="45" ht="15" customHeight="1">
      <c r="A45" s="9" t="inlineStr">
        <is>
          <t>Scanned-image05-10-2026-121034.pdf</t>
        </is>
      </c>
      <c r="B45" s="9" t="n">
        <v>44</v>
      </c>
      <c r="C45" s="9" t="inlineStr">
        <is>
          <t>CONS. SELEC. SANTO</t>
        </is>
      </c>
      <c r="D45" s="12" t="inlineStr">
        <is>
          <t>6369</t>
        </is>
      </c>
      <c r="E45" s="9" t="inlineStr">
        <is>
          <t>22/09</t>
        </is>
      </c>
      <c r="F45" s="9" t="inlineStr">
        <is>
          <t>LA MINA DE CHAMARTÍN</t>
        </is>
      </c>
      <c r="G45" s="9" t="inlineStr">
        <is>
          <t>SÍ</t>
        </is>
      </c>
      <c r="H45" s="13" t="n">
        <v>365.85</v>
      </c>
      <c r="I45" s="9" t="inlineStr">
        <is>
          <t>OK</t>
        </is>
      </c>
      <c r="J45" s="9" t="n"/>
      <c r="K45" s="14" t="n"/>
      <c r="L45" s="9" t="n"/>
    </row>
    <row r="46" ht="15" customHeight="1">
      <c r="A46" s="9" t="inlineStr">
        <is>
          <t>Scanned-image05-10-2026-121034.pdf</t>
        </is>
      </c>
      <c r="B46" s="9" t="n">
        <v>45</v>
      </c>
      <c r="C46" s="9" t="inlineStr">
        <is>
          <t>REGERE AOVE</t>
        </is>
      </c>
      <c r="D46" s="12" t="inlineStr">
        <is>
          <t>1/000040</t>
        </is>
      </c>
      <c r="E46" s="9" t="inlineStr">
        <is>
          <t>23/09</t>
        </is>
      </c>
      <c r="F46" s="9" t="inlineStr">
        <is>
          <t>LA MINA DE CHAMARTÍN</t>
        </is>
      </c>
      <c r="G46" s="9" t="inlineStr">
        <is>
          <t>SÍ</t>
        </is>
      </c>
      <c r="H46" s="13" t="n">
        <v>276</v>
      </c>
      <c r="I46" s="9" t="inlineStr">
        <is>
          <t>OK</t>
        </is>
      </c>
      <c r="J46" s="9" t="n"/>
      <c r="K46" s="14" t="n"/>
      <c r="L46" s="9" t="n"/>
    </row>
    <row r="47" ht="15" customHeight="1">
      <c r="A47" s="9" t="inlineStr">
        <is>
          <t>Scanned-image05-10-2026-121034.pdf</t>
        </is>
      </c>
      <c r="B47" s="9" t="n">
        <v>46</v>
      </c>
      <c r="C47" s="9" t="inlineStr">
        <is>
          <t>EXTRAMAR</t>
        </is>
      </c>
      <c r="D47" s="12" t="inlineStr">
        <is>
          <t>J99/26/JJ/427</t>
        </is>
      </c>
      <c r="E47" s="9" t="inlineStr">
        <is>
          <t>26/09</t>
        </is>
      </c>
      <c r="F47" s="9" t="inlineStr">
        <is>
          <t>LA MINA DE CHAMARTÍN</t>
        </is>
      </c>
      <c r="G47" s="9" t="inlineStr">
        <is>
          <t>SÍ</t>
        </is>
      </c>
      <c r="H47" s="13" t="n">
        <v>78</v>
      </c>
      <c r="I47" s="9" t="inlineStr">
        <is>
          <t>OK CON INCIDENCIA</t>
        </is>
      </c>
      <c r="J47" s="9" t="inlineStr">
        <is>
          <t>48</t>
        </is>
      </c>
      <c r="K47" s="14" t="inlineStr">
        <is>
          <t>Sin proveedor ni IVA</t>
        </is>
      </c>
      <c r="L47" s="9" t="inlineStr">
        <is>
          <t>Nota manuscrita: "a la espera de que manden el SEPA al correo de empresa"</t>
        </is>
      </c>
    </row>
    <row r="48" ht="15" customHeight="1">
      <c r="A48" s="9" t="inlineStr">
        <is>
          <t>Scanned-image05-10-2026-121034.pdf</t>
        </is>
      </c>
      <c r="B48" s="9" t="n">
        <v>47</v>
      </c>
      <c r="C48" s="9" t="inlineStr">
        <is>
          <t>FCO JAVIER LABRADOR</t>
        </is>
      </c>
      <c r="D48" s="12" t="inlineStr">
        <is>
          <t>02-09/26</t>
        </is>
      </c>
      <c r="E48" s="9" t="inlineStr">
        <is>
          <t>24/09</t>
        </is>
      </c>
      <c r="F48" s="9" t="inlineStr">
        <is>
          <t>LA MINA DE CHAMARTÍN</t>
        </is>
      </c>
      <c r="G48" s="9" t="inlineStr">
        <is>
          <t>SÍ</t>
        </is>
      </c>
      <c r="H48" s="13" t="n">
        <v>91.59999999999999</v>
      </c>
      <c r="I48" s="9" t="inlineStr">
        <is>
          <t>OK</t>
        </is>
      </c>
      <c r="J48" s="9" t="n"/>
      <c r="K48" s="14" t="n"/>
      <c r="L48" s="9" t="n"/>
    </row>
    <row r="49" ht="15" customHeight="1">
      <c r="A49" s="9" t="inlineStr">
        <is>
          <t>Scanned-image05-10-2026-121034.pdf</t>
        </is>
      </c>
      <c r="B49" s="9" t="n">
        <v>48</v>
      </c>
      <c r="C49" s="9" t="inlineStr">
        <is>
          <t>AGROFOOD</t>
        </is>
      </c>
      <c r="D49" s="12" t="inlineStr">
        <is>
          <t>M26/1102</t>
        </is>
      </c>
      <c r="E49" s="9" t="inlineStr">
        <is>
          <t>24/09</t>
        </is>
      </c>
      <c r="F49" s="9" t="inlineStr">
        <is>
          <t>LA MINA DE CHAMARTÍN</t>
        </is>
      </c>
      <c r="G49" s="9" t="inlineStr">
        <is>
          <t>SÍ</t>
        </is>
      </c>
      <c r="H49" s="13" t="n">
        <v>681.41</v>
      </c>
      <c r="I49" s="9" t="inlineStr">
        <is>
          <t>OK</t>
        </is>
      </c>
      <c r="J49" s="9" t="n"/>
      <c r="K49" s="14" t="n"/>
      <c r="L49" s="9" t="n"/>
    </row>
    <row r="50" ht="15" customHeight="1">
      <c r="A50" s="9" t="inlineStr">
        <is>
          <t>Scanned-image05-10-2026-121034.pdf</t>
        </is>
      </c>
      <c r="B50" s="9" t="n">
        <v>49</v>
      </c>
      <c r="C50" s="9" t="inlineStr">
        <is>
          <t>AGROFOOD</t>
        </is>
      </c>
      <c r="D50" s="12" t="inlineStr">
        <is>
          <t>M26/1081</t>
        </is>
      </c>
      <c r="E50" s="9" t="inlineStr">
        <is>
          <t>22/09</t>
        </is>
      </c>
      <c r="F50" s="9" t="inlineStr">
        <is>
          <t>LA MINA DE CHAMARTÍN</t>
        </is>
      </c>
      <c r="G50" s="9" t="inlineStr">
        <is>
          <t>SÍ</t>
        </is>
      </c>
      <c r="H50" s="13" t="n">
        <v>375.78</v>
      </c>
      <c r="I50" s="9" t="inlineStr">
        <is>
          <t>OK</t>
        </is>
      </c>
      <c r="J50" s="9" t="n"/>
      <c r="K50" s="14" t="n"/>
      <c r="L50" s="9" t="n"/>
    </row>
    <row r="51" ht="15" customHeight="1">
      <c r="A51" s="9" t="inlineStr">
        <is>
          <t>Scanned-image05-10-2026-121034.pdf</t>
        </is>
      </c>
      <c r="B51" s="9" t="n">
        <v>50</v>
      </c>
      <c r="C51" s="9" t="inlineStr">
        <is>
          <t>AGROFOOD</t>
        </is>
      </c>
      <c r="D51" s="12" t="inlineStr">
        <is>
          <t>M26/1075</t>
        </is>
      </c>
      <c r="E51" s="9" t="inlineStr">
        <is>
          <t>21/09</t>
        </is>
      </c>
      <c r="F51" s="9" t="inlineStr">
        <is>
          <t>LA MINA DE CHAMARTÍN</t>
        </is>
      </c>
      <c r="G51" s="9" t="inlineStr">
        <is>
          <t>SÍ</t>
        </is>
      </c>
      <c r="H51" s="13" t="n">
        <v>185.55</v>
      </c>
      <c r="I51" s="9" t="inlineStr">
        <is>
          <t>OK</t>
        </is>
      </c>
      <c r="J51" s="9" t="n"/>
      <c r="K51" s="14" t="n"/>
      <c r="L51" s="9" t="n"/>
    </row>
    <row r="52" ht="15" customHeight="1">
      <c r="A52" s="9" t="inlineStr">
        <is>
          <t>Scanned-image05-10-2026-121034.pdf</t>
        </is>
      </c>
      <c r="B52" s="9" t="n">
        <v>51</v>
      </c>
      <c r="C52" s="9" t="inlineStr">
        <is>
          <t>CARNICAS MEAT</t>
        </is>
      </c>
      <c r="D52" s="12" t="inlineStr">
        <is>
          <t>A1/258</t>
        </is>
      </c>
      <c r="E52" s="9" t="inlineStr">
        <is>
          <t>26/09</t>
        </is>
      </c>
      <c r="F52" s="9" t="inlineStr">
        <is>
          <t>LA MINA DE CHAMARTÍN</t>
        </is>
      </c>
      <c r="G52" s="9" t="inlineStr">
        <is>
          <t>SÍ</t>
        </is>
      </c>
      <c r="H52" s="13" t="n">
        <v>230</v>
      </c>
      <c r="I52" s="9" t="inlineStr">
        <is>
          <t>OK</t>
        </is>
      </c>
      <c r="J52" s="9" t="n"/>
      <c r="K52" s="14" t="n"/>
      <c r="L52" s="9" t="n"/>
    </row>
    <row r="53" ht="15" customHeight="1">
      <c r="A53" s="9" t="inlineStr">
        <is>
          <t>Scanned-image05-10-2026-121034.pdf</t>
        </is>
      </c>
      <c r="B53" s="9" t="n">
        <v>52</v>
      </c>
      <c r="C53" s="9" t="inlineStr">
        <is>
          <t>CARNICAS MEAT</t>
        </is>
      </c>
      <c r="D53" s="12" t="inlineStr">
        <is>
          <t>A1/255</t>
        </is>
      </c>
      <c r="E53" s="9" t="inlineStr">
        <is>
          <t>22/09</t>
        </is>
      </c>
      <c r="F53" s="9" t="inlineStr">
        <is>
          <t>LA MINA DE VELÁZQUEZ</t>
        </is>
      </c>
      <c r="G53" s="9" t="inlineStr">
        <is>
          <t>NO</t>
        </is>
      </c>
      <c r="H53" s="13" t="n"/>
      <c r="I53" s="9" t="inlineStr">
        <is>
          <t>NO INCLUIDO (otro cliente)</t>
        </is>
      </c>
      <c r="J53" s="9" t="inlineStr">
        <is>
          <t>46</t>
        </is>
      </c>
      <c r="K53" s="14" t="inlineStr">
        <is>
          <t>Albarán de Velázquez</t>
        </is>
      </c>
      <c r="L53" s="9" t="inlineStr">
        <is>
          <t>A nombre de LA MINA VELAZQUEZ S.L (B26809988), con sello de Chamartín: chuleta lechal 8,55 kg a 25,00 + solomillo vaca 4,415 kg a 35,00. Base 368,28 €, total 405,11 €.</t>
        </is>
      </c>
    </row>
    <row r="54" ht="15" customHeight="1">
      <c r="A54" s="9" t="inlineStr">
        <is>
          <t>Scanned-image05-10-2026-121034.pdf</t>
        </is>
      </c>
      <c r="B54" s="9" t="n">
        <v>53</v>
      </c>
      <c r="C54" s="9" t="inlineStr">
        <is>
          <t>JOSE ROMERO PLAZA</t>
        </is>
      </c>
      <c r="D54" s="12" t="inlineStr">
        <is>
          <t>180</t>
        </is>
      </c>
      <c r="E54" s="9" t="inlineStr">
        <is>
          <t>26/09</t>
        </is>
      </c>
      <c r="F54" s="9" t="inlineStr">
        <is>
          <t>LA MINA DE CHAMARTÍN</t>
        </is>
      </c>
      <c r="G54" s="9" t="inlineStr">
        <is>
          <t>SÍ</t>
        </is>
      </c>
      <c r="H54" s="13" t="n">
        <v>41</v>
      </c>
      <c r="I54" s="9" t="inlineStr">
        <is>
          <t>OK</t>
        </is>
      </c>
      <c r="J54" s="9" t="n"/>
      <c r="K54" s="14" t="n"/>
      <c r="L54" s="9" t="n"/>
    </row>
    <row r="55" ht="15" customHeight="1">
      <c r="A55" s="9" t="inlineStr">
        <is>
          <t>Scanned-image05-10-2026-121034.pdf</t>
        </is>
      </c>
      <c r="B55" s="9" t="n">
        <v>54</v>
      </c>
      <c r="C55" s="9" t="inlineStr">
        <is>
          <t>JOSE ROMERO PLAZA</t>
        </is>
      </c>
      <c r="D55" s="12" t="inlineStr">
        <is>
          <t>178</t>
        </is>
      </c>
      <c r="E55" s="9" t="inlineStr">
        <is>
          <t>25/09</t>
        </is>
      </c>
      <c r="F55" s="9" t="inlineStr">
        <is>
          <t>LA MINA DE CHAMARTÍN</t>
        </is>
      </c>
      <c r="G55" s="9" t="inlineStr">
        <is>
          <t>SÍ</t>
        </is>
      </c>
      <c r="H55" s="13" t="n">
        <v>38</v>
      </c>
      <c r="I55" s="9" t="inlineStr">
        <is>
          <t>OK</t>
        </is>
      </c>
      <c r="J55" s="9" t="n"/>
      <c r="K55" s="14" t="n"/>
      <c r="L55" s="9" t="n"/>
    </row>
    <row r="56" ht="15" customHeight="1">
      <c r="A56" s="9" t="inlineStr">
        <is>
          <t>Scanned-image05-10-2026-121034.pdf</t>
        </is>
      </c>
      <c r="B56" s="9" t="n">
        <v>55</v>
      </c>
      <c r="C56" s="9" t="inlineStr">
        <is>
          <t>JOSE ROMERO PLAZA</t>
        </is>
      </c>
      <c r="D56" s="12" t="inlineStr">
        <is>
          <t>177</t>
        </is>
      </c>
      <c r="E56" s="9" t="inlineStr">
        <is>
          <t>23/09</t>
        </is>
      </c>
      <c r="F56" s="9" t="inlineStr">
        <is>
          <t>LA MINA DE CHAMARTÍN</t>
        </is>
      </c>
      <c r="G56" s="9" t="inlineStr">
        <is>
          <t>SÍ</t>
        </is>
      </c>
      <c r="H56" s="13" t="n">
        <v>28</v>
      </c>
      <c r="I56" s="9" t="inlineStr">
        <is>
          <t>OK</t>
        </is>
      </c>
      <c r="J56" s="9" t="n"/>
      <c r="K56" s="14" t="n"/>
      <c r="L56" s="9" t="n"/>
    </row>
    <row r="57" ht="15" customHeight="1">
      <c r="A57" s="9" t="inlineStr">
        <is>
          <t>Scanned-image05-10-2026-121034.pdf</t>
        </is>
      </c>
      <c r="B57" s="9" t="n">
        <v>56</v>
      </c>
      <c r="C57" s="9" t="inlineStr">
        <is>
          <t>JOSE ROMERO PLAZA</t>
        </is>
      </c>
      <c r="D57" s="12" t="inlineStr">
        <is>
          <t>176</t>
        </is>
      </c>
      <c r="E57" s="9" t="inlineStr">
        <is>
          <t>22/09</t>
        </is>
      </c>
      <c r="F57" s="9" t="inlineStr">
        <is>
          <t>LA MINA DE CHAMARTÍN</t>
        </is>
      </c>
      <c r="G57" s="9" t="inlineStr">
        <is>
          <t>SÍ</t>
        </is>
      </c>
      <c r="H57" s="13" t="n">
        <v>20</v>
      </c>
      <c r="I57" s="9" t="inlineStr">
        <is>
          <t>OK</t>
        </is>
      </c>
      <c r="J57" s="9" t="n"/>
      <c r="K57" s="14" t="n"/>
      <c r="L57" s="9" t="n"/>
    </row>
    <row r="58" ht="15" customHeight="1">
      <c r="A58" s="9" t="inlineStr">
        <is>
          <t>Scanned-image05-10-2026-121034.pdf</t>
        </is>
      </c>
      <c r="B58" s="9" t="n">
        <v>57</v>
      </c>
      <c r="C58" s="9" t="inlineStr">
        <is>
          <t>AGMASFOOD</t>
        </is>
      </c>
      <c r="D58" s="12" t="inlineStr">
        <is>
          <t>26 8103</t>
        </is>
      </c>
      <c r="E58" s="9" t="inlineStr">
        <is>
          <t>26/09</t>
        </is>
      </c>
      <c r="F58" s="9" t="inlineStr">
        <is>
          <t>LA MINA DE CHAMARTÍN</t>
        </is>
      </c>
      <c r="G58" s="9" t="inlineStr">
        <is>
          <t>SÍ</t>
        </is>
      </c>
      <c r="H58" s="13" t="n">
        <v>95</v>
      </c>
      <c r="I58" s="9" t="inlineStr">
        <is>
          <t>OK</t>
        </is>
      </c>
      <c r="J58" s="9" t="n"/>
      <c r="K58" s="14" t="n"/>
      <c r="L58" s="9" t="n"/>
    </row>
    <row r="59" ht="15" customHeight="1">
      <c r="A59" s="9" t="inlineStr">
        <is>
          <t>Scanned-image05-10-2026-121034.pdf</t>
        </is>
      </c>
      <c r="B59" s="9" t="n">
        <v>58</v>
      </c>
      <c r="C59" s="9" t="inlineStr">
        <is>
          <t>AGMASFOOD</t>
        </is>
      </c>
      <c r="D59" s="12" t="inlineStr">
        <is>
          <t>26 7923</t>
        </is>
      </c>
      <c r="E59" s="9" t="inlineStr">
        <is>
          <t>22/09</t>
        </is>
      </c>
      <c r="F59" s="9" t="inlineStr">
        <is>
          <t>LA MINA DE CHAMARTÍN</t>
        </is>
      </c>
      <c r="G59" s="9" t="inlineStr">
        <is>
          <t>SÍ</t>
        </is>
      </c>
      <c r="H59" s="13" t="n">
        <v>304.31</v>
      </c>
      <c r="I59" s="9" t="inlineStr">
        <is>
          <t>OK</t>
        </is>
      </c>
      <c r="J59" s="9" t="n"/>
      <c r="K59" s="14" t="n"/>
      <c r="L59" s="9" t="n"/>
    </row>
    <row r="60" ht="15" customHeight="1">
      <c r="A60" s="9" t="inlineStr">
        <is>
          <t>Scanned-image05-10-2026-121034.pdf</t>
        </is>
      </c>
      <c r="B60" s="9" t="n">
        <v>59</v>
      </c>
      <c r="C60" s="9" t="inlineStr">
        <is>
          <t>PATATAS YAGO</t>
        </is>
      </c>
      <c r="D60" s="12" t="inlineStr">
        <is>
          <t>962</t>
        </is>
      </c>
      <c r="E60" s="9" t="inlineStr">
        <is>
          <t>26/09</t>
        </is>
      </c>
      <c r="F60" s="9" t="inlineStr">
        <is>
          <t>LA MINA DE CHAMARTÍN</t>
        </is>
      </c>
      <c r="G60" s="9" t="inlineStr">
        <is>
          <t>SÍ</t>
        </is>
      </c>
      <c r="H60" s="13" t="n">
        <v>45.25</v>
      </c>
      <c r="I60" s="9" t="inlineStr">
        <is>
          <t>OK</t>
        </is>
      </c>
      <c r="J60" s="9" t="n"/>
      <c r="K60" s="14" t="n"/>
      <c r="L60" s="9" t="n"/>
    </row>
    <row r="61" ht="15" customHeight="1">
      <c r="A61" s="9" t="inlineStr">
        <is>
          <t>Scanned-image05-10-2026-121034.pdf</t>
        </is>
      </c>
      <c r="B61" s="9" t="n">
        <v>60</v>
      </c>
      <c r="C61" s="9" t="inlineStr">
        <is>
          <t>PATATAS YAGO</t>
        </is>
      </c>
      <c r="D61" s="12" t="inlineStr">
        <is>
          <t>952</t>
        </is>
      </c>
      <c r="E61" s="9" t="inlineStr">
        <is>
          <t>25/09</t>
        </is>
      </c>
      <c r="F61" s="9" t="inlineStr">
        <is>
          <t>LA MINA DE CHAMARTÍN</t>
        </is>
      </c>
      <c r="G61" s="9" t="inlineStr">
        <is>
          <t>SÍ</t>
        </is>
      </c>
      <c r="H61" s="13" t="n">
        <v>22</v>
      </c>
      <c r="I61" s="9" t="inlineStr">
        <is>
          <t>OK</t>
        </is>
      </c>
      <c r="J61" s="9" t="n"/>
      <c r="K61" s="14" t="n"/>
      <c r="L61" s="9" t="n"/>
    </row>
    <row r="62" ht="15" customHeight="1">
      <c r="A62" s="9" t="inlineStr">
        <is>
          <t>Scanned-image05-10-2026-121034.pdf</t>
        </is>
      </c>
      <c r="B62" s="9" t="n">
        <v>61</v>
      </c>
      <c r="C62" s="9" t="inlineStr">
        <is>
          <t>PATATAS YAGO</t>
        </is>
      </c>
      <c r="D62" s="12" t="inlineStr">
        <is>
          <t>943</t>
        </is>
      </c>
      <c r="E62" s="9" t="inlineStr">
        <is>
          <t>24/09</t>
        </is>
      </c>
      <c r="F62" s="9" t="inlineStr">
        <is>
          <t>LA MINA DE CHAMARTÍN</t>
        </is>
      </c>
      <c r="G62" s="9" t="inlineStr">
        <is>
          <t>SÍ</t>
        </is>
      </c>
      <c r="H62" s="13" t="n">
        <v>22</v>
      </c>
      <c r="I62" s="9" t="inlineStr">
        <is>
          <t>OK</t>
        </is>
      </c>
      <c r="J62" s="9" t="n"/>
      <c r="K62" s="14" t="n"/>
      <c r="L62" s="9" t="n"/>
    </row>
    <row r="63" ht="15" customHeight="1">
      <c r="A63" s="9" t="inlineStr">
        <is>
          <t>Scanned-image05-10-2026-121034.pdf</t>
        </is>
      </c>
      <c r="B63" s="9" t="n">
        <v>62</v>
      </c>
      <c r="C63" s="9" t="inlineStr">
        <is>
          <t>PATATAS YAGO</t>
        </is>
      </c>
      <c r="D63" s="12" t="inlineStr">
        <is>
          <t>929</t>
        </is>
      </c>
      <c r="E63" s="9" t="inlineStr">
        <is>
          <t>23/09</t>
        </is>
      </c>
      <c r="F63" s="9" t="inlineStr">
        <is>
          <t>LA MINA DE CHAMARTÍN</t>
        </is>
      </c>
      <c r="G63" s="9" t="inlineStr">
        <is>
          <t>SÍ</t>
        </is>
      </c>
      <c r="H63" s="13" t="n">
        <v>45.25</v>
      </c>
      <c r="I63" s="9" t="inlineStr">
        <is>
          <t>OK</t>
        </is>
      </c>
      <c r="J63" s="9" t="n"/>
      <c r="K63" s="14" t="n"/>
      <c r="L63" s="9" t="n"/>
    </row>
    <row r="64" ht="15" customHeight="1">
      <c r="A64" s="9" t="inlineStr">
        <is>
          <t>Scanned-image05-10-2026-121034.pdf</t>
        </is>
      </c>
      <c r="B64" s="9" t="n">
        <v>63</v>
      </c>
      <c r="C64" s="9" t="inlineStr">
        <is>
          <t>PATATAS YAGO</t>
        </is>
      </c>
      <c r="D64" s="12" t="inlineStr">
        <is>
          <t>908</t>
        </is>
      </c>
      <c r="E64" s="9" t="inlineStr">
        <is>
          <t>21/09</t>
        </is>
      </c>
      <c r="F64" s="9" t="inlineStr">
        <is>
          <t>LA MINA DE CHAMARTÍN</t>
        </is>
      </c>
      <c r="G64" s="9" t="inlineStr">
        <is>
          <t>SÍ</t>
        </is>
      </c>
      <c r="H64" s="13" t="n">
        <v>44</v>
      </c>
      <c r="I64" s="9" t="inlineStr">
        <is>
          <t>OK</t>
        </is>
      </c>
      <c r="J64" s="9" t="n"/>
      <c r="K64" s="14" t="n"/>
      <c r="L64" s="9" t="n"/>
    </row>
    <row r="65" ht="15" customHeight="1">
      <c r="A65" s="9" t="inlineStr">
        <is>
          <t>Scanned-image05-10-2026-121034.pdf</t>
        </is>
      </c>
      <c r="B65" s="9" t="n">
        <v>64</v>
      </c>
      <c r="C65" s="9" t="inlineStr">
        <is>
          <t>MAKRO</t>
        </is>
      </c>
      <c r="D65" s="12" t="inlineStr">
        <is>
          <t>9-236845788</t>
        </is>
      </c>
      <c r="E65" s="9" t="inlineStr">
        <is>
          <t>22/09</t>
        </is>
      </c>
      <c r="F65" s="9" t="inlineStr">
        <is>
          <t>LA MINA DE CHAMARTÍN</t>
        </is>
      </c>
      <c r="G65" s="9" t="inlineStr">
        <is>
          <t>SÍ</t>
        </is>
      </c>
      <c r="H65" s="13" t="n">
        <v>81.66</v>
      </c>
      <c r="I65" s="9" t="inlineStr">
        <is>
          <t>OK CON INCIDENCIA</t>
        </is>
      </c>
      <c r="J65" s="9" t="inlineStr">
        <is>
          <t>55</t>
        </is>
      </c>
      <c r="K65" s="14" t="inlineStr">
        <is>
          <t>Pedido no entregado</t>
        </is>
      </c>
      <c r="L65" s="9" t="inlineStr">
        <is>
          <t>Cebollino (3 bandejas) pedido y no entregado</t>
        </is>
      </c>
    </row>
    <row r="66" ht="15" customHeight="1">
      <c r="A66" s="9" t="inlineStr">
        <is>
          <t>Scanned-image05-10-2026-121034.pdf</t>
        </is>
      </c>
      <c r="B66" s="9" t="n">
        <v>65</v>
      </c>
      <c r="C66" s="9" t="inlineStr">
        <is>
          <t>MAKRO</t>
        </is>
      </c>
      <c r="D66" s="12" t="inlineStr">
        <is>
          <t>9-236765839</t>
        </is>
      </c>
      <c r="E66" s="9" t="inlineStr">
        <is>
          <t>21/09</t>
        </is>
      </c>
      <c r="F66" s="9" t="inlineStr">
        <is>
          <t>LA MINA DE CHAMARTÍN</t>
        </is>
      </c>
      <c r="G66" s="9" t="inlineStr">
        <is>
          <t>SÍ</t>
        </is>
      </c>
      <c r="H66" s="13" t="n">
        <v>209.59</v>
      </c>
      <c r="I66" s="9" t="inlineStr">
        <is>
          <t>OK CON INCIDENCIA</t>
        </is>
      </c>
      <c r="J66" s="9" t="inlineStr">
        <is>
          <t>55</t>
        </is>
      </c>
      <c r="K66" s="14" t="inlineStr">
        <is>
          <t>Pedido no entregado</t>
        </is>
      </c>
      <c r="L66" s="9" t="inlineStr">
        <is>
          <t>2 páginas. Cebollino (2 bandejas) pedido y no entregado</t>
        </is>
      </c>
    </row>
    <row r="67" ht="15" customHeight="1">
      <c r="A67" s="9" t="inlineStr">
        <is>
          <t>Scanned-image05-10-2026-121034.pdf</t>
        </is>
      </c>
      <c r="B67" s="9" t="n">
        <v>66</v>
      </c>
      <c r="C67" s="9" t="inlineStr">
        <is>
          <t>MAKRO</t>
        </is>
      </c>
      <c r="D67" s="12" t="inlineStr">
        <is>
          <t>9-236765839</t>
        </is>
      </c>
      <c r="E67" s="9" t="inlineStr">
        <is>
          <t>21/09</t>
        </is>
      </c>
      <c r="F67" s="9" t="inlineStr">
        <is>
          <t>LA MINA DE CHAMARTÍN</t>
        </is>
      </c>
      <c r="G67" s="9" t="inlineStr">
        <is>
          <t>SÍ</t>
        </is>
      </c>
      <c r="H67" s="13" t="n"/>
      <c r="I67" s="9" t="inlineStr">
        <is>
          <t>OK (2ª página)</t>
        </is>
      </c>
      <c r="J67" s="9" t="n"/>
      <c r="K67" s="14" t="n"/>
      <c r="L67" s="9" t="inlineStr">
        <is>
          <t>Segunda página del albarán 9-236765839 (ya contado en la página 65).</t>
        </is>
      </c>
    </row>
    <row r="68" ht="15" customHeight="1">
      <c r="A68" s="9" t="inlineStr">
        <is>
          <t>Scanned-image05-10-2026-121034.pdf</t>
        </is>
      </c>
      <c r="B68" s="9" t="n">
        <v>67</v>
      </c>
      <c r="C68" s="9" t="inlineStr">
        <is>
          <t>MAKRO</t>
        </is>
      </c>
      <c r="D68" s="12" t="inlineStr">
        <is>
          <t>9-238265217</t>
        </is>
      </c>
      <c r="E68" s="9" t="inlineStr">
        <is>
          <t>24/09</t>
        </is>
      </c>
      <c r="F68" s="9" t="inlineStr">
        <is>
          <t>LA MINA DE CHAMARTÍN</t>
        </is>
      </c>
      <c r="G68" s="9" t="inlineStr">
        <is>
          <t>SÍ</t>
        </is>
      </c>
      <c r="H68" s="13" t="n">
        <v>117.64</v>
      </c>
      <c r="I68" s="9" t="inlineStr">
        <is>
          <t>OK CON INCIDENCIA</t>
        </is>
      </c>
      <c r="J68" s="9" t="inlineStr">
        <is>
          <t>55</t>
        </is>
      </c>
      <c r="K68" s="14" t="inlineStr">
        <is>
          <t>Pedido no entregado</t>
        </is>
      </c>
      <c r="L68" s="9" t="inlineStr">
        <is>
          <t>2 páginas. No entregado: pollo trasero VC MC (6,64 kg) y bolsa vacío (3)</t>
        </is>
      </c>
    </row>
    <row r="69" ht="15" customHeight="1">
      <c r="A69" s="9" t="inlineStr">
        <is>
          <t>Scanned-image05-10-2026-121034.pdf</t>
        </is>
      </c>
      <c r="B69" s="9" t="n">
        <v>68</v>
      </c>
      <c r="C69" s="9" t="inlineStr">
        <is>
          <t>MAKRO</t>
        </is>
      </c>
      <c r="D69" s="12" t="inlineStr">
        <is>
          <t>9-238265217</t>
        </is>
      </c>
      <c r="E69" s="9" t="inlineStr">
        <is>
          <t>24/09</t>
        </is>
      </c>
      <c r="F69" s="9" t="inlineStr">
        <is>
          <t>LA MINA DE CHAMARTÍN</t>
        </is>
      </c>
      <c r="G69" s="9" t="inlineStr">
        <is>
          <t>SÍ</t>
        </is>
      </c>
      <c r="H69" s="13" t="n"/>
      <c r="I69" s="9" t="inlineStr">
        <is>
          <t>OK (2ª página)</t>
        </is>
      </c>
      <c r="J69" s="9" t="n"/>
      <c r="K69" s="14" t="n"/>
      <c r="L69" s="9" t="inlineStr">
        <is>
          <t>Segunda página del albarán 9-238265217 (ya contado en la página 67).</t>
        </is>
      </c>
    </row>
    <row r="70" ht="15" customHeight="1">
      <c r="A70" s="9" t="inlineStr">
        <is>
          <t>Scanned-image05-10-2026-121034.pdf</t>
        </is>
      </c>
      <c r="B70" s="9" t="n">
        <v>69</v>
      </c>
      <c r="C70" s="9" t="inlineStr">
        <is>
          <t>MAKRO</t>
        </is>
      </c>
      <c r="D70" s="12" t="inlineStr">
        <is>
          <t>9-237553581</t>
        </is>
      </c>
      <c r="E70" s="9" t="inlineStr">
        <is>
          <t>23/09</t>
        </is>
      </c>
      <c r="F70" s="9" t="inlineStr">
        <is>
          <t>LA MINA DE CHAMARTÍN</t>
        </is>
      </c>
      <c r="G70" s="9" t="inlineStr">
        <is>
          <t>SÍ</t>
        </is>
      </c>
      <c r="H70" s="13" t="n">
        <v>163.72</v>
      </c>
      <c r="I70" s="9" t="inlineStr">
        <is>
          <t>OK</t>
        </is>
      </c>
      <c r="J70" s="9" t="n"/>
      <c r="K70" s="14" t="n"/>
      <c r="L70" s="9" t="inlineStr">
        <is>
          <t>2 páginas</t>
        </is>
      </c>
    </row>
    <row r="71" ht="15" customHeight="1">
      <c r="A71" s="9" t="inlineStr">
        <is>
          <t>Scanned-image05-10-2026-121034.pdf</t>
        </is>
      </c>
      <c r="B71" s="9" t="n">
        <v>70</v>
      </c>
      <c r="C71" s="9" t="inlineStr">
        <is>
          <t>MAKRO</t>
        </is>
      </c>
      <c r="D71" s="12" t="inlineStr">
        <is>
          <t>9-237553581</t>
        </is>
      </c>
      <c r="E71" s="9" t="inlineStr">
        <is>
          <t>23/09</t>
        </is>
      </c>
      <c r="F71" s="9" t="inlineStr">
        <is>
          <t>LA MINA DE CHAMARTÍN</t>
        </is>
      </c>
      <c r="G71" s="9" t="inlineStr">
        <is>
          <t>SÍ</t>
        </is>
      </c>
      <c r="H71" s="13" t="n"/>
      <c r="I71" s="9" t="inlineStr">
        <is>
          <t>OK (2ª página)</t>
        </is>
      </c>
      <c r="J71" s="9" t="n"/>
      <c r="K71" s="14" t="n"/>
      <c r="L71" s="9" t="inlineStr">
        <is>
          <t>Segunda página del albarán 9-237553581 (ya contado en la página 69).</t>
        </is>
      </c>
    </row>
    <row r="72" ht="15" customHeight="1">
      <c r="A72" s="9" t="inlineStr">
        <is>
          <t>Scanned-image05-10-2026-121251.pdf</t>
        </is>
      </c>
      <c r="B72" s="9" t="n">
        <v>1</v>
      </c>
      <c r="C72" s="9" t="inlineStr">
        <is>
          <t>MAKRO</t>
        </is>
      </c>
      <c r="D72" s="12" t="inlineStr">
        <is>
          <t>9-236476487</t>
        </is>
      </c>
      <c r="E72" s="9" t="inlineStr">
        <is>
          <t>17/09</t>
        </is>
      </c>
      <c r="F72" s="9" t="inlineStr">
        <is>
          <t>LA MINA DE CHAMARTÍN</t>
        </is>
      </c>
      <c r="G72" s="9" t="inlineStr">
        <is>
          <t>SÍ</t>
        </is>
      </c>
      <c r="H72" s="13" t="n">
        <v>156.5</v>
      </c>
      <c r="I72" s="9" t="inlineStr">
        <is>
          <t>OK</t>
        </is>
      </c>
      <c r="J72" s="9" t="n"/>
      <c r="K72" s="14" t="n"/>
      <c r="L72" s="9" t="inlineStr">
        <is>
          <t>2 páginas</t>
        </is>
      </c>
    </row>
    <row r="73" ht="15" customHeight="1">
      <c r="A73" s="9" t="inlineStr">
        <is>
          <t>Scanned-image05-10-2026-121251.pdf</t>
        </is>
      </c>
      <c r="B73" s="9" t="n">
        <v>2</v>
      </c>
      <c r="C73" s="9" t="inlineStr">
        <is>
          <t>MAKRO</t>
        </is>
      </c>
      <c r="D73" s="12" t="inlineStr">
        <is>
          <t>9-236476487</t>
        </is>
      </c>
      <c r="E73" s="9" t="inlineStr">
        <is>
          <t>17/09</t>
        </is>
      </c>
      <c r="F73" s="9" t="inlineStr">
        <is>
          <t>LA MINA DE CHAMARTÍN</t>
        </is>
      </c>
      <c r="G73" s="9" t="inlineStr">
        <is>
          <t>SÍ</t>
        </is>
      </c>
      <c r="H73" s="13" t="n"/>
      <c r="I73" s="9" t="inlineStr">
        <is>
          <t>OK (2ª página)</t>
        </is>
      </c>
      <c r="J73" s="9" t="n"/>
      <c r="K73" s="14" t="n"/>
      <c r="L73" s="9" t="inlineStr">
        <is>
          <t>Segunda página del albarán 9-236476487 (ya contado en la página 1).</t>
        </is>
      </c>
    </row>
    <row r="74" ht="15" customHeight="1">
      <c r="A74" s="9" t="inlineStr">
        <is>
          <t>Scanned-image05-10-2026-121251.pdf</t>
        </is>
      </c>
      <c r="B74" s="9" t="n">
        <v>3</v>
      </c>
      <c r="C74" s="9" t="inlineStr">
        <is>
          <t>MAKRO</t>
        </is>
      </c>
      <c r="D74" s="12" t="inlineStr">
        <is>
          <t>9-236136014</t>
        </is>
      </c>
      <c r="E74" s="9" t="inlineStr">
        <is>
          <t>16/09</t>
        </is>
      </c>
      <c r="F74" s="9" t="inlineStr">
        <is>
          <t>LA MINA DE CHAMARTÍN</t>
        </is>
      </c>
      <c r="G74" s="9" t="inlineStr">
        <is>
          <t>SÍ</t>
        </is>
      </c>
      <c r="H74" s="13" t="n">
        <v>133.99</v>
      </c>
      <c r="I74" s="9" t="inlineStr">
        <is>
          <t>OK</t>
        </is>
      </c>
      <c r="J74" s="9" t="n"/>
      <c r="K74" s="14" t="n"/>
      <c r="L74" s="9" t="n"/>
    </row>
    <row r="75" ht="15" customHeight="1">
      <c r="A75" s="9" t="inlineStr">
        <is>
          <t>Scanned-image05-10-2026-121251.pdf</t>
        </is>
      </c>
      <c r="B75" s="9" t="n">
        <v>4</v>
      </c>
      <c r="C75" s="9" t="inlineStr">
        <is>
          <t>MAKRO</t>
        </is>
      </c>
      <c r="D75" s="12" t="inlineStr">
        <is>
          <t>9-235585461</t>
        </is>
      </c>
      <c r="E75" s="9" t="inlineStr">
        <is>
          <t>14/09</t>
        </is>
      </c>
      <c r="F75" s="9" t="inlineStr">
        <is>
          <t>LA MINA DE CHAMARTÍN</t>
        </is>
      </c>
      <c r="G75" s="9" t="inlineStr">
        <is>
          <t>SÍ</t>
        </is>
      </c>
      <c r="H75" s="13" t="n">
        <v>233.95</v>
      </c>
      <c r="I75" s="9" t="inlineStr">
        <is>
          <t>OK CON INCIDENCIA</t>
        </is>
      </c>
      <c r="J75" s="9" t="inlineStr">
        <is>
          <t>55</t>
        </is>
      </c>
      <c r="K75" s="14" t="inlineStr">
        <is>
          <t>Pedido no entregado</t>
        </is>
      </c>
      <c r="L75" s="9" t="inlineStr">
        <is>
          <t>2 páginas. Pollo pechuga VC (95730, 5,699 kg) pedido y no entregado</t>
        </is>
      </c>
    </row>
    <row r="76" ht="15" customHeight="1">
      <c r="A76" s="9" t="inlineStr">
        <is>
          <t>Scanned-image05-10-2026-121251.pdf</t>
        </is>
      </c>
      <c r="B76" s="9" t="n">
        <v>5</v>
      </c>
      <c r="C76" s="9" t="inlineStr">
        <is>
          <t>MAKRO</t>
        </is>
      </c>
      <c r="D76" s="12" t="inlineStr">
        <is>
          <t>9-235585461</t>
        </is>
      </c>
      <c r="E76" s="9" t="inlineStr">
        <is>
          <t>14/09</t>
        </is>
      </c>
      <c r="F76" s="9" t="inlineStr">
        <is>
          <t>LA MINA DE CHAMARTÍN</t>
        </is>
      </c>
      <c r="G76" s="9" t="inlineStr">
        <is>
          <t>SÍ</t>
        </is>
      </c>
      <c r="H76" s="13" t="n"/>
      <c r="I76" s="9" t="inlineStr">
        <is>
          <t>OK (2ª página)</t>
        </is>
      </c>
      <c r="J76" s="9" t="n"/>
      <c r="K76" s="14" t="n"/>
      <c r="L76" s="9" t="inlineStr">
        <is>
          <t>Segunda página del albarán 9-235585461 (ya contado en la página 4).</t>
        </is>
      </c>
    </row>
    <row r="77" ht="15" customHeight="1">
      <c r="A77" s="9" t="inlineStr">
        <is>
          <t>Scanned-image05-10-2026-121251.pdf</t>
        </is>
      </c>
      <c r="B77" s="9" t="n">
        <v>6</v>
      </c>
      <c r="C77" s="9" t="inlineStr">
        <is>
          <t>CARNICAS MEAT</t>
        </is>
      </c>
      <c r="D77" s="12" t="inlineStr">
        <is>
          <t>A1/250</t>
        </is>
      </c>
      <c r="E77" s="9" t="inlineStr">
        <is>
          <t>18/09</t>
        </is>
      </c>
      <c r="F77" s="9" t="inlineStr">
        <is>
          <t>LA MINA DE CHAMARTÍN</t>
        </is>
      </c>
      <c r="G77" s="9" t="inlineStr">
        <is>
          <t>SÍ</t>
        </is>
      </c>
      <c r="H77" s="13" t="n">
        <v>191.25</v>
      </c>
      <c r="I77" s="9" t="inlineStr">
        <is>
          <t>OK</t>
        </is>
      </c>
      <c r="J77" s="9" t="n"/>
      <c r="K77" s="14" t="n"/>
      <c r="L77" s="9" t="n"/>
    </row>
    <row r="78" ht="15" customHeight="1">
      <c r="A78" s="9" t="inlineStr">
        <is>
          <t>Scanned-image05-10-2026-121251.pdf</t>
        </is>
      </c>
      <c r="B78" s="9" t="n">
        <v>7</v>
      </c>
      <c r="C78" s="9" t="inlineStr">
        <is>
          <t>CARNICAS MEAT</t>
        </is>
      </c>
      <c r="D78" s="12" t="inlineStr">
        <is>
          <t>A1/247</t>
        </is>
      </c>
      <c r="E78" s="9" t="inlineStr">
        <is>
          <t>15/09</t>
        </is>
      </c>
      <c r="F78" s="9" t="inlineStr">
        <is>
          <t>LA MINA DE CHAMARTÍN</t>
        </is>
      </c>
      <c r="G78" s="9" t="inlineStr">
        <is>
          <t>SÍ</t>
        </is>
      </c>
      <c r="H78" s="13" t="n">
        <v>452.23</v>
      </c>
      <c r="I78" s="9" t="inlineStr">
        <is>
          <t>OK</t>
        </is>
      </c>
      <c r="J78" s="9" t="n"/>
      <c r="K78" s="14" t="n"/>
      <c r="L78" s="9" t="n"/>
    </row>
    <row r="79" ht="15" customHeight="1">
      <c r="A79" s="9" t="inlineStr">
        <is>
          <t>Scanned-image05-10-2026-121251.pdf</t>
        </is>
      </c>
      <c r="B79" s="9" t="n">
        <v>8</v>
      </c>
      <c r="C79" s="9" t="inlineStr">
        <is>
          <t>AGROFOOD</t>
        </is>
      </c>
      <c r="D79" s="12" t="inlineStr">
        <is>
          <t>M26/1067</t>
        </is>
      </c>
      <c r="E79" s="9" t="inlineStr">
        <is>
          <t>18/09</t>
        </is>
      </c>
      <c r="F79" s="9" t="inlineStr">
        <is>
          <t>LA MINA DE CHAMARTÍN</t>
        </is>
      </c>
      <c r="G79" s="9" t="inlineStr">
        <is>
          <t>SÍ</t>
        </is>
      </c>
      <c r="H79" s="13" t="n">
        <v>349.25</v>
      </c>
      <c r="I79" s="9" t="inlineStr">
        <is>
          <t>OK</t>
        </is>
      </c>
      <c r="J79" s="9" t="n"/>
      <c r="K79" s="14" t="n"/>
      <c r="L79" s="9" t="n"/>
    </row>
    <row r="80" ht="15" customHeight="1">
      <c r="A80" s="9" t="inlineStr">
        <is>
          <t>Scanned-image05-10-2026-121251.pdf</t>
        </is>
      </c>
      <c r="B80" s="9" t="n">
        <v>9</v>
      </c>
      <c r="C80" s="9" t="inlineStr">
        <is>
          <t>AGROFOOD</t>
        </is>
      </c>
      <c r="D80" s="12" t="inlineStr">
        <is>
          <t>M26/1043</t>
        </is>
      </c>
      <c r="E80" s="9" t="inlineStr">
        <is>
          <t>14/09</t>
        </is>
      </c>
      <c r="F80" s="9" t="inlineStr">
        <is>
          <t>LA MINA DE CHAMARTÍN</t>
        </is>
      </c>
      <c r="G80" s="9" t="inlineStr">
        <is>
          <t>SÍ</t>
        </is>
      </c>
      <c r="H80" s="13" t="n">
        <v>408.52</v>
      </c>
      <c r="I80" s="9" t="inlineStr">
        <is>
          <t>OK</t>
        </is>
      </c>
      <c r="J80" s="9" t="n"/>
      <c r="K80" s="14" t="n"/>
      <c r="L80" s="9" t="n"/>
    </row>
    <row r="81" ht="15" customHeight="1">
      <c r="A81" s="9" t="inlineStr">
        <is>
          <t>Scanned-image05-10-2026-121251.pdf</t>
        </is>
      </c>
      <c r="B81" s="9" t="n">
        <v>10</v>
      </c>
      <c r="C81" s="9" t="inlineStr">
        <is>
          <t>CASA MISU</t>
        </is>
      </c>
      <c r="D81" s="12" t="inlineStr">
        <is>
          <t>FRA 2026-127</t>
        </is>
      </c>
      <c r="E81" s="9" t="inlineStr">
        <is>
          <t>18/09</t>
        </is>
      </c>
      <c r="F81" s="9" t="inlineStr">
        <is>
          <t>LA MINA DE CHAMARTÍN</t>
        </is>
      </c>
      <c r="G81" s="9" t="inlineStr">
        <is>
          <t>SÍ</t>
        </is>
      </c>
      <c r="H81" s="13" t="n">
        <v>70</v>
      </c>
      <c r="I81" s="9" t="inlineStr">
        <is>
          <t>OK CON INCIDENCIA</t>
        </is>
      </c>
      <c r="J81" s="9" t="inlineStr">
        <is>
          <t>62</t>
        </is>
      </c>
      <c r="K81" s="14" t="inlineStr">
        <is>
          <t>Factura directa</t>
        </is>
      </c>
      <c r="L81" s="9" t="inlineStr">
        <is>
          <t>Es factura directa (sin albarán)</t>
        </is>
      </c>
    </row>
    <row r="82" ht="15" customHeight="1">
      <c r="A82" s="9" t="inlineStr">
        <is>
          <t>Scanned-image05-10-2026-121251.pdf</t>
        </is>
      </c>
      <c r="B82" s="9" t="n">
        <v>11</v>
      </c>
      <c r="C82" s="9" t="inlineStr">
        <is>
          <t>CASA MISU</t>
        </is>
      </c>
      <c r="D82" s="12" t="inlineStr">
        <is>
          <t>FRA 2026-126</t>
        </is>
      </c>
      <c r="E82" s="9" t="inlineStr">
        <is>
          <t>15/09</t>
        </is>
      </c>
      <c r="F82" s="9" t="inlineStr">
        <is>
          <t>LA MINA DE CHAMARTÍN</t>
        </is>
      </c>
      <c r="G82" s="9" t="inlineStr">
        <is>
          <t>SÍ</t>
        </is>
      </c>
      <c r="H82" s="13" t="n">
        <v>70</v>
      </c>
      <c r="I82" s="9" t="inlineStr">
        <is>
          <t>OK CON INCIDENCIA</t>
        </is>
      </c>
      <c r="J82" s="9" t="inlineStr">
        <is>
          <t>62</t>
        </is>
      </c>
      <c r="K82" s="14" t="inlineStr">
        <is>
          <t>Factura directa</t>
        </is>
      </c>
      <c r="L82" s="9" t="inlineStr">
        <is>
          <t>Es factura directa (sin albarán)</t>
        </is>
      </c>
    </row>
    <row r="83" ht="15" customHeight="1">
      <c r="A83" s="9" t="inlineStr">
        <is>
          <t>Scanned-image05-10-2026-121251.pdf</t>
        </is>
      </c>
      <c r="B83" s="9" t="n">
        <v>12</v>
      </c>
      <c r="C83" s="9" t="inlineStr">
        <is>
          <t>CONS. Y SAL. JIMENEZ</t>
        </is>
      </c>
      <c r="D83" s="12" t="inlineStr">
        <is>
          <t>26A01162</t>
        </is>
      </c>
      <c r="E83" s="9" t="inlineStr">
        <is>
          <t>17/09</t>
        </is>
      </c>
      <c r="F83" s="9" t="inlineStr">
        <is>
          <t>LA MINA DE CHAMARTÍN</t>
        </is>
      </c>
      <c r="G83" s="9" t="inlineStr">
        <is>
          <t>SÍ</t>
        </is>
      </c>
      <c r="H83" s="13" t="n">
        <v>670.95</v>
      </c>
      <c r="I83" s="9" t="inlineStr">
        <is>
          <t>OK</t>
        </is>
      </c>
      <c r="J83" s="9" t="n"/>
      <c r="K83" s="14" t="n"/>
      <c r="L83" s="9" t="n"/>
    </row>
    <row r="84" ht="15" customHeight="1">
      <c r="A84" s="9" t="inlineStr">
        <is>
          <t>Scanned-image05-10-2026-121251.pdf</t>
        </is>
      </c>
      <c r="B84" s="9" t="n">
        <v>13</v>
      </c>
      <c r="C84" s="9" t="inlineStr">
        <is>
          <t>CONS. Y SAL. JIMENEZ</t>
        </is>
      </c>
      <c r="D84" s="12" t="inlineStr">
        <is>
          <t>26A01144</t>
        </is>
      </c>
      <c r="E84" s="9" t="inlineStr">
        <is>
          <t>14/09</t>
        </is>
      </c>
      <c r="F84" s="9" t="inlineStr">
        <is>
          <t>LA MINA DE CHAMARTÍN</t>
        </is>
      </c>
      <c r="G84" s="9" t="inlineStr">
        <is>
          <t>SÍ</t>
        </is>
      </c>
      <c r="H84" s="13" t="n">
        <v>374.14</v>
      </c>
      <c r="I84" s="9" t="inlineStr">
        <is>
          <t>OK CON INCIDENCIA</t>
        </is>
      </c>
      <c r="J84" s="9" t="inlineStr">
        <is>
          <t>65</t>
        </is>
      </c>
      <c r="K84" s="14" t="inlineStr">
        <is>
          <t>Sin cargo / regalo</t>
        </is>
      </c>
      <c r="L84" s="9" t="n"/>
    </row>
    <row r="85" ht="15" customHeight="1">
      <c r="A85" s="9" t="inlineStr">
        <is>
          <t>Scanned-image05-10-2026-121251.pdf</t>
        </is>
      </c>
      <c r="B85" s="9" t="n">
        <v>14</v>
      </c>
      <c r="C85" s="9" t="inlineStr">
        <is>
          <t>DELIPAN</t>
        </is>
      </c>
      <c r="D85" s="12" t="inlineStr">
        <is>
          <t>A2/11.234</t>
        </is>
      </c>
      <c r="E85" s="9" t="inlineStr">
        <is>
          <t>18/09</t>
        </is>
      </c>
      <c r="F85" s="9" t="inlineStr">
        <is>
          <t>LA MINA DE CHAMARTÍN</t>
        </is>
      </c>
      <c r="G85" s="9" t="inlineStr">
        <is>
          <t>SÍ</t>
        </is>
      </c>
      <c r="H85" s="13" t="n">
        <v>45.92</v>
      </c>
      <c r="I85" s="9" t="inlineStr">
        <is>
          <t>OK</t>
        </is>
      </c>
      <c r="J85" s="9" t="n"/>
      <c r="K85" s="14" t="n"/>
      <c r="L85" s="9" t="n"/>
    </row>
    <row r="86" ht="15" customHeight="1">
      <c r="A86" s="9" t="inlineStr">
        <is>
          <t>Scanned-image05-10-2026-121251.pdf</t>
        </is>
      </c>
      <c r="B86" s="9" t="n">
        <v>15</v>
      </c>
      <c r="C86" s="9" t="inlineStr">
        <is>
          <t>DELIPAN</t>
        </is>
      </c>
      <c r="D86" s="12" t="inlineStr">
        <is>
          <t>A2/10.999</t>
        </is>
      </c>
      <c r="E86" s="9" t="inlineStr">
        <is>
          <t>15/09</t>
        </is>
      </c>
      <c r="F86" s="9" t="inlineStr">
        <is>
          <t>LA MINA DE CHAMARTÍN</t>
        </is>
      </c>
      <c r="G86" s="9" t="inlineStr">
        <is>
          <t>SÍ</t>
        </is>
      </c>
      <c r="H86" s="13" t="n">
        <v>128.78</v>
      </c>
      <c r="I86" s="9" t="inlineStr">
        <is>
          <t>OK</t>
        </is>
      </c>
      <c r="J86" s="9" t="n"/>
      <c r="K86" s="14" t="n"/>
      <c r="L86" s="9" t="n"/>
    </row>
    <row r="87" ht="15" customHeight="1">
      <c r="A87" s="9" t="inlineStr">
        <is>
          <t>Scanned-image05-10-2026-121251.pdf</t>
        </is>
      </c>
      <c r="B87" s="9" t="n">
        <v>16</v>
      </c>
      <c r="C87" s="9" t="inlineStr">
        <is>
          <t>AGMASFOOD</t>
        </is>
      </c>
      <c r="D87" s="12" t="inlineStr">
        <is>
          <t>26 7678</t>
        </is>
      </c>
      <c r="E87" s="9" t="inlineStr">
        <is>
          <t>14/09</t>
        </is>
      </c>
      <c r="F87" s="9" t="inlineStr">
        <is>
          <t>LA MINA DE CHAMARTÍN</t>
        </is>
      </c>
      <c r="G87" s="9" t="inlineStr">
        <is>
          <t>SÍ</t>
        </is>
      </c>
      <c r="H87" s="13" t="n">
        <v>276.44</v>
      </c>
      <c r="I87" s="9" t="inlineStr">
        <is>
          <t>OK</t>
        </is>
      </c>
      <c r="J87" s="9" t="n"/>
      <c r="K87" s="14" t="n"/>
      <c r="L87" s="9" t="n"/>
    </row>
    <row r="88" ht="15" customHeight="1">
      <c r="A88" s="9" t="inlineStr">
        <is>
          <t>Scanned-image05-10-2026-121251.pdf</t>
        </is>
      </c>
      <c r="B88" s="9" t="n">
        <v>17</v>
      </c>
      <c r="C88" s="9" t="inlineStr">
        <is>
          <t>CONS. SELEC. SANTO</t>
        </is>
      </c>
      <c r="D88" s="12" t="inlineStr">
        <is>
          <t>6193</t>
        </is>
      </c>
      <c r="E88" s="9" t="inlineStr">
        <is>
          <t>14/09</t>
        </is>
      </c>
      <c r="F88" s="9" t="inlineStr">
        <is>
          <t>LA MINA DE CHAMARTÍN</t>
        </is>
      </c>
      <c r="G88" s="9" t="inlineStr">
        <is>
          <t>SÍ</t>
        </is>
      </c>
      <c r="H88" s="13" t="n">
        <v>368.01</v>
      </c>
      <c r="I88" s="9" t="inlineStr">
        <is>
          <t>OK</t>
        </is>
      </c>
      <c r="J88" s="9" t="n"/>
      <c r="K88" s="14" t="n"/>
      <c r="L88" s="9" t="n"/>
    </row>
    <row r="89" ht="15" customHeight="1">
      <c r="A89" s="9" t="inlineStr">
        <is>
          <t>Scanned-image05-10-2026-121251.pdf</t>
        </is>
      </c>
      <c r="B89" s="9" t="n">
        <v>18</v>
      </c>
      <c r="C89" s="9" t="inlineStr">
        <is>
          <t>VENERO CLARO</t>
        </is>
      </c>
      <c r="D89" s="12" t="inlineStr">
        <is>
          <t>26VC-2175</t>
        </is>
      </c>
      <c r="E89" s="9" t="inlineStr">
        <is>
          <t>17/09</t>
        </is>
      </c>
      <c r="F89" s="9" t="inlineStr">
        <is>
          <t>LA MINA DE CHAMARTÍN</t>
        </is>
      </c>
      <c r="G89" s="9" t="inlineStr">
        <is>
          <t>SÍ</t>
        </is>
      </c>
      <c r="H89" s="13" t="n">
        <v>274.3</v>
      </c>
      <c r="I89" s="9" t="inlineStr">
        <is>
          <t>OK</t>
        </is>
      </c>
      <c r="J89" s="9" t="n"/>
      <c r="K89" s="14" t="n"/>
      <c r="L89" s="9" t="n"/>
    </row>
    <row r="90" ht="15" customHeight="1">
      <c r="A90" s="9" t="inlineStr">
        <is>
          <t>Scanned-image05-10-2026-121251.pdf</t>
        </is>
      </c>
      <c r="B90" s="9" t="n">
        <v>19</v>
      </c>
      <c r="C90" s="9" t="inlineStr">
        <is>
          <t>JOSE ROMERO PLAZA</t>
        </is>
      </c>
      <c r="D90" s="12" t="inlineStr">
        <is>
          <t>174</t>
        </is>
      </c>
      <c r="E90" s="9" t="inlineStr">
        <is>
          <t>19/09</t>
        </is>
      </c>
      <c r="F90" s="9" t="inlineStr">
        <is>
          <t>LA MINA DE CHAMARTÍN</t>
        </is>
      </c>
      <c r="G90" s="9" t="inlineStr">
        <is>
          <t>SÍ</t>
        </is>
      </c>
      <c r="H90" s="13" t="n">
        <v>40</v>
      </c>
      <c r="I90" s="9" t="inlineStr">
        <is>
          <t>OK</t>
        </is>
      </c>
      <c r="J90" s="9" t="n"/>
      <c r="K90" s="14" t="n"/>
      <c r="L90" s="9" t="n"/>
    </row>
    <row r="91" ht="15" customHeight="1">
      <c r="A91" s="9" t="inlineStr">
        <is>
          <t>Scanned-image05-10-2026-121251.pdf</t>
        </is>
      </c>
      <c r="B91" s="9" t="n">
        <v>20</v>
      </c>
      <c r="C91" s="9" t="inlineStr">
        <is>
          <t>JOSE ROMERO PLAZA</t>
        </is>
      </c>
      <c r="D91" s="12" t="inlineStr">
        <is>
          <t>172</t>
        </is>
      </c>
      <c r="E91" s="9" t="inlineStr">
        <is>
          <t>17/09</t>
        </is>
      </c>
      <c r="F91" s="9" t="inlineStr">
        <is>
          <t>LA MINA DE CHAMARTÍN</t>
        </is>
      </c>
      <c r="G91" s="9" t="inlineStr">
        <is>
          <t>SÍ</t>
        </is>
      </c>
      <c r="H91" s="13" t="n">
        <v>42</v>
      </c>
      <c r="I91" s="9" t="inlineStr">
        <is>
          <t>OK</t>
        </is>
      </c>
      <c r="J91" s="9" t="n"/>
      <c r="K91" s="14" t="n"/>
      <c r="L91" s="9" t="n"/>
    </row>
    <row r="92" ht="15" customHeight="1">
      <c r="A92" s="9" t="inlineStr">
        <is>
          <t>Scanned-image05-10-2026-121251.pdf</t>
        </is>
      </c>
      <c r="B92" s="9" t="n">
        <v>21</v>
      </c>
      <c r="C92" s="9" t="inlineStr">
        <is>
          <t>JOSE ROMERO PLAZA</t>
        </is>
      </c>
      <c r="D92" s="12" t="inlineStr">
        <is>
          <t>168</t>
        </is>
      </c>
      <c r="E92" s="9" t="inlineStr">
        <is>
          <t>15/09</t>
        </is>
      </c>
      <c r="F92" s="9" t="inlineStr">
        <is>
          <t>LA MINA DE CHAMARTÍN</t>
        </is>
      </c>
      <c r="G92" s="9" t="inlineStr">
        <is>
          <t>SÍ</t>
        </is>
      </c>
      <c r="H92" s="13" t="n">
        <v>8</v>
      </c>
      <c r="I92" s="9" t="inlineStr">
        <is>
          <t>OK</t>
        </is>
      </c>
      <c r="J92" s="9" t="n"/>
      <c r="K92" s="14" t="n"/>
      <c r="L92" s="9" t="n"/>
    </row>
    <row r="93" ht="15" customHeight="1">
      <c r="A93" s="9" t="inlineStr">
        <is>
          <t>Scanned-image05-10-2026-121251.pdf</t>
        </is>
      </c>
      <c r="B93" s="9" t="n">
        <v>22</v>
      </c>
      <c r="C93" s="9" t="inlineStr">
        <is>
          <t>MAGOASE</t>
        </is>
      </c>
      <c r="D93" s="12" t="inlineStr">
        <is>
          <t>23.665</t>
        </is>
      </c>
      <c r="E93" s="9" t="inlineStr">
        <is>
          <t>17/09</t>
        </is>
      </c>
      <c r="F93" s="9" t="inlineStr">
        <is>
          <t>LA MINA DE CHAMARTÍN</t>
        </is>
      </c>
      <c r="G93" s="9" t="inlineStr">
        <is>
          <t>SÍ</t>
        </is>
      </c>
      <c r="H93" s="13" t="n">
        <v>143.7</v>
      </c>
      <c r="I93" s="9" t="inlineStr">
        <is>
          <t>OK</t>
        </is>
      </c>
      <c r="J93" s="9" t="n"/>
      <c r="K93" s="14" t="n"/>
      <c r="L93" s="9" t="n"/>
    </row>
    <row r="94" ht="15" customHeight="1">
      <c r="A94" s="9" t="inlineStr">
        <is>
          <t>Scanned-image05-10-2026-121251.pdf</t>
        </is>
      </c>
      <c r="B94" s="9" t="n">
        <v>23</v>
      </c>
      <c r="C94" s="9" t="inlineStr">
        <is>
          <t>MAGOASE</t>
        </is>
      </c>
      <c r="D94" s="12" t="inlineStr">
        <is>
          <t>23.552</t>
        </is>
      </c>
      <c r="E94" s="9" t="inlineStr">
        <is>
          <t>16/09</t>
        </is>
      </c>
      <c r="F94" s="9" t="inlineStr">
        <is>
          <t>LA MINA DE CHAMARTÍN</t>
        </is>
      </c>
      <c r="G94" s="9" t="inlineStr">
        <is>
          <t>SÍ</t>
        </is>
      </c>
      <c r="H94" s="13" t="n">
        <v>46.95</v>
      </c>
      <c r="I94" s="9" t="inlineStr">
        <is>
          <t>OK</t>
        </is>
      </c>
      <c r="J94" s="9" t="n"/>
      <c r="K94" s="14" t="n"/>
      <c r="L94" s="9" t="n"/>
    </row>
    <row r="95" ht="15" customHeight="1">
      <c r="A95" s="9" t="inlineStr">
        <is>
          <t>Scanned-image05-10-2026-121251.pdf</t>
        </is>
      </c>
      <c r="B95" s="9" t="n">
        <v>24</v>
      </c>
      <c r="C95" s="9" t="inlineStr">
        <is>
          <t>MAGOASE</t>
        </is>
      </c>
      <c r="D95" s="12" t="inlineStr">
        <is>
          <t>23.258</t>
        </is>
      </c>
      <c r="E95" s="9" t="inlineStr">
        <is>
          <t>13/09</t>
        </is>
      </c>
      <c r="F95" s="9" t="inlineStr">
        <is>
          <t>LA MINA DE CHAMARTÍN</t>
        </is>
      </c>
      <c r="G95" s="9" t="inlineStr">
        <is>
          <t>SÍ</t>
        </is>
      </c>
      <c r="H95" s="13" t="n">
        <v>44.95</v>
      </c>
      <c r="I95" s="9" t="inlineStr">
        <is>
          <t>OK</t>
        </is>
      </c>
      <c r="J95" s="9" t="n"/>
      <c r="K95" s="14" t="n"/>
      <c r="L95" s="9" t="n"/>
    </row>
    <row r="96" ht="15" customHeight="1">
      <c r="A96" s="9" t="inlineStr">
        <is>
          <t>Scanned-image05-10-2026-121251.pdf</t>
        </is>
      </c>
      <c r="B96" s="9" t="n">
        <v>25</v>
      </c>
      <c r="C96" s="9" t="inlineStr">
        <is>
          <t>PATATAS YAGO</t>
        </is>
      </c>
      <c r="D96" s="12" t="inlineStr">
        <is>
          <t>898</t>
        </is>
      </c>
      <c r="E96" s="9" t="inlineStr">
        <is>
          <t>19/09</t>
        </is>
      </c>
      <c r="F96" s="9" t="inlineStr">
        <is>
          <t>LA MINA DE CHAMARTÍN</t>
        </is>
      </c>
      <c r="G96" s="9" t="inlineStr">
        <is>
          <t>SÍ</t>
        </is>
      </c>
      <c r="H96" s="13" t="n">
        <v>22</v>
      </c>
      <c r="I96" s="9" t="inlineStr">
        <is>
          <t>OK</t>
        </is>
      </c>
      <c r="J96" s="9" t="n"/>
      <c r="K96" s="14" t="n"/>
      <c r="L96" s="9" t="n"/>
    </row>
    <row r="97" ht="15" customHeight="1">
      <c r="A97" s="9" t="inlineStr">
        <is>
          <t>Scanned-image05-10-2026-121251.pdf</t>
        </is>
      </c>
      <c r="B97" s="9" t="n">
        <v>26</v>
      </c>
      <c r="C97" s="9" t="inlineStr">
        <is>
          <t>PATATAS YAGO</t>
        </is>
      </c>
      <c r="D97" s="12" t="inlineStr">
        <is>
          <t>885</t>
        </is>
      </c>
      <c r="E97" s="9" t="inlineStr">
        <is>
          <t>18/09</t>
        </is>
      </c>
      <c r="F97" s="9" t="inlineStr">
        <is>
          <t>LA MINA DE CHAMARTÍN</t>
        </is>
      </c>
      <c r="G97" s="9" t="inlineStr">
        <is>
          <t>SÍ</t>
        </is>
      </c>
      <c r="H97" s="13" t="n">
        <v>45.25</v>
      </c>
      <c r="I97" s="9" t="inlineStr">
        <is>
          <t>OK</t>
        </is>
      </c>
      <c r="J97" s="9" t="n"/>
      <c r="K97" s="14" t="n"/>
      <c r="L97" s="9" t="n"/>
    </row>
    <row r="98" ht="15" customHeight="1">
      <c r="A98" s="9" t="inlineStr">
        <is>
          <t>Scanned-image05-10-2026-121251.pdf</t>
        </is>
      </c>
      <c r="B98" s="9" t="n">
        <v>27</v>
      </c>
      <c r="C98" s="9" t="inlineStr">
        <is>
          <t>PATATAS YAGO</t>
        </is>
      </c>
      <c r="D98" s="12" t="inlineStr">
        <is>
          <t>876</t>
        </is>
      </c>
      <c r="E98" s="9" t="inlineStr">
        <is>
          <t>17/09</t>
        </is>
      </c>
      <c r="F98" s="9" t="inlineStr">
        <is>
          <t>LA MINA DE CHAMARTÍN</t>
        </is>
      </c>
      <c r="G98" s="9" t="inlineStr">
        <is>
          <t>SÍ</t>
        </is>
      </c>
      <c r="H98" s="13" t="n">
        <v>22</v>
      </c>
      <c r="I98" s="9" t="inlineStr">
        <is>
          <t>OK</t>
        </is>
      </c>
      <c r="J98" s="9" t="n"/>
      <c r="K98" s="14" t="n"/>
      <c r="L98" s="9" t="n"/>
    </row>
    <row r="99" ht="15" customHeight="1">
      <c r="A99" s="9" t="inlineStr">
        <is>
          <t>Scanned-image05-10-2026-121251.pdf</t>
        </is>
      </c>
      <c r="B99" s="9" t="n">
        <v>28</v>
      </c>
      <c r="C99" s="9" t="inlineStr">
        <is>
          <t>PATATAS YAGO</t>
        </is>
      </c>
      <c r="D99" s="12" t="inlineStr">
        <is>
          <t>859</t>
        </is>
      </c>
      <c r="E99" s="9" t="inlineStr">
        <is>
          <t>15/09</t>
        </is>
      </c>
      <c r="F99" s="9" t="inlineStr">
        <is>
          <t>LA MINA DE CHAMARTÍN</t>
        </is>
      </c>
      <c r="G99" s="9" t="inlineStr">
        <is>
          <t>SÍ</t>
        </is>
      </c>
      <c r="H99" s="13" t="n">
        <v>45.25</v>
      </c>
      <c r="I99" s="9" t="inlineStr">
        <is>
          <t>OK</t>
        </is>
      </c>
      <c r="J99" s="9" t="n"/>
      <c r="K99" s="14" t="n"/>
      <c r="L99" s="9" t="n"/>
    </row>
    <row r="100" ht="15" customHeight="1">
      <c r="A100" s="9" t="inlineStr">
        <is>
          <t>Scanned-image05-10-2026-121251.pdf</t>
        </is>
      </c>
      <c r="B100" s="9" t="n">
        <v>29</v>
      </c>
      <c r="C100" s="9" t="inlineStr">
        <is>
          <t>PATATAS YAGO</t>
        </is>
      </c>
      <c r="D100" s="12" t="inlineStr">
        <is>
          <t>845</t>
        </is>
      </c>
      <c r="E100" s="9" t="inlineStr">
        <is>
          <t>14/09</t>
        </is>
      </c>
      <c r="F100" s="9" t="inlineStr">
        <is>
          <t>LA MINA DE CHAMARTÍN</t>
        </is>
      </c>
      <c r="G100" s="9" t="inlineStr">
        <is>
          <t>SÍ</t>
        </is>
      </c>
      <c r="H100" s="13" t="n">
        <v>22</v>
      </c>
      <c r="I100" s="9" t="inlineStr">
        <is>
          <t>OK</t>
        </is>
      </c>
      <c r="J100" s="9" t="n"/>
      <c r="K100" s="14" t="n"/>
      <c r="L100" s="9" t="n"/>
    </row>
    <row r="101" ht="15" customHeight="1">
      <c r="A101" s="9" t="inlineStr">
        <is>
          <t>Scanned-image05-10-2026-121251.pdf</t>
        </is>
      </c>
      <c r="B101" s="9" t="n">
        <v>30</v>
      </c>
      <c r="C101" s="9" t="inlineStr">
        <is>
          <t>MAKRO</t>
        </is>
      </c>
      <c r="D101" s="12" t="inlineStr">
        <is>
          <t>9-236591421</t>
        </is>
      </c>
      <c r="E101" s="9" t="inlineStr">
        <is>
          <t>18/09</t>
        </is>
      </c>
      <c r="F101" s="9" t="inlineStr">
        <is>
          <t>LA MINA DE CHAMARTÍN</t>
        </is>
      </c>
      <c r="G101" s="9" t="inlineStr">
        <is>
          <t>SÍ</t>
        </is>
      </c>
      <c r="H101" s="13" t="n">
        <v>115.87</v>
      </c>
      <c r="I101" s="9" t="inlineStr">
        <is>
          <t>OK CON INCIDENCIA</t>
        </is>
      </c>
      <c r="J101" s="9" t="inlineStr">
        <is>
          <t>55</t>
        </is>
      </c>
      <c r="K101" s="14" t="inlineStr">
        <is>
          <t>Pedido no entregado</t>
        </is>
      </c>
      <c r="L101" s="9" t="inlineStr">
        <is>
          <t>Páginas 1 y 2 de 3. Perejil pedido y no entregado</t>
        </is>
      </c>
    </row>
    <row r="102" ht="15" customHeight="1">
      <c r="A102" s="9" t="inlineStr">
        <is>
          <t>Scanned-image05-10-2026-121251.pdf</t>
        </is>
      </c>
      <c r="B102" s="9" t="n">
        <v>31</v>
      </c>
      <c r="C102" s="9" t="inlineStr">
        <is>
          <t>MAKRO</t>
        </is>
      </c>
      <c r="D102" s="12" t="inlineStr">
        <is>
          <t>9-236591421</t>
        </is>
      </c>
      <c r="E102" s="9" t="inlineStr">
        <is>
          <t>18/09</t>
        </is>
      </c>
      <c r="F102" s="9" t="inlineStr">
        <is>
          <t>LA MINA DE CHAMARTÍN</t>
        </is>
      </c>
      <c r="G102" s="9" t="inlineStr">
        <is>
          <t>SÍ</t>
        </is>
      </c>
      <c r="H102" s="13" t="n"/>
      <c r="I102" s="9" t="inlineStr">
        <is>
          <t>OK (2ª página)</t>
        </is>
      </c>
      <c r="J102" s="9" t="n"/>
      <c r="K102" s="14" t="n"/>
      <c r="L102" s="9" t="inlineStr">
        <is>
          <t>Segunda página del albarán 9-236591421 (ya contado en la página 30).</t>
        </is>
      </c>
    </row>
    <row r="103" ht="15" customHeight="1">
      <c r="A103" s="9" t="inlineStr">
        <is>
          <t>Scanned-image05-10-2026-121251.pdf</t>
        </is>
      </c>
      <c r="B103" s="9" t="n">
        <v>32</v>
      </c>
      <c r="C103" s="9" t="inlineStr">
        <is>
          <t>MAKRO</t>
        </is>
      </c>
      <c r="D103" s="12" t="inlineStr">
        <is>
          <t>9-236598015</t>
        </is>
      </c>
      <c r="E103" s="9" t="inlineStr">
        <is>
          <t>18/09</t>
        </is>
      </c>
      <c r="F103" s="9" t="inlineStr">
        <is>
          <t>LA MINA DE CHAMARTÍN</t>
        </is>
      </c>
      <c r="G103" s="9" t="inlineStr">
        <is>
          <t>SÍ</t>
        </is>
      </c>
      <c r="H103" s="13" t="n">
        <v>26.54</v>
      </c>
      <c r="I103" s="9" t="inlineStr">
        <is>
          <t>OK</t>
        </is>
      </c>
      <c r="J103" s="9" t="n"/>
      <c r="K103" s="14" t="n"/>
      <c r="L103" s="9" t="inlineStr">
        <is>
          <t>Página 3 de 3 de la misma entrega (albarán distinto)</t>
        </is>
      </c>
    </row>
    <row r="104" ht="15" customHeight="1">
      <c r="A104" s="9" t="inlineStr">
        <is>
          <t>Scanned-image05-10-2026-121251.pdf</t>
        </is>
      </c>
      <c r="B104" s="9" t="n">
        <v>33</v>
      </c>
      <c r="C104" s="9" t="inlineStr">
        <is>
          <t>AGMASFOOD</t>
        </is>
      </c>
      <c r="D104" s="12" t="inlineStr">
        <is>
          <t>26 7607</t>
        </is>
      </c>
      <c r="E104" s="9" t="inlineStr">
        <is>
          <t>11/09</t>
        </is>
      </c>
      <c r="F104" s="9" t="inlineStr">
        <is>
          <t>LA MINA DE CHAMARTÍN</t>
        </is>
      </c>
      <c r="G104" s="9" t="inlineStr">
        <is>
          <t>SÍ</t>
        </is>
      </c>
      <c r="H104" s="13" t="n">
        <v>289.47</v>
      </c>
      <c r="I104" s="9" t="inlineStr">
        <is>
          <t>OK</t>
        </is>
      </c>
      <c r="J104" s="9" t="n"/>
      <c r="K104" s="14" t="n"/>
      <c r="L104" s="9" t="n"/>
    </row>
    <row r="105" ht="15" customHeight="1">
      <c r="A105" s="9" t="inlineStr">
        <is>
          <t>Scanned-image05-10-2026-121251.pdf</t>
        </is>
      </c>
      <c r="B105" s="9" t="n">
        <v>34</v>
      </c>
      <c r="C105" s="9" t="inlineStr">
        <is>
          <t>CASA MISU</t>
        </is>
      </c>
      <c r="D105" s="12" t="inlineStr">
        <is>
          <t>FRA 2026-122</t>
        </is>
      </c>
      <c r="E105" s="9" t="inlineStr">
        <is>
          <t>08/09</t>
        </is>
      </c>
      <c r="F105" s="9" t="inlineStr">
        <is>
          <t>LA MINA DE CHAMARTÍN</t>
        </is>
      </c>
      <c r="G105" s="9" t="inlineStr">
        <is>
          <t>SÍ</t>
        </is>
      </c>
      <c r="H105" s="13" t="n">
        <v>70</v>
      </c>
      <c r="I105" s="9" t="inlineStr">
        <is>
          <t>OK CON INCIDENCIA</t>
        </is>
      </c>
      <c r="J105" s="9" t="inlineStr">
        <is>
          <t>62</t>
        </is>
      </c>
      <c r="K105" s="14" t="inlineStr">
        <is>
          <t>Factura directa</t>
        </is>
      </c>
      <c r="L105" s="9" t="inlineStr">
        <is>
          <t>Es factura directa (sin albarán)</t>
        </is>
      </c>
    </row>
    <row r="106" ht="15" customHeight="1">
      <c r="A106" s="9" t="inlineStr">
        <is>
          <t>Scanned-image05-10-2026-121251.pdf</t>
        </is>
      </c>
      <c r="B106" s="9" t="n">
        <v>35</v>
      </c>
      <c r="C106" s="9" t="inlineStr">
        <is>
          <t>ROMERO ALVAREZ</t>
        </is>
      </c>
      <c r="D106" s="12" t="inlineStr">
        <is>
          <t>SEC 518</t>
        </is>
      </c>
      <c r="E106" s="9" t="inlineStr">
        <is>
          <t>07/09</t>
        </is>
      </c>
      <c r="F106" s="9" t="inlineStr">
        <is>
          <t>LA MINA DE CHAMARTÍN</t>
        </is>
      </c>
      <c r="G106" s="9" t="inlineStr">
        <is>
          <t>SÍ</t>
        </is>
      </c>
      <c r="H106" s="13" t="n">
        <v>438.19</v>
      </c>
      <c r="I106" s="9" t="inlineStr">
        <is>
          <t>OK CON INCIDENCIA</t>
        </is>
      </c>
      <c r="J106" s="9" t="inlineStr">
        <is>
          <t>67</t>
        </is>
      </c>
      <c r="K106" s="14" t="inlineStr">
        <is>
          <t>Nota manuscrita</t>
        </is>
      </c>
      <c r="L106" s="9" t="n"/>
    </row>
    <row r="107" ht="15" customHeight="1">
      <c r="A107" s="9" t="inlineStr">
        <is>
          <t>Scanned-image05-10-2026-121251.pdf</t>
        </is>
      </c>
      <c r="B107" s="9" t="n">
        <v>36</v>
      </c>
      <c r="C107" s="9" t="inlineStr">
        <is>
          <t>CONS. Y SAL. JIMENEZ</t>
        </is>
      </c>
      <c r="D107" s="12" t="inlineStr">
        <is>
          <t>26A01109</t>
        </is>
      </c>
      <c r="E107" s="9" t="inlineStr">
        <is>
          <t>07/09</t>
        </is>
      </c>
      <c r="F107" s="9" t="inlineStr">
        <is>
          <t>LA MINA DE CHAMARTÍN</t>
        </is>
      </c>
      <c r="G107" s="9" t="inlineStr">
        <is>
          <t>SÍ</t>
        </is>
      </c>
      <c r="H107" s="13" t="n">
        <v>264.99</v>
      </c>
      <c r="I107" s="9" t="inlineStr">
        <is>
          <t>OK</t>
        </is>
      </c>
      <c r="J107" s="9" t="n"/>
      <c r="K107" s="14" t="n"/>
      <c r="L107" s="9" t="n"/>
    </row>
    <row r="108" ht="15" customHeight="1">
      <c r="A108" s="9" t="inlineStr">
        <is>
          <t>Scanned-image05-10-2026-121251.pdf</t>
        </is>
      </c>
      <c r="B108" s="9" t="n">
        <v>37</v>
      </c>
      <c r="C108" s="9" t="inlineStr">
        <is>
          <t>AGROFOOD</t>
        </is>
      </c>
      <c r="D108" s="12" t="inlineStr">
        <is>
          <t>M26/1036</t>
        </is>
      </c>
      <c r="E108" s="9" t="inlineStr">
        <is>
          <t>11/09</t>
        </is>
      </c>
      <c r="F108" s="9" t="inlineStr">
        <is>
          <t>LA MINA DE CHAMARTÍN</t>
        </is>
      </c>
      <c r="G108" s="9" t="inlineStr">
        <is>
          <t>SÍ</t>
        </is>
      </c>
      <c r="H108" s="13" t="n">
        <v>157.12</v>
      </c>
      <c r="I108" s="9" t="inlineStr">
        <is>
          <t>OK</t>
        </is>
      </c>
      <c r="J108" s="9" t="n"/>
      <c r="K108" s="14" t="n"/>
      <c r="L108" s="9" t="n"/>
    </row>
    <row r="109" ht="15" customHeight="1">
      <c r="A109" s="9" t="inlineStr">
        <is>
          <t>Scanned-image05-10-2026-121251.pdf</t>
        </is>
      </c>
      <c r="B109" s="9" t="n">
        <v>38</v>
      </c>
      <c r="C109" s="9" t="inlineStr">
        <is>
          <t>AGROFOOD</t>
        </is>
      </c>
      <c r="D109" s="12" t="inlineStr">
        <is>
          <t>M26/1032</t>
        </is>
      </c>
      <c r="E109" s="9" t="inlineStr">
        <is>
          <t>11/09</t>
        </is>
      </c>
      <c r="F109" s="9" t="inlineStr">
        <is>
          <t>LA MINA DE CHAMARTÍN</t>
        </is>
      </c>
      <c r="G109" s="9" t="inlineStr">
        <is>
          <t>SÍ</t>
        </is>
      </c>
      <c r="H109" s="13" t="n">
        <v>361.99</v>
      </c>
      <c r="I109" s="9" t="inlineStr">
        <is>
          <t>OK</t>
        </is>
      </c>
      <c r="J109" s="9" t="n"/>
      <c r="K109" s="14" t="n"/>
      <c r="L109" s="9" t="n"/>
    </row>
    <row r="110" ht="15" customHeight="1">
      <c r="A110" s="9" t="inlineStr">
        <is>
          <t>Scanned-image05-10-2026-121251.pdf</t>
        </is>
      </c>
      <c r="B110" s="9" t="n">
        <v>39</v>
      </c>
      <c r="C110" s="9" t="inlineStr">
        <is>
          <t>AGROFOOD</t>
        </is>
      </c>
      <c r="D110" s="12" t="inlineStr">
        <is>
          <t>M26/999</t>
        </is>
      </c>
      <c r="E110" s="9" t="inlineStr">
        <is>
          <t>07/09</t>
        </is>
      </c>
      <c r="F110" s="9" t="inlineStr">
        <is>
          <t>LA MINA DE CHAMARTÍN</t>
        </is>
      </c>
      <c r="G110" s="9" t="inlineStr">
        <is>
          <t>SÍ</t>
        </is>
      </c>
      <c r="H110" s="13" t="n">
        <v>788.54</v>
      </c>
      <c r="I110" s="9" t="inlineStr">
        <is>
          <t>OK</t>
        </is>
      </c>
      <c r="J110" s="9" t="n"/>
      <c r="K110" s="14" t="n"/>
      <c r="L110" s="9" t="n"/>
    </row>
    <row r="111" ht="15" customHeight="1">
      <c r="A111" s="9" t="inlineStr">
        <is>
          <t>Scanned-image05-10-2026-121251.pdf</t>
        </is>
      </c>
      <c r="B111" s="9" t="n">
        <v>40</v>
      </c>
      <c r="C111" s="9" t="inlineStr">
        <is>
          <t>MAGOASE</t>
        </is>
      </c>
      <c r="D111" s="12" t="inlineStr">
        <is>
          <t>23.003</t>
        </is>
      </c>
      <c r="E111" s="9" t="inlineStr">
        <is>
          <t>11/09</t>
        </is>
      </c>
      <c r="F111" s="9" t="inlineStr">
        <is>
          <t>LA MINA DE CHAMARTÍN</t>
        </is>
      </c>
      <c r="G111" s="9" t="inlineStr">
        <is>
          <t>SÍ</t>
        </is>
      </c>
      <c r="H111" s="13" t="n">
        <v>143.7</v>
      </c>
      <c r="I111" s="9" t="inlineStr">
        <is>
          <t>OK</t>
        </is>
      </c>
      <c r="J111" s="9" t="n"/>
      <c r="K111" s="14" t="n"/>
      <c r="L111" s="9" t="n"/>
    </row>
    <row r="112" ht="15" customHeight="1">
      <c r="A112" s="9" t="inlineStr">
        <is>
          <t>Scanned-image05-10-2026-121251.pdf</t>
        </is>
      </c>
      <c r="B112" s="9" t="n">
        <v>41</v>
      </c>
      <c r="C112" s="9" t="inlineStr">
        <is>
          <t>MAGOASE</t>
        </is>
      </c>
      <c r="D112" s="12" t="inlineStr">
        <is>
          <t>22.771</t>
        </is>
      </c>
      <c r="E112" s="9" t="inlineStr">
        <is>
          <t>08/09</t>
        </is>
      </c>
      <c r="F112" s="9" t="inlineStr">
        <is>
          <t>LA MINA DE CHAMARTÍN</t>
        </is>
      </c>
      <c r="G112" s="9" t="inlineStr">
        <is>
          <t>SÍ</t>
        </is>
      </c>
      <c r="H112" s="13" t="n">
        <v>143.7</v>
      </c>
      <c r="I112" s="9" t="inlineStr">
        <is>
          <t>OK</t>
        </is>
      </c>
      <c r="J112" s="9" t="n"/>
      <c r="K112" s="14" t="n"/>
      <c r="L112" s="9" t="n"/>
    </row>
    <row r="113" ht="15" customHeight="1">
      <c r="A113" s="9" t="inlineStr">
        <is>
          <t>Scanned-image05-10-2026-121251.pdf</t>
        </is>
      </c>
      <c r="B113" s="9" t="n">
        <v>42</v>
      </c>
      <c r="C113" s="9" t="inlineStr">
        <is>
          <t>MAGOASE</t>
        </is>
      </c>
      <c r="D113" s="12" t="inlineStr">
        <is>
          <t>22.448</t>
        </is>
      </c>
      <c r="E113" s="9" t="inlineStr">
        <is>
          <t>06/09</t>
        </is>
      </c>
      <c r="F113" s="9" t="inlineStr">
        <is>
          <t>LA MINA DE CHAMARTÍN</t>
        </is>
      </c>
      <c r="G113" s="9" t="inlineStr">
        <is>
          <t>SÍ</t>
        </is>
      </c>
      <c r="H113" s="13" t="n">
        <v>236.05</v>
      </c>
      <c r="I113" s="9" t="inlineStr">
        <is>
          <t>OK</t>
        </is>
      </c>
      <c r="J113" s="9" t="n"/>
      <c r="K113" s="14" t="n"/>
      <c r="L113" s="9" t="n"/>
    </row>
    <row r="114" ht="15" customHeight="1">
      <c r="A114" s="9" t="inlineStr">
        <is>
          <t>Scanned-image05-10-2026-121251.pdf</t>
        </is>
      </c>
      <c r="B114" s="9" t="n">
        <v>43</v>
      </c>
      <c r="C114" s="9" t="inlineStr">
        <is>
          <t>PATATAS YAGO</t>
        </is>
      </c>
      <c r="D114" s="12" t="inlineStr">
        <is>
          <t>835</t>
        </is>
      </c>
      <c r="E114" s="9" t="inlineStr">
        <is>
          <t>12/09</t>
        </is>
      </c>
      <c r="F114" s="9" t="inlineStr">
        <is>
          <t>LA MINA DE CHAMARTÍN</t>
        </is>
      </c>
      <c r="G114" s="9" t="inlineStr">
        <is>
          <t>SÍ</t>
        </is>
      </c>
      <c r="H114" s="13" t="n">
        <v>22</v>
      </c>
      <c r="I114" s="9" t="inlineStr">
        <is>
          <t>OK</t>
        </is>
      </c>
      <c r="J114" s="9" t="n"/>
      <c r="K114" s="14" t="n"/>
      <c r="L114" s="9" t="n"/>
    </row>
    <row r="115" ht="15" customHeight="1">
      <c r="A115" s="9" t="inlineStr">
        <is>
          <t>Scanned-image05-10-2026-121251.pdf</t>
        </is>
      </c>
      <c r="B115" s="9" t="n">
        <v>44</v>
      </c>
      <c r="C115" s="9" t="inlineStr">
        <is>
          <t>PATATAS YAGO</t>
        </is>
      </c>
      <c r="D115" s="12" t="inlineStr">
        <is>
          <t>824</t>
        </is>
      </c>
      <c r="E115" s="9" t="inlineStr">
        <is>
          <t>11/09</t>
        </is>
      </c>
      <c r="F115" s="9" t="inlineStr">
        <is>
          <t>LA MINA DE CHAMARTÍN</t>
        </is>
      </c>
      <c r="G115" s="9" t="inlineStr">
        <is>
          <t>SÍ</t>
        </is>
      </c>
      <c r="H115" s="13" t="n">
        <v>44</v>
      </c>
      <c r="I115" s="9" t="inlineStr">
        <is>
          <t>OK</t>
        </is>
      </c>
      <c r="J115" s="9" t="n"/>
      <c r="K115" s="14" t="n"/>
      <c r="L115" s="9" t="n"/>
    </row>
    <row r="116" ht="15" customHeight="1">
      <c r="A116" s="9" t="inlineStr">
        <is>
          <t>Scanned-image05-10-2026-121251.pdf</t>
        </is>
      </c>
      <c r="B116" s="9" t="n">
        <v>45</v>
      </c>
      <c r="C116" s="9" t="inlineStr">
        <is>
          <t>PATATAS YAGO</t>
        </is>
      </c>
      <c r="D116" s="12" t="inlineStr">
        <is>
          <t>801</t>
        </is>
      </c>
      <c r="E116" s="9" t="inlineStr">
        <is>
          <t>08/09</t>
        </is>
      </c>
      <c r="F116" s="9" t="inlineStr">
        <is>
          <t>LA MINA DE CHAMARTÍN</t>
        </is>
      </c>
      <c r="G116" s="9" t="inlineStr">
        <is>
          <t>SÍ</t>
        </is>
      </c>
      <c r="H116" s="13" t="n">
        <v>45.25</v>
      </c>
      <c r="I116" s="9" t="inlineStr">
        <is>
          <t>OK</t>
        </is>
      </c>
      <c r="J116" s="9" t="n"/>
      <c r="K116" s="14" t="n"/>
      <c r="L116" s="9" t="n"/>
    </row>
    <row r="117" ht="15" customHeight="1">
      <c r="A117" s="9" t="inlineStr">
        <is>
          <t>Scanned-image05-10-2026-121251.pdf</t>
        </is>
      </c>
      <c r="B117" s="9" t="n">
        <v>46</v>
      </c>
      <c r="C117" s="9" t="inlineStr">
        <is>
          <t>DELIPAN</t>
        </is>
      </c>
      <c r="D117" s="12" t="inlineStr">
        <is>
          <t>A2/10.905</t>
        </is>
      </c>
      <c r="E117" s="9" t="inlineStr">
        <is>
          <t>11/09</t>
        </is>
      </c>
      <c r="F117" s="9" t="inlineStr">
        <is>
          <t>LA MINA DE CHAMARTÍN</t>
        </is>
      </c>
      <c r="G117" s="9" t="inlineStr">
        <is>
          <t>SÍ</t>
        </is>
      </c>
      <c r="H117" s="13" t="n">
        <v>22.96</v>
      </c>
      <c r="I117" s="9" t="inlineStr">
        <is>
          <t>OK</t>
        </is>
      </c>
      <c r="J117" s="9" t="n"/>
      <c r="K117" s="14" t="n"/>
      <c r="L117" s="9" t="n"/>
    </row>
    <row r="118" ht="15" customHeight="1">
      <c r="A118" s="9" t="inlineStr">
        <is>
          <t>Scanned-image05-10-2026-121251.pdf</t>
        </is>
      </c>
      <c r="B118" s="9" t="n">
        <v>47</v>
      </c>
      <c r="C118" s="9" t="inlineStr">
        <is>
          <t>DELIPAN</t>
        </is>
      </c>
      <c r="D118" s="12" t="inlineStr">
        <is>
          <t>A2/10.679</t>
        </is>
      </c>
      <c r="E118" s="9" t="inlineStr">
        <is>
          <t>08/09</t>
        </is>
      </c>
      <c r="F118" s="9" t="inlineStr">
        <is>
          <t>LA MINA DE CHAMARTÍN</t>
        </is>
      </c>
      <c r="G118" s="9" t="inlineStr">
        <is>
          <t>SÍ</t>
        </is>
      </c>
      <c r="H118" s="13" t="n">
        <v>123.55</v>
      </c>
      <c r="I118" s="9" t="inlineStr">
        <is>
          <t>OK</t>
        </is>
      </c>
      <c r="J118" s="9" t="n"/>
      <c r="K118" s="14" t="n"/>
      <c r="L118" s="9" t="n"/>
    </row>
    <row r="119" ht="15" customHeight="1">
      <c r="A119" s="9" t="inlineStr">
        <is>
          <t>Scanned-image05-10-2026-121251.pdf</t>
        </is>
      </c>
      <c r="B119" s="9" t="n">
        <v>48</v>
      </c>
      <c r="C119" s="9" t="inlineStr">
        <is>
          <t>JOSE ROMERO PLAZA</t>
        </is>
      </c>
      <c r="D119" s="12" t="inlineStr">
        <is>
          <t>166</t>
        </is>
      </c>
      <c r="E119" s="9" t="inlineStr">
        <is>
          <t>12/09</t>
        </is>
      </c>
      <c r="F119" s="9" t="inlineStr">
        <is>
          <t>LA MINA DE CHAMARTÍN</t>
        </is>
      </c>
      <c r="G119" s="9" t="inlineStr">
        <is>
          <t>SÍ</t>
        </is>
      </c>
      <c r="H119" s="13" t="n">
        <v>48</v>
      </c>
      <c r="I119" s="9" t="inlineStr">
        <is>
          <t>OK</t>
        </is>
      </c>
      <c r="J119" s="9" t="n"/>
      <c r="K119" s="14" t="n"/>
      <c r="L119" s="9" t="n"/>
    </row>
    <row r="120" ht="15" customHeight="1">
      <c r="A120" s="9" t="inlineStr">
        <is>
          <t>Scanned-image05-10-2026-121251.pdf</t>
        </is>
      </c>
      <c r="B120" s="9" t="n">
        <v>49</v>
      </c>
      <c r="C120" s="9" t="inlineStr">
        <is>
          <t>JOSE ROMERO PLAZA</t>
        </is>
      </c>
      <c r="D120" s="12" t="inlineStr">
        <is>
          <t>164</t>
        </is>
      </c>
      <c r="E120" s="9" t="inlineStr">
        <is>
          <t>11/09</t>
        </is>
      </c>
      <c r="F120" s="9" t="inlineStr">
        <is>
          <t>LA MINA DE CHAMARTÍN</t>
        </is>
      </c>
      <c r="G120" s="9" t="inlineStr">
        <is>
          <t>SÍ</t>
        </is>
      </c>
      <c r="H120" s="13" t="n">
        <v>25</v>
      </c>
      <c r="I120" s="9" t="inlineStr">
        <is>
          <t>OK</t>
        </is>
      </c>
      <c r="J120" s="9" t="n"/>
      <c r="K120" s="14" t="n"/>
      <c r="L120" s="9" t="n"/>
    </row>
    <row r="121" ht="15" customHeight="1">
      <c r="A121" s="9" t="inlineStr">
        <is>
          <t>Scanned-image05-10-2026-121251.pdf</t>
        </is>
      </c>
      <c r="B121" s="9" t="n">
        <v>50</v>
      </c>
      <c r="C121" s="9" t="inlineStr">
        <is>
          <t>JOSE ROMERO PLAZA</t>
        </is>
      </c>
      <c r="D121" s="12" t="inlineStr">
        <is>
          <t>162</t>
        </is>
      </c>
      <c r="E121" s="9" t="inlineStr">
        <is>
          <t>09/09</t>
        </is>
      </c>
      <c r="F121" s="9" t="inlineStr">
        <is>
          <t>LA MINA DE CHAMARTÍN</t>
        </is>
      </c>
      <c r="G121" s="9" t="inlineStr">
        <is>
          <t>SÍ</t>
        </is>
      </c>
      <c r="H121" s="13" t="n">
        <v>38</v>
      </c>
      <c r="I121" s="9" t="inlineStr">
        <is>
          <t>OK</t>
        </is>
      </c>
      <c r="J121" s="9" t="n"/>
      <c r="K121" s="14" t="n"/>
      <c r="L121" s="9" t="n"/>
    </row>
    <row r="122" ht="15" customHeight="1">
      <c r="A122" s="9" t="inlineStr">
        <is>
          <t>Scanned-image05-10-2026-121251.pdf</t>
        </is>
      </c>
      <c r="B122" s="9" t="n">
        <v>51</v>
      </c>
      <c r="C122" s="9" t="inlineStr">
        <is>
          <t>LEIKAN MEAT</t>
        </is>
      </c>
      <c r="D122" s="12" t="inlineStr">
        <is>
          <t>010921</t>
        </is>
      </c>
      <c r="E122" s="9" t="inlineStr">
        <is>
          <t>08/09</t>
        </is>
      </c>
      <c r="F122" s="9" t="inlineStr">
        <is>
          <t>LA MINA DE CHAMARTÍN</t>
        </is>
      </c>
      <c r="G122" s="9" t="inlineStr">
        <is>
          <t>NO</t>
        </is>
      </c>
      <c r="H122" s="13" t="n"/>
      <c r="I122" s="9" t="inlineStr">
        <is>
          <t>NO INCLUIDO (revisar)</t>
        </is>
      </c>
      <c r="J122" s="9" t="inlineStr">
        <is>
          <t>58</t>
        </is>
      </c>
      <c r="K122" s="14" t="inlineStr">
        <is>
          <t>Sin valorar</t>
        </is>
      </c>
      <c r="L122" s="9" t="inlineStr">
        <is>
          <t>Albarán sin precios ni total (proveedor nuevo, Leikan Meat S.L.): entrecotte vaca madurada 0,870 kg y entrecotte añojo hembra 0,780 kg. Parece una muestra.</t>
        </is>
      </c>
    </row>
    <row r="123" ht="15" customHeight="1">
      <c r="A123" s="9" t="inlineStr">
        <is>
          <t>Scanned-image05-10-2026-121251.pdf</t>
        </is>
      </c>
      <c r="B123" s="9" t="n">
        <v>52</v>
      </c>
      <c r="C123" s="9" t="inlineStr">
        <is>
          <t>MAKRO</t>
        </is>
      </c>
      <c r="D123" s="12" t="inlineStr">
        <is>
          <t>9-235500908</t>
        </is>
      </c>
      <c r="E123" s="9" t="inlineStr">
        <is>
          <t>12/09</t>
        </is>
      </c>
      <c r="F123" s="9" t="inlineStr">
        <is>
          <t>LA MINA DE CHAMARTÍN</t>
        </is>
      </c>
      <c r="G123" s="9" t="inlineStr">
        <is>
          <t>SÍ</t>
        </is>
      </c>
      <c r="H123" s="13" t="n">
        <v>255.88</v>
      </c>
      <c r="I123" s="9" t="inlineStr">
        <is>
          <t>OK CON INCIDENCIA</t>
        </is>
      </c>
      <c r="J123" s="9" t="inlineStr">
        <is>
          <t>55</t>
        </is>
      </c>
      <c r="K123" s="14" t="inlineStr">
        <is>
          <t>Pedido no entregado</t>
        </is>
      </c>
      <c r="L123" s="9" t="inlineStr">
        <is>
          <t>2 páginas. Es "factura de entrega" nº 0/0(031)0053/(2026)041232 del pedido 9-235500908 (hace de albarán)</t>
        </is>
      </c>
    </row>
    <row r="124" ht="15" customHeight="1">
      <c r="A124" s="9" t="inlineStr">
        <is>
          <t>Scanned-image05-10-2026-121251.pdf</t>
        </is>
      </c>
      <c r="B124" s="9" t="n">
        <v>53</v>
      </c>
      <c r="C124" s="9" t="inlineStr">
        <is>
          <t>MAKRO</t>
        </is>
      </c>
      <c r="D124" s="12" t="inlineStr">
        <is>
          <t>9-235500908</t>
        </is>
      </c>
      <c r="E124" s="9" t="inlineStr">
        <is>
          <t>12/09</t>
        </is>
      </c>
      <c r="F124" s="9" t="inlineStr">
        <is>
          <t>LA MINA DE CHAMARTÍN</t>
        </is>
      </c>
      <c r="G124" s="9" t="inlineStr">
        <is>
          <t>SÍ</t>
        </is>
      </c>
      <c r="H124" s="13" t="n"/>
      <c r="I124" s="9" t="inlineStr">
        <is>
          <t>OK (2ª página)</t>
        </is>
      </c>
      <c r="J124" s="9" t="n"/>
      <c r="K124" s="14" t="n"/>
      <c r="L124" s="9" t="inlineStr">
        <is>
          <t>Segunda página del albarán 9-235500908 (ya contado en la página 52).</t>
        </is>
      </c>
    </row>
    <row r="125" ht="15" customHeight="1">
      <c r="A125" s="9" t="inlineStr">
        <is>
          <t>Scanned-image05-10-2026-121251.pdf</t>
        </is>
      </c>
      <c r="B125" s="9" t="n">
        <v>54</v>
      </c>
      <c r="C125" s="9" t="inlineStr">
        <is>
          <t>MAKRO</t>
        </is>
      </c>
      <c r="D125" s="12" t="inlineStr">
        <is>
          <t>9-234736134</t>
        </is>
      </c>
      <c r="E125" s="9" t="inlineStr">
        <is>
          <t>09/09</t>
        </is>
      </c>
      <c r="F125" s="9" t="inlineStr">
        <is>
          <t>LA MINA DE CHAMARTÍN</t>
        </is>
      </c>
      <c r="G125" s="9" t="inlineStr">
        <is>
          <t>SÍ</t>
        </is>
      </c>
      <c r="H125" s="13" t="n">
        <v>91.65000000000001</v>
      </c>
      <c r="I125" s="9" t="inlineStr">
        <is>
          <t>OK</t>
        </is>
      </c>
      <c r="J125" s="9" t="n"/>
      <c r="K125" s="14" t="n"/>
      <c r="L125" s="9" t="inlineStr">
        <is>
          <t>2 páginas</t>
        </is>
      </c>
    </row>
    <row r="126" ht="15" customHeight="1">
      <c r="A126" s="9" t="inlineStr">
        <is>
          <t>Scanned-image05-10-2026-121251.pdf</t>
        </is>
      </c>
      <c r="B126" s="9" t="n">
        <v>55</v>
      </c>
      <c r="C126" s="9" t="inlineStr">
        <is>
          <t>MAKRO</t>
        </is>
      </c>
      <c r="D126" s="12" t="inlineStr">
        <is>
          <t>9-234736134</t>
        </is>
      </c>
      <c r="E126" s="9" t="inlineStr">
        <is>
          <t>09/09</t>
        </is>
      </c>
      <c r="F126" s="9" t="inlineStr">
        <is>
          <t>LA MINA DE CHAMARTÍN</t>
        </is>
      </c>
      <c r="G126" s="9" t="inlineStr">
        <is>
          <t>SÍ</t>
        </is>
      </c>
      <c r="H126" s="13" t="n"/>
      <c r="I126" s="9" t="inlineStr">
        <is>
          <t>OK (2ª página)</t>
        </is>
      </c>
      <c r="J126" s="9" t="n"/>
      <c r="K126" s="14" t="n"/>
      <c r="L126" s="9" t="inlineStr">
        <is>
          <t>Segunda página del albarán 9-234736134 (ya contado en la página 54).</t>
        </is>
      </c>
    </row>
    <row r="127" ht="15" customHeight="1">
      <c r="A127" s="9" t="inlineStr">
        <is>
          <t>Scanned-image05-10-2026-121251.pdf</t>
        </is>
      </c>
      <c r="B127" s="9" t="n">
        <v>56</v>
      </c>
      <c r="C127" s="9" t="inlineStr">
        <is>
          <t>MAKRO</t>
        </is>
      </c>
      <c r="D127" s="12" t="inlineStr">
        <is>
          <t>9-234559144</t>
        </is>
      </c>
      <c r="E127" s="9" t="inlineStr">
        <is>
          <t>07/09</t>
        </is>
      </c>
      <c r="F127" s="9" t="inlineStr">
        <is>
          <t>LA MINA DE CHAMARTÍN</t>
        </is>
      </c>
      <c r="G127" s="9" t="inlineStr">
        <is>
          <t>SÍ</t>
        </is>
      </c>
      <c r="H127" s="13" t="n">
        <v>291.49</v>
      </c>
      <c r="I127" s="9" t="inlineStr">
        <is>
          <t>OK CON INCIDENCIA</t>
        </is>
      </c>
      <c r="J127" s="9" t="inlineStr">
        <is>
          <t>55</t>
        </is>
      </c>
      <c r="K127" s="14" t="inlineStr">
        <is>
          <t>Pedido no entregado</t>
        </is>
      </c>
      <c r="L127" s="9" t="inlineStr">
        <is>
          <t>2 páginas. Pollo pechuga VC (95730, 5,7 kg) pedido y no entregado</t>
        </is>
      </c>
    </row>
    <row r="128" ht="15" customHeight="1">
      <c r="A128" s="9" t="inlineStr">
        <is>
          <t>Scanned-image05-10-2026-121251.pdf</t>
        </is>
      </c>
      <c r="B128" s="9" t="n">
        <v>57</v>
      </c>
      <c r="C128" s="9" t="inlineStr">
        <is>
          <t>MAKRO</t>
        </is>
      </c>
      <c r="D128" s="12" t="inlineStr">
        <is>
          <t>9-234559144</t>
        </is>
      </c>
      <c r="E128" s="9" t="inlineStr">
        <is>
          <t>07/09</t>
        </is>
      </c>
      <c r="F128" s="9" t="inlineStr">
        <is>
          <t>LA MINA DE CHAMARTÍN</t>
        </is>
      </c>
      <c r="G128" s="9" t="inlineStr">
        <is>
          <t>SÍ</t>
        </is>
      </c>
      <c r="H128" s="13" t="n"/>
      <c r="I128" s="9" t="inlineStr">
        <is>
          <t>OK (2ª página)</t>
        </is>
      </c>
      <c r="J128" s="9" t="n"/>
      <c r="K128" s="14" t="n"/>
      <c r="L128" s="9" t="inlineStr">
        <is>
          <t>Segunda página del albarán 9-234559144 (ya contado en la página 56).</t>
        </is>
      </c>
    </row>
    <row r="129" ht="15" customHeight="1">
      <c r="A129" s="9" t="inlineStr">
        <is>
          <t>Scanned-image05-10-2026-121251.pdf</t>
        </is>
      </c>
      <c r="B129" s="9" t="n">
        <v>58</v>
      </c>
      <c r="C129" s="9" t="inlineStr">
        <is>
          <t>CONS. Y SAL. JIMENEZ</t>
        </is>
      </c>
      <c r="D129" s="12" t="inlineStr">
        <is>
          <t>26A01087</t>
        </is>
      </c>
      <c r="E129" s="9" t="inlineStr">
        <is>
          <t>03/09</t>
        </is>
      </c>
      <c r="F129" s="9" t="inlineStr">
        <is>
          <t>LA MINA DE CHAMARTÍN</t>
        </is>
      </c>
      <c r="G129" s="9" t="inlineStr">
        <is>
          <t>SÍ</t>
        </is>
      </c>
      <c r="H129" s="13" t="n">
        <v>587.22</v>
      </c>
      <c r="I129" s="9" t="inlineStr">
        <is>
          <t>OK</t>
        </is>
      </c>
      <c r="J129" s="9" t="n"/>
      <c r="K129" s="14" t="n"/>
      <c r="L129" s="9" t="n"/>
    </row>
    <row r="130" ht="15" customHeight="1">
      <c r="A130" s="9" t="inlineStr">
        <is>
          <t>Scanned-image05-10-2026-121251.pdf</t>
        </is>
      </c>
      <c r="B130" s="9" t="n">
        <v>59</v>
      </c>
      <c r="C130" s="9" t="inlineStr">
        <is>
          <t>FCO JAVIER LABRADOR</t>
        </is>
      </c>
      <c r="D130" s="12" t="inlineStr">
        <is>
          <t>01-09/26</t>
        </is>
      </c>
      <c r="E130" s="9" t="inlineStr">
        <is>
          <t>04/09</t>
        </is>
      </c>
      <c r="F130" s="9" t="inlineStr">
        <is>
          <t>LA MINA DE CHAMARTÍN</t>
        </is>
      </c>
      <c r="G130" s="9" t="inlineStr">
        <is>
          <t>SÍ</t>
        </is>
      </c>
      <c r="H130" s="13" t="n">
        <v>91.59999999999999</v>
      </c>
      <c r="I130" s="9" t="inlineStr">
        <is>
          <t>OK</t>
        </is>
      </c>
      <c r="J130" s="9" t="n"/>
      <c r="K130" s="14" t="n"/>
      <c r="L130" s="9" t="n"/>
    </row>
    <row r="131" ht="15" customHeight="1">
      <c r="A131" s="9" t="inlineStr">
        <is>
          <t>Scanned-image05-10-2026-121251.pdf</t>
        </is>
      </c>
      <c r="B131" s="9" t="n">
        <v>60</v>
      </c>
      <c r="C131" s="9" t="inlineStr">
        <is>
          <t>CARNICAS MEAT</t>
        </is>
      </c>
      <c r="D131" s="12" t="inlineStr">
        <is>
          <t>A1/234</t>
        </is>
      </c>
      <c r="E131" s="9" t="inlineStr">
        <is>
          <t>05/09</t>
        </is>
      </c>
      <c r="F131" s="9" t="inlineStr">
        <is>
          <t>LA MINA DE CHAMARTÍN</t>
        </is>
      </c>
      <c r="G131" s="9" t="inlineStr">
        <is>
          <t>SÍ</t>
        </is>
      </c>
      <c r="H131" s="13" t="n">
        <v>186.2</v>
      </c>
      <c r="I131" s="9" t="inlineStr">
        <is>
          <t>OK</t>
        </is>
      </c>
      <c r="J131" s="9" t="n"/>
      <c r="K131" s="14" t="n"/>
      <c r="L131" s="9" t="n"/>
    </row>
    <row r="132" ht="15" customHeight="1">
      <c r="A132" s="9" t="inlineStr">
        <is>
          <t>Scanned-image05-10-2026-121251.pdf</t>
        </is>
      </c>
      <c r="B132" s="9" t="n">
        <v>61</v>
      </c>
      <c r="C132" s="9" t="inlineStr">
        <is>
          <t>CONS. SELEC. SANTO</t>
        </is>
      </c>
      <c r="D132" s="12" t="inlineStr">
        <is>
          <t>5869</t>
        </is>
      </c>
      <c r="E132" s="9" t="inlineStr">
        <is>
          <t>02/09</t>
        </is>
      </c>
      <c r="F132" s="9" t="inlineStr">
        <is>
          <t>LA MINA DE CHAMARTÍN</t>
        </is>
      </c>
      <c r="G132" s="9" t="inlineStr">
        <is>
          <t>SÍ</t>
        </is>
      </c>
      <c r="H132" s="13" t="n">
        <v>385.56</v>
      </c>
      <c r="I132" s="9" t="inlineStr">
        <is>
          <t>OK</t>
        </is>
      </c>
      <c r="J132" s="9" t="n"/>
      <c r="K132" s="14" t="n"/>
      <c r="L132" s="9" t="n"/>
    </row>
    <row r="133" ht="15" customHeight="1">
      <c r="A133" s="9" t="inlineStr">
        <is>
          <t>Scanned-image05-10-2026-121251.pdf</t>
        </is>
      </c>
      <c r="B133" s="9" t="n">
        <v>62</v>
      </c>
      <c r="C133" s="9" t="inlineStr">
        <is>
          <t>VENERO CLARO</t>
        </is>
      </c>
      <c r="D133" s="12" t="inlineStr">
        <is>
          <t>26VC-2005</t>
        </is>
      </c>
      <c r="E133" s="9" t="inlineStr">
        <is>
          <t>01/09</t>
        </is>
      </c>
      <c r="F133" s="9" t="inlineStr">
        <is>
          <t>LA MINA DE CHAMARTÍN</t>
        </is>
      </c>
      <c r="G133" s="9" t="inlineStr">
        <is>
          <t>SÍ</t>
        </is>
      </c>
      <c r="H133" s="13" t="n">
        <v>287.3</v>
      </c>
      <c r="I133" s="9" t="inlineStr">
        <is>
          <t>OK</t>
        </is>
      </c>
      <c r="J133" s="9" t="n"/>
      <c r="K133" s="14" t="n"/>
      <c r="L133" s="9" t="n"/>
    </row>
    <row r="134" ht="15" customHeight="1">
      <c r="A134" s="9" t="inlineStr">
        <is>
          <t>Scanned-image05-10-2026-121251.pdf</t>
        </is>
      </c>
      <c r="B134" s="9" t="n">
        <v>63</v>
      </c>
      <c r="C134" s="9" t="inlineStr">
        <is>
          <t>CRUSTAPESCA</t>
        </is>
      </c>
      <c r="D134" s="12" t="inlineStr">
        <is>
          <t>5091</t>
        </is>
      </c>
      <c r="E134" s="9" t="inlineStr">
        <is>
          <t>05/09</t>
        </is>
      </c>
      <c r="F134" s="9" t="inlineStr">
        <is>
          <t>LA MINA DE CHAMARTÍN</t>
        </is>
      </c>
      <c r="G134" s="9" t="inlineStr">
        <is>
          <t>SÍ</t>
        </is>
      </c>
      <c r="H134" s="13" t="n">
        <v>156</v>
      </c>
      <c r="I134" s="9" t="inlineStr">
        <is>
          <t>OK</t>
        </is>
      </c>
      <c r="J134" s="9" t="n"/>
      <c r="K134" s="14" t="n"/>
      <c r="L134" s="9" t="n"/>
    </row>
    <row r="135" ht="15" customHeight="1">
      <c r="A135" s="9" t="inlineStr">
        <is>
          <t>Scanned-image05-10-2026-121251.pdf</t>
        </is>
      </c>
      <c r="B135" s="9" t="n">
        <v>64</v>
      </c>
      <c r="C135" s="9" t="inlineStr">
        <is>
          <t>CRUSTAPESCA</t>
        </is>
      </c>
      <c r="D135" s="12" t="inlineStr">
        <is>
          <t>3091</t>
        </is>
      </c>
      <c r="E135" s="9" t="inlineStr">
        <is>
          <t>04/09</t>
        </is>
      </c>
      <c r="F135" s="9" t="inlineStr">
        <is>
          <t>LA MINA DE CHAMARTÍN</t>
        </is>
      </c>
      <c r="G135" s="9" t="inlineStr">
        <is>
          <t>SÍ</t>
        </is>
      </c>
      <c r="H135" s="13" t="n">
        <v>192.4</v>
      </c>
      <c r="I135" s="9" t="inlineStr">
        <is>
          <t>OK</t>
        </is>
      </c>
      <c r="J135" s="9" t="n"/>
      <c r="K135" s="14" t="n"/>
      <c r="L135" s="9" t="inlineStr">
        <is>
          <t>En la misma página hay otro albarán del 03/09 tapado por éste</t>
        </is>
      </c>
    </row>
    <row r="136" ht="15" customHeight="1">
      <c r="A136" s="9" t="inlineStr">
        <is>
          <t>Scanned-image05-10-2026-121251.pdf</t>
        </is>
      </c>
      <c r="B136" s="9" t="n">
        <v>64</v>
      </c>
      <c r="C136" s="9" t="inlineStr">
        <is>
          <t>CRUSTAPESCA</t>
        </is>
      </c>
      <c r="D136" s="12" t="inlineStr">
        <is>
          <t>s/n (03/09)</t>
        </is>
      </c>
      <c r="E136" s="9" t="inlineStr">
        <is>
          <t>03/09</t>
        </is>
      </c>
      <c r="F136" s="9" t="inlineStr">
        <is>
          <t>LA MINA DE CHAMARTÍN</t>
        </is>
      </c>
      <c r="G136" s="9" t="inlineStr">
        <is>
          <t>SÍ</t>
        </is>
      </c>
      <c r="H136" s="13" t="n">
        <v>153.6</v>
      </c>
      <c r="I136" s="9" t="inlineStr">
        <is>
          <t>OK CON INCIDENCIA</t>
        </is>
      </c>
      <c r="J136" s="9" t="inlineStr">
        <is>
          <t>42</t>
        </is>
      </c>
      <c r="K136" s="14" t="inlineStr">
        <is>
          <t>Albarán tapado en el escaneo</t>
        </is>
      </c>
      <c r="L136" s="9" t="inlineStr">
        <is>
          <t>Albarán del 03/09 escaneado debajo del 04/09; solo se ven fecha, importes (93,60 y 60,00), subtotal, IVA y total. No se ven nº, productos, kg ni precios</t>
        </is>
      </c>
    </row>
    <row r="137" ht="15" customHeight="1">
      <c r="A137" s="9" t="inlineStr">
        <is>
          <t>Scanned-image05-10-2026-121251.pdf</t>
        </is>
      </c>
      <c r="B137" s="9" t="n">
        <v>65</v>
      </c>
      <c r="C137" s="9" t="inlineStr">
        <is>
          <t>CRUSTAPESCA</t>
        </is>
      </c>
      <c r="D137" s="12" t="inlineStr">
        <is>
          <t>1094</t>
        </is>
      </c>
      <c r="E137" s="9" t="inlineStr">
        <is>
          <t>01/09</t>
        </is>
      </c>
      <c r="F137" s="9" t="inlineStr">
        <is>
          <t>LA MINA DE CHAMARTÍN</t>
        </is>
      </c>
      <c r="G137" s="9" t="inlineStr">
        <is>
          <t>SÍ</t>
        </is>
      </c>
      <c r="H137" s="13" t="n">
        <v>78</v>
      </c>
      <c r="I137" s="9" t="inlineStr">
        <is>
          <t>OK</t>
        </is>
      </c>
      <c r="J137" s="9" t="n"/>
      <c r="K137" s="14" t="n"/>
      <c r="L137" s="9" t="n"/>
    </row>
    <row r="138" ht="15" customHeight="1">
      <c r="A138" s="9" t="inlineStr">
        <is>
          <t>Scanned-image05-10-2026-121251.pdf</t>
        </is>
      </c>
      <c r="B138" s="9" t="n">
        <v>66</v>
      </c>
      <c r="C138" s="9" t="inlineStr">
        <is>
          <t>AGROFOOD</t>
        </is>
      </c>
      <c r="D138" s="12" t="inlineStr">
        <is>
          <t>M26/985</t>
        </is>
      </c>
      <c r="E138" s="9" t="inlineStr">
        <is>
          <t>03/09</t>
        </is>
      </c>
      <c r="F138" s="9" t="inlineStr">
        <is>
          <t>LA MINA DE CHAMARTÍN</t>
        </is>
      </c>
      <c r="G138" s="9" t="inlineStr">
        <is>
          <t>SÍ</t>
        </is>
      </c>
      <c r="H138" s="13" t="n">
        <v>610.88</v>
      </c>
      <c r="I138" s="9" t="inlineStr">
        <is>
          <t>OK</t>
        </is>
      </c>
      <c r="J138" s="9" t="n"/>
      <c r="K138" s="14" t="n"/>
      <c r="L138" s="9" t="n"/>
    </row>
    <row r="139" ht="15" customHeight="1">
      <c r="A139" s="9" t="inlineStr">
        <is>
          <t>Scanned-image05-10-2026-121251.pdf</t>
        </is>
      </c>
      <c r="B139" s="9" t="n">
        <v>67</v>
      </c>
      <c r="C139" s="9" t="inlineStr">
        <is>
          <t>AGROFOOD</t>
        </is>
      </c>
      <c r="D139" s="12" t="inlineStr">
        <is>
          <t>M26/967</t>
        </is>
      </c>
      <c r="E139" s="9" t="inlineStr">
        <is>
          <t>02/09</t>
        </is>
      </c>
      <c r="F139" s="9" t="inlineStr">
        <is>
          <t>LA MINA DE CHAMARTÍN</t>
        </is>
      </c>
      <c r="G139" s="9" t="inlineStr">
        <is>
          <t>SÍ</t>
        </is>
      </c>
      <c r="H139" s="13" t="n">
        <v>188.3</v>
      </c>
      <c r="I139" s="9" t="inlineStr">
        <is>
          <t>OK</t>
        </is>
      </c>
      <c r="J139" s="9" t="n"/>
      <c r="K139" s="14" t="n"/>
      <c r="L139" s="9" t="n"/>
    </row>
    <row r="140" ht="15" customHeight="1">
      <c r="A140" s="9" t="inlineStr">
        <is>
          <t>Scanned-image05-10-2026-121251.pdf</t>
        </is>
      </c>
      <c r="B140" s="9" t="n">
        <v>68</v>
      </c>
      <c r="C140" s="9" t="inlineStr">
        <is>
          <t>AGROFOOD</t>
        </is>
      </c>
      <c r="D140" s="12" t="inlineStr">
        <is>
          <t>M26/963</t>
        </is>
      </c>
      <c r="E140" s="9" t="inlineStr">
        <is>
          <t>01/09</t>
        </is>
      </c>
      <c r="F140" s="9" t="inlineStr">
        <is>
          <t>LA MINA DE CHAMARTÍN</t>
        </is>
      </c>
      <c r="G140" s="9" t="inlineStr">
        <is>
          <t>SÍ</t>
        </is>
      </c>
      <c r="H140" s="13" t="n">
        <v>178.65</v>
      </c>
      <c r="I140" s="9" t="inlineStr">
        <is>
          <t>OK CON INCIDENCIA</t>
        </is>
      </c>
      <c r="J140" s="9" t="inlineStr">
        <is>
          <t>67</t>
        </is>
      </c>
      <c r="K140" s="14" t="inlineStr">
        <is>
          <t>Nota manuscrita</t>
        </is>
      </c>
      <c r="L140" s="9" t="inlineStr">
        <is>
          <t>Nota manuscrita: "el pedido eran 40, traigo la mitad, mañana la otra mitad"</t>
        </is>
      </c>
    </row>
    <row r="141" ht="15" customHeight="1">
      <c r="A141" s="9" t="inlineStr">
        <is>
          <t>Scanned-image05-10-2026-121251.pdf</t>
        </is>
      </c>
      <c r="B141" s="9" t="n">
        <v>69</v>
      </c>
      <c r="C141" s="9" t="inlineStr">
        <is>
          <t>MAGOASE</t>
        </is>
      </c>
      <c r="D141" s="12" t="inlineStr">
        <is>
          <t>22.136</t>
        </is>
      </c>
      <c r="E141" s="9" t="inlineStr">
        <is>
          <t>02/09</t>
        </is>
      </c>
      <c r="F141" s="9" t="inlineStr">
        <is>
          <t>LA MINA DE CHAMARTÍN</t>
        </is>
      </c>
      <c r="G141" s="9" t="inlineStr">
        <is>
          <t>SÍ</t>
        </is>
      </c>
      <c r="H141" s="13" t="n">
        <v>188.65</v>
      </c>
      <c r="I141" s="9" t="inlineStr">
        <is>
          <t>OK</t>
        </is>
      </c>
      <c r="J141" s="9" t="n"/>
      <c r="K141" s="14" t="n"/>
      <c r="L141" s="9" t="n"/>
    </row>
    <row r="142" ht="15" customHeight="1">
      <c r="A142" s="9" t="inlineStr">
        <is>
          <t>Scanned-image05-10-2026-121251.pdf</t>
        </is>
      </c>
      <c r="B142" s="9" t="n">
        <v>70</v>
      </c>
      <c r="C142" s="9" t="inlineStr">
        <is>
          <t>MAGOASE</t>
        </is>
      </c>
      <c r="D142" s="12" t="inlineStr">
        <is>
          <t>21.875</t>
        </is>
      </c>
      <c r="E142" s="9" t="inlineStr">
        <is>
          <t>01/09</t>
        </is>
      </c>
      <c r="F142" s="9" t="inlineStr">
        <is>
          <t>LA MINA DE CHAMARTÍN</t>
        </is>
      </c>
      <c r="G142" s="9" t="inlineStr">
        <is>
          <t>SÍ</t>
        </is>
      </c>
      <c r="H142" s="13" t="n">
        <v>236.05</v>
      </c>
      <c r="I142" s="9" t="inlineStr">
        <is>
          <t>OK</t>
        </is>
      </c>
      <c r="J142" s="9" t="n"/>
      <c r="K142" s="14" t="n"/>
      <c r="L142" s="9" t="n"/>
    </row>
    <row r="143" ht="15" customHeight="1">
      <c r="A143" s="9" t="inlineStr">
        <is>
          <t>Scanned-image05-10-2026-121251.pdf</t>
        </is>
      </c>
      <c r="B143" s="9" t="n">
        <v>71</v>
      </c>
      <c r="C143" s="9" t="inlineStr">
        <is>
          <t>DELIPAN</t>
        </is>
      </c>
      <c r="D143" s="12" t="inlineStr">
        <is>
          <t>A2/10.551</t>
        </is>
      </c>
      <c r="E143" s="9" t="inlineStr">
        <is>
          <t>04/09</t>
        </is>
      </c>
      <c r="F143" s="9" t="inlineStr">
        <is>
          <t>LA MINA DE CHAMARTÍN</t>
        </is>
      </c>
      <c r="G143" s="9" t="inlineStr">
        <is>
          <t>SÍ</t>
        </is>
      </c>
      <c r="H143" s="13" t="n">
        <v>193.45</v>
      </c>
      <c r="I143" s="9" t="inlineStr">
        <is>
          <t>OK</t>
        </is>
      </c>
      <c r="J143" s="9" t="n"/>
      <c r="K143" s="14" t="n"/>
      <c r="L143" s="9" t="n"/>
    </row>
    <row r="144" ht="15" customHeight="1">
      <c r="A144" s="9" t="inlineStr">
        <is>
          <t>Scanned-image05-10-2026-121251.pdf</t>
        </is>
      </c>
      <c r="B144" s="9" t="n">
        <v>72</v>
      </c>
      <c r="C144" s="9" t="inlineStr">
        <is>
          <t>DELIPAN</t>
        </is>
      </c>
      <c r="D144" s="12" t="inlineStr">
        <is>
          <t>A2/10.367</t>
        </is>
      </c>
      <c r="E144" s="9" t="inlineStr">
        <is>
          <t>01/09</t>
        </is>
      </c>
      <c r="F144" s="9" t="inlineStr">
        <is>
          <t>LA MINA DE CHAMARTÍN</t>
        </is>
      </c>
      <c r="G144" s="9" t="inlineStr">
        <is>
          <t>SÍ</t>
        </is>
      </c>
      <c r="H144" s="13" t="n">
        <v>198.3</v>
      </c>
      <c r="I144" s="9" t="inlineStr">
        <is>
          <t>OK</t>
        </is>
      </c>
      <c r="J144" s="9" t="n"/>
      <c r="K144" s="14" t="n"/>
      <c r="L144" s="9" t="n"/>
    </row>
    <row r="145" ht="15" customHeight="1">
      <c r="A145" s="9" t="inlineStr">
        <is>
          <t>Scanned-image05-10-2026-121251.pdf</t>
        </is>
      </c>
      <c r="B145" s="9" t="n">
        <v>73</v>
      </c>
      <c r="C145" s="9" t="inlineStr">
        <is>
          <t>AGMASFOOD</t>
        </is>
      </c>
      <c r="D145" s="12" t="inlineStr">
        <is>
          <t>26 7432</t>
        </is>
      </c>
      <c r="E145" s="9" t="inlineStr">
        <is>
          <t>05/09</t>
        </is>
      </c>
      <c r="F145" s="9" t="inlineStr">
        <is>
          <t>LA MINA DE CHAMARTÍN</t>
        </is>
      </c>
      <c r="G145" s="9" t="inlineStr">
        <is>
          <t>SÍ</t>
        </is>
      </c>
      <c r="H145" s="13" t="n">
        <v>343</v>
      </c>
      <c r="I145" s="9" t="inlineStr">
        <is>
          <t>OK</t>
        </is>
      </c>
      <c r="J145" s="9" t="n"/>
      <c r="K145" s="14" t="n"/>
      <c r="L145" s="9" t="n"/>
    </row>
    <row r="146" ht="15" customHeight="1">
      <c r="A146" s="9" t="inlineStr">
        <is>
          <t>Scanned-image05-10-2026-121251.pdf</t>
        </is>
      </c>
      <c r="B146" s="9" t="n">
        <v>74</v>
      </c>
      <c r="C146" s="9" t="inlineStr">
        <is>
          <t>AGMASFOOD</t>
        </is>
      </c>
      <c r="D146" s="12" t="inlineStr">
        <is>
          <t>26 7364</t>
        </is>
      </c>
      <c r="E146" s="9" t="inlineStr">
        <is>
          <t>03/09</t>
        </is>
      </c>
      <c r="F146" s="9" t="inlineStr">
        <is>
          <t>LA MINA DE CHAMARTÍN</t>
        </is>
      </c>
      <c r="G146" s="9" t="inlineStr">
        <is>
          <t>SÍ</t>
        </is>
      </c>
      <c r="H146" s="13" t="n">
        <v>128.7</v>
      </c>
      <c r="I146" s="9" t="inlineStr">
        <is>
          <t>OK</t>
        </is>
      </c>
      <c r="J146" s="9" t="n"/>
      <c r="K146" s="14" t="n"/>
      <c r="L146" s="9" t="n"/>
    </row>
    <row r="147" ht="15" customHeight="1">
      <c r="A147" s="9" t="inlineStr">
        <is>
          <t>Scanned-image05-10-2026-121251.pdf</t>
        </is>
      </c>
      <c r="B147" s="9" t="n">
        <v>75</v>
      </c>
      <c r="C147" s="9" t="inlineStr">
        <is>
          <t>PATATAS YAGO</t>
        </is>
      </c>
      <c r="D147" s="12" t="inlineStr">
        <is>
          <t>784</t>
        </is>
      </c>
      <c r="E147" s="9" t="inlineStr">
        <is>
          <t>05/09</t>
        </is>
      </c>
      <c r="F147" s="9" t="inlineStr">
        <is>
          <t>LA MINA DE CHAMARTÍN</t>
        </is>
      </c>
      <c r="G147" s="9" t="inlineStr">
        <is>
          <t>SÍ</t>
        </is>
      </c>
      <c r="H147" s="13" t="n">
        <v>89.25</v>
      </c>
      <c r="I147" s="9" t="inlineStr">
        <is>
          <t>OK</t>
        </is>
      </c>
      <c r="J147" s="9" t="n"/>
      <c r="K147" s="14" t="n"/>
      <c r="L147" s="9" t="n"/>
    </row>
    <row r="148" ht="15" customHeight="1">
      <c r="A148" s="9" t="inlineStr">
        <is>
          <t>Scanned-image05-10-2026-121251.pdf</t>
        </is>
      </c>
      <c r="B148" s="9" t="n">
        <v>76</v>
      </c>
      <c r="C148" s="9" t="inlineStr">
        <is>
          <t>PATATAS YAGO</t>
        </is>
      </c>
      <c r="D148" s="12" t="inlineStr">
        <is>
          <t>767</t>
        </is>
      </c>
      <c r="E148" s="9" t="inlineStr">
        <is>
          <t>03/09</t>
        </is>
      </c>
      <c r="F148" s="9" t="inlineStr">
        <is>
          <t>LA MINA DE CHAMARTÍN</t>
        </is>
      </c>
      <c r="G148" s="9" t="inlineStr">
        <is>
          <t>SÍ</t>
        </is>
      </c>
      <c r="H148" s="13" t="n">
        <v>67.25</v>
      </c>
      <c r="I148" s="9" t="inlineStr">
        <is>
          <t>OK</t>
        </is>
      </c>
      <c r="J148" s="9" t="n"/>
      <c r="K148" s="14" t="n"/>
      <c r="L148" s="9" t="n"/>
    </row>
    <row r="149" ht="15" customHeight="1">
      <c r="A149" s="9" t="inlineStr">
        <is>
          <t>Scanned-image05-10-2026-121251.pdf</t>
        </is>
      </c>
      <c r="B149" s="9" t="n">
        <v>77</v>
      </c>
      <c r="C149" s="9" t="inlineStr">
        <is>
          <t>MAKRO</t>
        </is>
      </c>
      <c r="D149" s="12" t="inlineStr">
        <is>
          <t>9-233672884</t>
        </is>
      </c>
      <c r="E149" s="9" t="inlineStr">
        <is>
          <t>03/09</t>
        </is>
      </c>
      <c r="F149" s="9" t="inlineStr">
        <is>
          <t>LA MINA DE CHAMARTÍN</t>
        </is>
      </c>
      <c r="G149" s="9" t="inlineStr">
        <is>
          <t>SÍ</t>
        </is>
      </c>
      <c r="H149" s="13" t="n">
        <v>216.26</v>
      </c>
      <c r="I149" s="9" t="inlineStr">
        <is>
          <t>OK</t>
        </is>
      </c>
      <c r="J149" s="9" t="n"/>
      <c r="K149" s="14" t="n"/>
      <c r="L149" s="9" t="inlineStr">
        <is>
          <t>2 páginas</t>
        </is>
      </c>
    </row>
    <row r="150" ht="15" customHeight="1">
      <c r="A150" s="9" t="inlineStr">
        <is>
          <t>Scanned-image05-10-2026-121251.pdf</t>
        </is>
      </c>
      <c r="B150" s="9" t="n">
        <v>78</v>
      </c>
      <c r="C150" s="9" t="inlineStr">
        <is>
          <t>MAKRO</t>
        </is>
      </c>
      <c r="D150" s="12" t="inlineStr">
        <is>
          <t>9-233672884</t>
        </is>
      </c>
      <c r="E150" s="9" t="inlineStr">
        <is>
          <t>03/09</t>
        </is>
      </c>
      <c r="F150" s="9" t="inlineStr">
        <is>
          <t>LA MINA DE CHAMARTÍN</t>
        </is>
      </c>
      <c r="G150" s="9" t="inlineStr">
        <is>
          <t>SÍ</t>
        </is>
      </c>
      <c r="H150" s="13" t="n"/>
      <c r="I150" s="9" t="inlineStr">
        <is>
          <t>OK (2ª página)</t>
        </is>
      </c>
      <c r="J150" s="9" t="n"/>
      <c r="K150" s="14" t="n"/>
      <c r="L150" s="9" t="inlineStr">
        <is>
          <t>Segunda página del albarán 9-233672884 (ya contado en la página 77).</t>
        </is>
      </c>
    </row>
    <row r="151" ht="15" customHeight="1">
      <c r="A151" s="9" t="inlineStr">
        <is>
          <t>Scanned-image05-10-2026-121251.pdf</t>
        </is>
      </c>
      <c r="B151" s="9" t="n">
        <v>79</v>
      </c>
      <c r="C151" s="9" t="inlineStr">
        <is>
          <t>CASA MISU</t>
        </is>
      </c>
      <c r="D151" s="12" t="inlineStr">
        <is>
          <t>FRA 2026-118</t>
        </is>
      </c>
      <c r="E151" s="9" t="inlineStr">
        <is>
          <t>01/09</t>
        </is>
      </c>
      <c r="F151" s="9" t="inlineStr">
        <is>
          <t>LA MINA DE CHAMARTÍN</t>
        </is>
      </c>
      <c r="G151" s="9" t="inlineStr">
        <is>
          <t>SÍ</t>
        </is>
      </c>
      <c r="H151" s="13" t="n">
        <v>70</v>
      </c>
      <c r="I151" s="9" t="inlineStr">
        <is>
          <t>OK CON INCIDENCIA</t>
        </is>
      </c>
      <c r="J151" s="9" t="inlineStr">
        <is>
          <t>62</t>
        </is>
      </c>
      <c r="K151" s="14" t="inlineStr">
        <is>
          <t>Factura directa</t>
        </is>
      </c>
      <c r="L151" s="9" t="inlineStr">
        <is>
          <t>Es factura directa (sin albarán)</t>
        </is>
      </c>
    </row>
    <row r="152" ht="15" customHeight="1">
      <c r="A152" s="9" t="inlineStr">
        <is>
          <t>Scanned-image05-10-2026-121251.pdf</t>
        </is>
      </c>
      <c r="B152" s="9" t="n">
        <v>80</v>
      </c>
      <c r="C152" s="9" t="inlineStr">
        <is>
          <t>MAKRO</t>
        </is>
      </c>
      <c r="D152" s="12" t="inlineStr">
        <is>
          <t>9-234436523</t>
        </is>
      </c>
      <c r="E152" s="9" t="inlineStr">
        <is>
          <t>05/09</t>
        </is>
      </c>
      <c r="F152" s="9" t="inlineStr">
        <is>
          <t>LA MINA DE CHAMARTÍN</t>
        </is>
      </c>
      <c r="G152" s="9" t="inlineStr">
        <is>
          <t>SÍ</t>
        </is>
      </c>
      <c r="H152" s="13" t="n">
        <v>220.02</v>
      </c>
      <c r="I152" s="9" t="inlineStr">
        <is>
          <t>OK CON INCIDENCIA</t>
        </is>
      </c>
      <c r="J152" s="9" t="inlineStr">
        <is>
          <t>55</t>
        </is>
      </c>
      <c r="K152" s="14" t="inlineStr">
        <is>
          <t>Pedido no entregado</t>
        </is>
      </c>
      <c r="L152" s="9" t="inlineStr">
        <is>
          <t>2 páginas. Es "factura de entrega" nº 0/0(031)0053/(2026)040094 del pedido 9-234436523 (hace de albarán)</t>
        </is>
      </c>
    </row>
    <row r="153" ht="15" customHeight="1">
      <c r="A153" s="9" t="inlineStr">
        <is>
          <t>Scanned-image05-10-2026-121251.pdf</t>
        </is>
      </c>
      <c r="B153" s="9" t="n">
        <v>81</v>
      </c>
      <c r="C153" s="9" t="inlineStr">
        <is>
          <t>MAKRO</t>
        </is>
      </c>
      <c r="D153" s="12" t="inlineStr">
        <is>
          <t>9-234436523</t>
        </is>
      </c>
      <c r="E153" s="9" t="inlineStr">
        <is>
          <t>05/09</t>
        </is>
      </c>
      <c r="F153" s="9" t="inlineStr">
        <is>
          <t>LA MINA DE CHAMARTÍN</t>
        </is>
      </c>
      <c r="G153" s="9" t="inlineStr">
        <is>
          <t>SÍ</t>
        </is>
      </c>
      <c r="H153" s="13" t="n"/>
      <c r="I153" s="9" t="inlineStr">
        <is>
          <t>OK (2ª página)</t>
        </is>
      </c>
      <c r="J153" s="9" t="n"/>
      <c r="K153" s="14" t="n"/>
      <c r="L153" s="9" t="inlineStr">
        <is>
          <t>Segunda página del albarán 9-234436523 (ya contado en la página 80).</t>
        </is>
      </c>
    </row>
    <row r="154" ht="15" customHeight="1">
      <c r="A154" s="9" t="inlineStr">
        <is>
          <t>Scanned-image05-10-2026-121630.pdf</t>
        </is>
      </c>
      <c r="B154" s="9" t="n">
        <v>1</v>
      </c>
      <c r="C154" s="9" t="inlineStr">
        <is>
          <t>HIELOS ANGEL ICE</t>
        </is>
      </c>
      <c r="D154" s="12" t="inlineStr">
        <is>
          <t>s/n (22/09)</t>
        </is>
      </c>
      <c r="E154" s="9" t="inlineStr">
        <is>
          <t>22/09</t>
        </is>
      </c>
      <c r="F154" s="9" t="inlineStr">
        <is>
          <t>LA MINA DE CHAMARTÍN</t>
        </is>
      </c>
      <c r="G154" s="9" t="inlineStr">
        <is>
          <t>SÍ</t>
        </is>
      </c>
      <c r="H154" s="13" t="n">
        <v>140</v>
      </c>
      <c r="I154" s="9" t="inlineStr">
        <is>
          <t>OK CON INCIDENCIA</t>
        </is>
      </c>
      <c r="J154" s="9" t="inlineStr">
        <is>
          <t>44</t>
        </is>
      </c>
      <c r="K154" s="14" t="inlineStr">
        <is>
          <t>Ticket sin IVA ni nº</t>
        </is>
      </c>
      <c r="L154" s="9" t="inlineStr">
        <is>
          <t>Ticket manuscrito sin nº ni IVA, a nombre de "La Mina 2"</t>
        </is>
      </c>
    </row>
    <row r="155" ht="15" customHeight="1">
      <c r="A155" s="9" t="inlineStr">
        <is>
          <t>Scanned-image05-10-2026-121630.pdf</t>
        </is>
      </c>
      <c r="B155" s="9" t="n">
        <v>2</v>
      </c>
      <c r="C155" s="9" t="inlineStr">
        <is>
          <t>HIELOS ANGEL ICE</t>
        </is>
      </c>
      <c r="D155" s="12" t="inlineStr">
        <is>
          <t>s/n (26/09)</t>
        </is>
      </c>
      <c r="E155" s="9" t="inlineStr">
        <is>
          <t>26/09</t>
        </is>
      </c>
      <c r="F155" s="9" t="inlineStr">
        <is>
          <t>LA MINA DE CHAMARTÍN</t>
        </is>
      </c>
      <c r="G155" s="9" t="inlineStr">
        <is>
          <t>SÍ</t>
        </is>
      </c>
      <c r="H155" s="13" t="n">
        <v>130</v>
      </c>
      <c r="I155" s="9" t="inlineStr">
        <is>
          <t>OK CON INCIDENCIA</t>
        </is>
      </c>
      <c r="J155" s="9" t="inlineStr">
        <is>
          <t>44</t>
        </is>
      </c>
      <c r="K155" s="14" t="inlineStr">
        <is>
          <t>Ticket sin IVA ni nº</t>
        </is>
      </c>
      <c r="L155" s="9" t="inlineStr">
        <is>
          <t>Ticket manuscrito sin nº ni IVA, a nombre de "La Mina 2". Día 26 (podría leerse 20)</t>
        </is>
      </c>
    </row>
    <row r="156" ht="15" customHeight="1">
      <c r="A156" s="9" t="inlineStr">
        <is>
          <t>Scanned-image05-10-2026-121630.pdf</t>
        </is>
      </c>
      <c r="B156" s="9" t="n">
        <v>3</v>
      </c>
      <c r="C156" s="9" t="inlineStr">
        <is>
          <t>HIELOS ANGEL ICE</t>
        </is>
      </c>
      <c r="D156" s="12" t="inlineStr">
        <is>
          <t>s/n (29/08)</t>
        </is>
      </c>
      <c r="E156" s="9" t="inlineStr">
        <is>
          <t>29/08</t>
        </is>
      </c>
      <c r="F156" s="9" t="inlineStr">
        <is>
          <t>LA MINA DE CHAMARTÍN</t>
        </is>
      </c>
      <c r="G156" s="9" t="inlineStr">
        <is>
          <t>NO</t>
        </is>
      </c>
      <c r="H156" s="13" t="n"/>
      <c r="I156" s="9" t="inlineStr">
        <is>
          <t>NO INCLUIDO (revisar)</t>
        </is>
      </c>
      <c r="J156" s="9" t="inlineStr">
        <is>
          <t>45</t>
        </is>
      </c>
      <c r="K156" s="14" t="inlineStr">
        <is>
          <t>Ticket de otro mes</t>
        </is>
      </c>
      <c r="L156" s="9" t="inlineStr">
        <is>
          <t>Ticket del 29/08/2026 (agosto), a nombre de "La Mina Chamartín": 10 sacos hielo cocktelería = 50,00 €. Lleva escrito "EXCEL" rodeado. Es de agosto y llega con los de septiembre.</t>
        </is>
      </c>
    </row>
    <row r="157" ht="15" customHeight="1">
      <c r="A157" s="9" t="inlineStr">
        <is>
          <t>Scanned-image05-10-2026-121630.pdf</t>
        </is>
      </c>
      <c r="B157" s="9" t="n">
        <v>4</v>
      </c>
      <c r="C157" s="9" t="inlineStr">
        <is>
          <t>HIELOS ANGEL ICE</t>
        </is>
      </c>
      <c r="D157" s="12" t="inlineStr">
        <is>
          <t>s/n (17/09)</t>
        </is>
      </c>
      <c r="E157" s="9" t="inlineStr">
        <is>
          <t>17/09</t>
        </is>
      </c>
      <c r="F157" s="9" t="inlineStr">
        <is>
          <t>LA MINA DE CHAMARTÍN</t>
        </is>
      </c>
      <c r="G157" s="9" t="inlineStr">
        <is>
          <t>SÍ</t>
        </is>
      </c>
      <c r="H157" s="13" t="n">
        <v>85</v>
      </c>
      <c r="I157" s="9" t="inlineStr">
        <is>
          <t>OK CON INCIDENCIA</t>
        </is>
      </c>
      <c r="J157" s="9" t="inlineStr">
        <is>
          <t>44</t>
        </is>
      </c>
      <c r="K157" s="14" t="inlineStr">
        <is>
          <t>Ticket sin IVA ni nº</t>
        </is>
      </c>
      <c r="L157" s="9" t="inlineStr">
        <is>
          <t>Ticket manuscrito sin nº ni IVA, a nombre de "La Mina 2"</t>
        </is>
      </c>
    </row>
    <row r="158" ht="15" customHeight="1">
      <c r="A158" s="9" t="inlineStr">
        <is>
          <t>Scanned-image05-10-2026-121630.pdf</t>
        </is>
      </c>
      <c r="B158" s="9" t="n">
        <v>5</v>
      </c>
      <c r="C158" s="9" t="inlineStr">
        <is>
          <t>HIELOS ANGEL ICE</t>
        </is>
      </c>
      <c r="D158" s="12" t="inlineStr">
        <is>
          <t>s/n (19/09)</t>
        </is>
      </c>
      <c r="E158" s="9" t="inlineStr">
        <is>
          <t>19/09</t>
        </is>
      </c>
      <c r="F158" s="9" t="inlineStr">
        <is>
          <t>LA MINA DE CHAMARTÍN</t>
        </is>
      </c>
      <c r="G158" s="9" t="inlineStr">
        <is>
          <t>SÍ</t>
        </is>
      </c>
      <c r="H158" s="13" t="n">
        <v>67</v>
      </c>
      <c r="I158" s="9" t="inlineStr">
        <is>
          <t>OK CON INCIDENCIA</t>
        </is>
      </c>
      <c r="J158" s="9" t="inlineStr">
        <is>
          <t>44</t>
        </is>
      </c>
      <c r="K158" s="14" t="inlineStr">
        <is>
          <t>Ticket sin IVA ni nº</t>
        </is>
      </c>
      <c r="L158" s="9" t="inlineStr">
        <is>
          <t>Ticket manuscrito sin nº ni IVA, a nombre de "La Mina 2"</t>
        </is>
      </c>
    </row>
    <row r="159" ht="15" customHeight="1">
      <c r="A159" s="9" t="inlineStr">
        <is>
          <t>Scanned-image05-10-2026-121630.pdf</t>
        </is>
      </c>
      <c r="B159" s="9" t="n">
        <v>6</v>
      </c>
      <c r="C159" s="9" t="inlineStr">
        <is>
          <t>HIELOS ANGEL ICE</t>
        </is>
      </c>
      <c r="D159" s="12" t="inlineStr">
        <is>
          <t>s/n (15/09)</t>
        </is>
      </c>
      <c r="E159" s="9" t="inlineStr">
        <is>
          <t>15/09</t>
        </is>
      </c>
      <c r="F159" s="9" t="inlineStr">
        <is>
          <t>LA MINA DE CHAMARTÍN</t>
        </is>
      </c>
      <c r="G159" s="9" t="inlineStr">
        <is>
          <t>SÍ</t>
        </is>
      </c>
      <c r="H159" s="13" t="n">
        <v>102</v>
      </c>
      <c r="I159" s="9" t="inlineStr">
        <is>
          <t>OK CON INCIDENCIA</t>
        </is>
      </c>
      <c r="J159" s="9" t="inlineStr">
        <is>
          <t>44</t>
        </is>
      </c>
      <c r="K159" s="14" t="inlineStr">
        <is>
          <t>Ticket sin IVA ni nº</t>
        </is>
      </c>
      <c r="L159" s="9" t="inlineStr">
        <is>
          <t>Ticket manuscrito sin nº ni IVA, a nombre de "La Mina 2"</t>
        </is>
      </c>
    </row>
    <row r="160" ht="15" customHeight="1">
      <c r="A160" s="9" t="inlineStr">
        <is>
          <t>Scanned-image05-10-2026-121630.pdf</t>
        </is>
      </c>
      <c r="B160" s="9" t="n">
        <v>7</v>
      </c>
      <c r="C160" s="9" t="inlineStr">
        <is>
          <t>HIELOS ANGEL ICE</t>
        </is>
      </c>
      <c r="D160" s="12" t="inlineStr">
        <is>
          <t>s/n (12/09)</t>
        </is>
      </c>
      <c r="E160" s="9" t="inlineStr">
        <is>
          <t>12/09</t>
        </is>
      </c>
      <c r="F160" s="9" t="inlineStr">
        <is>
          <t>LA MINA DE CHAMARTÍN</t>
        </is>
      </c>
      <c r="G160" s="9" t="inlineStr">
        <is>
          <t>SÍ</t>
        </is>
      </c>
      <c r="H160" s="13" t="n">
        <v>90</v>
      </c>
      <c r="I160" s="9" t="inlineStr">
        <is>
          <t>OK CON INCIDENCIA</t>
        </is>
      </c>
      <c r="J160" s="9" t="inlineStr">
        <is>
          <t>44</t>
        </is>
      </c>
      <c r="K160" s="14" t="inlineStr">
        <is>
          <t>Ticket sin IVA ni nº</t>
        </is>
      </c>
      <c r="L160" s="9" t="inlineStr">
        <is>
          <t>Ticket manuscrito sin nº ni IVA, a nombre de "La Mina 2"</t>
        </is>
      </c>
    </row>
    <row r="161" ht="15" customHeight="1">
      <c r="A161" s="9" t="inlineStr">
        <is>
          <t>Scanned-image05-10-2026-121630.pdf</t>
        </is>
      </c>
      <c r="B161" s="9" t="n">
        <v>8</v>
      </c>
      <c r="C161" s="9" t="inlineStr">
        <is>
          <t>HIELOS ANGEL ICE</t>
        </is>
      </c>
      <c r="D161" s="12" t="inlineStr">
        <is>
          <t>s/n (10/09)</t>
        </is>
      </c>
      <c r="E161" s="9" t="inlineStr">
        <is>
          <t>10/09</t>
        </is>
      </c>
      <c r="F161" s="9" t="inlineStr">
        <is>
          <t>LA MINA DE CHAMARTÍN</t>
        </is>
      </c>
      <c r="G161" s="9" t="inlineStr">
        <is>
          <t>SÍ</t>
        </is>
      </c>
      <c r="H161" s="13" t="n">
        <v>115</v>
      </c>
      <c r="I161" s="9" t="inlineStr">
        <is>
          <t>OK CON INCIDENCIA</t>
        </is>
      </c>
      <c r="J161" s="9" t="inlineStr">
        <is>
          <t>44</t>
        </is>
      </c>
      <c r="K161" s="14" t="inlineStr">
        <is>
          <t>Ticket sin IVA ni nº</t>
        </is>
      </c>
      <c r="L161" s="9" t="inlineStr">
        <is>
          <t>Ticket manuscrito sin nº ni IVA, a nombre de "La Mina 2". Día corregido a mano (9 o 10). el ticket pone total 105 y las líneas suman 115 (80 + 35)</t>
        </is>
      </c>
    </row>
    <row r="162" ht="15" customHeight="1">
      <c r="A162" s="9" t="inlineStr">
        <is>
          <t>Scanned-image05-10-2026-121630.pdf</t>
        </is>
      </c>
      <c r="B162" s="9" t="n">
        <v>9</v>
      </c>
      <c r="C162" s="9" t="inlineStr">
        <is>
          <t>HIELOS ANGEL ICE</t>
        </is>
      </c>
      <c r="D162" s="12" t="inlineStr">
        <is>
          <t>00127637 (08/09)</t>
        </is>
      </c>
      <c r="E162" s="9" t="inlineStr">
        <is>
          <t>08/09</t>
        </is>
      </c>
      <c r="F162" s="9" t="inlineStr">
        <is>
          <t>LA MINA DE CHAMARTÍN</t>
        </is>
      </c>
      <c r="G162" s="9" t="inlineStr">
        <is>
          <t>SÍ</t>
        </is>
      </c>
      <c r="H162" s="13" t="n">
        <v>70</v>
      </c>
      <c r="I162" s="9" t="inlineStr">
        <is>
          <t>OK CON INCIDENCIA</t>
        </is>
      </c>
      <c r="J162" s="9" t="inlineStr">
        <is>
          <t>44</t>
        </is>
      </c>
      <c r="K162" s="14" t="inlineStr">
        <is>
          <t>Ticket sin IVA ni nº</t>
        </is>
      </c>
      <c r="L162" s="9" t="inlineStr">
        <is>
          <t>Hoja de talonario genérico "FACTURA" sin proveedor, anotado "Hielo"; 14 "pilé" = 70 €. Se asigna a Hielos Angel Ice por el precio (5 €/saco)</t>
        </is>
      </c>
    </row>
    <row r="163" ht="15" customHeight="1">
      <c r="A163" s="9" t="inlineStr">
        <is>
          <t>Scanned-image05-10-2026-121630.pdf</t>
        </is>
      </c>
      <c r="B163" s="9" t="n">
        <v>10</v>
      </c>
      <c r="C163" s="9" t="inlineStr">
        <is>
          <t>MARTIN CANEDA</t>
        </is>
      </c>
      <c r="D163" s="12" t="inlineStr">
        <is>
          <t>035926</t>
        </is>
      </c>
      <c r="E163" s="9" t="inlineStr">
        <is>
          <t>30/09</t>
        </is>
      </c>
      <c r="F163" s="9" t="inlineStr">
        <is>
          <t>LA MINA DE CHAMARTÍN</t>
        </is>
      </c>
      <c r="G163" s="9" t="inlineStr">
        <is>
          <t>SÍ</t>
        </is>
      </c>
      <c r="H163" s="13" t="n">
        <v>100</v>
      </c>
      <c r="I163" s="9" t="inlineStr">
        <is>
          <t>OK</t>
        </is>
      </c>
      <c r="J163" s="9" t="n"/>
      <c r="K163" s="14" t="n"/>
      <c r="L163" s="9" t="n"/>
    </row>
    <row r="164" ht="15" customHeight="1">
      <c r="A164" s="9" t="inlineStr">
        <is>
          <t>Scanned-image05-10-2026-121630.pdf</t>
        </is>
      </c>
      <c r="B164" s="9" t="n">
        <v>11</v>
      </c>
      <c r="C164" s="9" t="inlineStr">
        <is>
          <t>MARTIN CANEDA</t>
        </is>
      </c>
      <c r="D164" s="12" t="inlineStr">
        <is>
          <t>035914</t>
        </is>
      </c>
      <c r="E164" s="9" t="inlineStr">
        <is>
          <t>29/09</t>
        </is>
      </c>
      <c r="F164" s="9" t="inlineStr">
        <is>
          <t>LA MINA DE CHAMARTÍN</t>
        </is>
      </c>
      <c r="G164" s="9" t="inlineStr">
        <is>
          <t>SÍ</t>
        </is>
      </c>
      <c r="H164" s="13" t="n">
        <v>252.7</v>
      </c>
      <c r="I164" s="9" t="inlineStr">
        <is>
          <t>OK</t>
        </is>
      </c>
      <c r="J164" s="9" t="n"/>
      <c r="K164" s="14" t="n"/>
      <c r="L164" s="9" t="n"/>
    </row>
    <row r="165" ht="15" customHeight="1">
      <c r="A165" s="9" t="inlineStr">
        <is>
          <t>Scanned-image05-10-2026-121630.pdf</t>
        </is>
      </c>
      <c r="B165" s="9" t="n">
        <v>12</v>
      </c>
      <c r="C165" s="9" t="inlineStr">
        <is>
          <t>MARTIN CANEDA</t>
        </is>
      </c>
      <c r="D165" s="12" t="inlineStr">
        <is>
          <t>33150</t>
        </is>
      </c>
      <c r="E165" s="9" t="inlineStr">
        <is>
          <t>26/09</t>
        </is>
      </c>
      <c r="F165" s="9" t="inlineStr">
        <is>
          <t>LA MINA DE CHAMARTÍN</t>
        </is>
      </c>
      <c r="G165" s="9" t="inlineStr">
        <is>
          <t>SÍ</t>
        </is>
      </c>
      <c r="H165" s="13" t="n">
        <v>101.5</v>
      </c>
      <c r="I165" s="9" t="inlineStr">
        <is>
          <t>OK CON INCIDENCIA</t>
        </is>
      </c>
      <c r="J165" s="9" t="inlineStr">
        <is>
          <t>54</t>
        </is>
      </c>
      <c r="K165" s="14" t="inlineStr">
        <is>
          <t>Lectura dudosa</t>
        </is>
      </c>
      <c r="L165" s="9" t="inlineStr">
        <is>
          <t>Copia amarilla muy tenue; fecha leída 26-9-26</t>
        </is>
      </c>
    </row>
    <row r="166" ht="15" customHeight="1">
      <c r="A166" s="9" t="inlineStr">
        <is>
          <t>Scanned-image05-10-2026-121630.pdf</t>
        </is>
      </c>
      <c r="B166" s="9" t="n">
        <v>13</v>
      </c>
      <c r="C166" s="9" t="inlineStr">
        <is>
          <t>MARTIN CANEDA</t>
        </is>
      </c>
      <c r="D166" s="12" t="inlineStr">
        <is>
          <t>33134</t>
        </is>
      </c>
      <c r="E166" s="9" t="inlineStr">
        <is>
          <t>25/09</t>
        </is>
      </c>
      <c r="F166" s="9" t="inlineStr">
        <is>
          <t>LA MINA DE CHAMARTÍN</t>
        </is>
      </c>
      <c r="G166" s="9" t="inlineStr">
        <is>
          <t>SÍ</t>
        </is>
      </c>
      <c r="H166" s="13" t="n">
        <v>68.59999999999999</v>
      </c>
      <c r="I166" s="9" t="inlineStr">
        <is>
          <t>OK</t>
        </is>
      </c>
      <c r="J166" s="9" t="n"/>
      <c r="K166" s="14" t="n"/>
      <c r="L166" s="9" t="n"/>
    </row>
    <row r="167" ht="15" customHeight="1">
      <c r="A167" s="9" t="inlineStr">
        <is>
          <t>Scanned-image05-10-2026-121630.pdf</t>
        </is>
      </c>
      <c r="B167" s="9" t="n">
        <v>14</v>
      </c>
      <c r="C167" s="9" t="inlineStr">
        <is>
          <t>MARTIN CANEDA</t>
        </is>
      </c>
      <c r="D167" s="12" t="inlineStr">
        <is>
          <t>33121</t>
        </is>
      </c>
      <c r="E167" s="9" t="inlineStr">
        <is>
          <t>24/09</t>
        </is>
      </c>
      <c r="F167" s="9" t="inlineStr">
        <is>
          <t>LA MINA DE CHAMARTÍN</t>
        </is>
      </c>
      <c r="G167" s="9" t="inlineStr">
        <is>
          <t>SÍ</t>
        </is>
      </c>
      <c r="H167" s="13" t="n">
        <v>113.5</v>
      </c>
      <c r="I167" s="9" t="inlineStr">
        <is>
          <t>OK</t>
        </is>
      </c>
      <c r="J167" s="9" t="n"/>
      <c r="K167" s="14" t="n"/>
      <c r="L167" s="9" t="n"/>
    </row>
    <row r="168" ht="15" customHeight="1">
      <c r="A168" s="9" t="inlineStr">
        <is>
          <t>Scanned-image05-10-2026-121630.pdf</t>
        </is>
      </c>
      <c r="B168" s="9" t="n">
        <v>15</v>
      </c>
      <c r="C168" s="9" t="inlineStr">
        <is>
          <t>MARTIN CANEDA</t>
        </is>
      </c>
      <c r="D168" s="12" t="inlineStr">
        <is>
          <t>33112</t>
        </is>
      </c>
      <c r="E168" s="9" t="inlineStr">
        <is>
          <t>23/09</t>
        </is>
      </c>
      <c r="F168" s="9" t="inlineStr">
        <is>
          <t>LA MINA DE CHAMARTÍN</t>
        </is>
      </c>
      <c r="G168" s="9" t="inlineStr">
        <is>
          <t>SÍ</t>
        </is>
      </c>
      <c r="H168" s="13" t="n">
        <v>149</v>
      </c>
      <c r="I168" s="9" t="inlineStr">
        <is>
          <t>OK</t>
        </is>
      </c>
      <c r="J168" s="9" t="n"/>
      <c r="K168" s="14" t="n"/>
      <c r="L168" s="9" t="n"/>
    </row>
    <row r="169" ht="15" customHeight="1">
      <c r="A169" s="9" t="inlineStr">
        <is>
          <t>Scanned-image05-10-2026-121630.pdf</t>
        </is>
      </c>
      <c r="B169" s="9" t="n">
        <v>16</v>
      </c>
      <c r="C169" s="9" t="inlineStr">
        <is>
          <t>MARTIN CANEDA</t>
        </is>
      </c>
      <c r="D169" s="12" t="inlineStr">
        <is>
          <t>26998</t>
        </is>
      </c>
      <c r="E169" s="9" t="inlineStr">
        <is>
          <t>s/f</t>
        </is>
      </c>
      <c r="F169" s="9" t="inlineStr">
        <is>
          <t>LA MINA DE CHAMARTÍN</t>
        </is>
      </c>
      <c r="G169" s="9" t="inlineStr">
        <is>
          <t>SÍ</t>
        </is>
      </c>
      <c r="H169" s="13" t="n">
        <v>201.5</v>
      </c>
      <c r="I169" s="9" t="inlineStr">
        <is>
          <t>OK CON INCIDENCIA</t>
        </is>
      </c>
      <c r="J169" s="9" t="inlineStr">
        <is>
          <t>50</t>
        </is>
      </c>
      <c r="K169" s="14" t="inlineStr">
        <is>
          <t>Importe estimado</t>
        </is>
      </c>
      <c r="L169" s="9" t="inlineStr">
        <is>
          <t>Copia casi en blanco; solo se leen las cantidades (4 berberecho, 2 chochas gda, 5 mejillones). Precios e importe puestos con los precios habituales del mes (22 / 50 / 2,70); fecha ilegible</t>
        </is>
      </c>
    </row>
    <row r="170" ht="15" customHeight="1">
      <c r="A170" s="9" t="inlineStr">
        <is>
          <t>Scanned-image05-10-2026-121630.pdf</t>
        </is>
      </c>
      <c r="B170" s="9" t="n">
        <v>17</v>
      </c>
      <c r="C170" s="9" t="inlineStr">
        <is>
          <t>MARTIN CANEDA</t>
        </is>
      </c>
      <c r="D170" s="12" t="inlineStr">
        <is>
          <t>26985</t>
        </is>
      </c>
      <c r="E170" s="9" t="inlineStr">
        <is>
          <t>19/09</t>
        </is>
      </c>
      <c r="F170" s="9" t="inlineStr">
        <is>
          <t>LA MINA DE CHAMARTÍN</t>
        </is>
      </c>
      <c r="G170" s="9" t="inlineStr">
        <is>
          <t>SÍ</t>
        </is>
      </c>
      <c r="H170" s="13" t="n">
        <v>162.5</v>
      </c>
      <c r="I170" s="9" t="inlineStr">
        <is>
          <t>OK CON INCIDENCIA</t>
        </is>
      </c>
      <c r="J170" s="9" t="inlineStr">
        <is>
          <t>54</t>
        </is>
      </c>
      <c r="K170" s="14" t="inlineStr">
        <is>
          <t>Lectura dudosa</t>
        </is>
      </c>
      <c r="L170" s="9" t="inlineStr">
        <is>
          <t>Hay una anotación tachada en la línea de percebes (no se cobra)</t>
        </is>
      </c>
    </row>
    <row r="171" ht="15" customHeight="1">
      <c r="A171" s="9" t="inlineStr">
        <is>
          <t>Scanned-image05-10-2026-121630.pdf</t>
        </is>
      </c>
      <c r="B171" s="9" t="n">
        <v>18</v>
      </c>
      <c r="C171" s="9" t="inlineStr">
        <is>
          <t>MARTIN CANEDA</t>
        </is>
      </c>
      <c r="D171" s="12" t="inlineStr">
        <is>
          <t>26678</t>
        </is>
      </c>
      <c r="E171" s="9" t="inlineStr">
        <is>
          <t>18/09</t>
        </is>
      </c>
      <c r="F171" s="9" t="inlineStr">
        <is>
          <t>LA MINA DE CHAMARTÍN</t>
        </is>
      </c>
      <c r="G171" s="9" t="inlineStr">
        <is>
          <t>SÍ</t>
        </is>
      </c>
      <c r="H171" s="13" t="n">
        <v>191.5</v>
      </c>
      <c r="I171" s="9" t="inlineStr">
        <is>
          <t>OK CON INCIDENCIA</t>
        </is>
      </c>
      <c r="J171" s="9" t="inlineStr">
        <is>
          <t>54</t>
        </is>
      </c>
      <c r="K171" s="14" t="inlineStr">
        <is>
          <t>Lectura dudosa</t>
        </is>
      </c>
      <c r="L171" s="9" t="inlineStr">
        <is>
          <t>La 1ª línea (2 a 50 €) está escrita entre "Almejas finas Gda./Buey" y "Almejas finas Tda./Coquinas"; por el precio podrían ser chochas</t>
        </is>
      </c>
    </row>
    <row r="172" ht="15" customHeight="1">
      <c r="A172" s="9" t="inlineStr">
        <is>
          <t>Scanned-image05-10-2026-121630.pdf</t>
        </is>
      </c>
      <c r="B172" s="9" t="n">
        <v>19</v>
      </c>
      <c r="C172" s="9" t="inlineStr">
        <is>
          <t>MARTIN CANEDA</t>
        </is>
      </c>
      <c r="D172" s="12" t="inlineStr">
        <is>
          <t>26959</t>
        </is>
      </c>
      <c r="E172" s="9" t="inlineStr">
        <is>
          <t>17/09</t>
        </is>
      </c>
      <c r="F172" s="9" t="inlineStr">
        <is>
          <t>LA MINA DE CHAMARTÍN</t>
        </is>
      </c>
      <c r="G172" s="9" t="inlineStr">
        <is>
          <t>SÍ</t>
        </is>
      </c>
      <c r="H172" s="13" t="n">
        <v>57.5</v>
      </c>
      <c r="I172" s="9" t="inlineStr">
        <is>
          <t>OK</t>
        </is>
      </c>
      <c r="J172" s="9" t="n"/>
      <c r="K172" s="14" t="n"/>
      <c r="L172" s="9" t="n"/>
    </row>
    <row r="173" ht="15" customHeight="1">
      <c r="A173" s="9" t="inlineStr">
        <is>
          <t>Scanned-image05-10-2026-121630.pdf</t>
        </is>
      </c>
      <c r="B173" s="9" t="n">
        <v>20</v>
      </c>
      <c r="C173" s="9" t="inlineStr">
        <is>
          <t>MARTIN CANEDA</t>
        </is>
      </c>
      <c r="D173" s="12" t="inlineStr">
        <is>
          <t>035847</t>
        </is>
      </c>
      <c r="E173" s="9" t="inlineStr">
        <is>
          <t>16/09</t>
        </is>
      </c>
      <c r="F173" s="9" t="inlineStr">
        <is>
          <t>LA MINA DE CHAMARTÍN</t>
        </is>
      </c>
      <c r="G173" s="9" t="inlineStr">
        <is>
          <t>SÍ</t>
        </is>
      </c>
      <c r="H173" s="13" t="n">
        <v>200</v>
      </c>
      <c r="I173" s="9" t="inlineStr">
        <is>
          <t>OK</t>
        </is>
      </c>
      <c r="J173" s="9" t="n"/>
      <c r="K173" s="14" t="n"/>
      <c r="L173" s="9" t="n"/>
    </row>
    <row r="174" ht="15" customHeight="1">
      <c r="A174" s="9" t="inlineStr">
        <is>
          <t>Scanned-image05-10-2026-121630.pdf</t>
        </is>
      </c>
      <c r="B174" s="9" t="n">
        <v>21</v>
      </c>
      <c r="C174" s="9" t="inlineStr">
        <is>
          <t>MARTIN CANEDA</t>
        </is>
      </c>
      <c r="D174" s="12" t="inlineStr">
        <is>
          <t>035839</t>
        </is>
      </c>
      <c r="E174" s="9" t="inlineStr">
        <is>
          <t>15/09</t>
        </is>
      </c>
      <c r="F174" s="9" t="inlineStr">
        <is>
          <t>LA MINA DE CHAMARTÍN</t>
        </is>
      </c>
      <c r="G174" s="9" t="inlineStr">
        <is>
          <t>SÍ</t>
        </is>
      </c>
      <c r="H174" s="13" t="n">
        <v>157.5</v>
      </c>
      <c r="I174" s="9" t="inlineStr">
        <is>
          <t>OK CON INCIDENCIA</t>
        </is>
      </c>
      <c r="J174" s="9" t="inlineStr">
        <is>
          <t>54</t>
        </is>
      </c>
      <c r="K174" s="14" t="inlineStr">
        <is>
          <t>Lectura dudosa</t>
        </is>
      </c>
      <c r="L174" s="9" t="inlineStr">
        <is>
          <t>Total manuscrito poco claro (se lee 172,70 o 173,25); las líneas dan 157,50 + 10% = 173,25</t>
        </is>
      </c>
    </row>
    <row r="175" ht="15" customHeight="1">
      <c r="A175" s="9" t="inlineStr">
        <is>
          <t>Scanned-image05-10-2026-121630.pdf</t>
        </is>
      </c>
      <c r="B175" s="9" t="n">
        <v>22</v>
      </c>
      <c r="C175" s="9" t="inlineStr">
        <is>
          <t>MARTIN CANEDA</t>
        </is>
      </c>
      <c r="D175" s="12" t="inlineStr">
        <is>
          <t>035810</t>
        </is>
      </c>
      <c r="E175" s="9" t="inlineStr">
        <is>
          <t>11/09</t>
        </is>
      </c>
      <c r="F175" s="9" t="inlineStr">
        <is>
          <t>LA MINA DE CHAMARTÍN</t>
        </is>
      </c>
      <c r="G175" s="9" t="inlineStr">
        <is>
          <t>SÍ</t>
        </is>
      </c>
      <c r="H175" s="13" t="n">
        <v>113.5</v>
      </c>
      <c r="I175" s="9" t="inlineStr">
        <is>
          <t>OK</t>
        </is>
      </c>
      <c r="J175" s="9" t="n"/>
      <c r="K175" s="14" t="n"/>
      <c r="L175" s="9" t="n"/>
    </row>
    <row r="176" ht="15" customHeight="1">
      <c r="A176" s="9" t="inlineStr">
        <is>
          <t>Scanned-image05-10-2026-121630.pdf</t>
        </is>
      </c>
      <c r="B176" s="9" t="n">
        <v>23</v>
      </c>
      <c r="C176" s="9" t="inlineStr">
        <is>
          <t>MARTIN CANEDA</t>
        </is>
      </c>
      <c r="D176" s="12" t="inlineStr">
        <is>
          <t>035797</t>
        </is>
      </c>
      <c r="E176" s="9" t="inlineStr">
        <is>
          <t>10/09</t>
        </is>
      </c>
      <c r="F176" s="9" t="inlineStr">
        <is>
          <t>LA MINA DE CHAMARTÍN</t>
        </is>
      </c>
      <c r="G176" s="9" t="inlineStr">
        <is>
          <t>SÍ</t>
        </is>
      </c>
      <c r="H176" s="13" t="n">
        <v>144</v>
      </c>
      <c r="I176" s="9" t="inlineStr">
        <is>
          <t>OK</t>
        </is>
      </c>
      <c r="J176" s="9" t="n"/>
      <c r="K176" s="14" t="n"/>
      <c r="L176" s="9" t="n"/>
    </row>
    <row r="177" ht="15" customHeight="1">
      <c r="A177" s="9" t="inlineStr">
        <is>
          <t>Scanned-image05-10-2026-121630.pdf</t>
        </is>
      </c>
      <c r="B177" s="9" t="n">
        <v>24</v>
      </c>
      <c r="C177" s="9" t="inlineStr">
        <is>
          <t>MARTIN CANEDA</t>
        </is>
      </c>
      <c r="D177" s="12" t="inlineStr">
        <is>
          <t>035785</t>
        </is>
      </c>
      <c r="E177" s="9" t="inlineStr">
        <is>
          <t>09/09</t>
        </is>
      </c>
      <c r="F177" s="9" t="inlineStr">
        <is>
          <t>LA MINA DE CHAMARTÍN</t>
        </is>
      </c>
      <c r="G177" s="9" t="inlineStr">
        <is>
          <t>SÍ</t>
        </is>
      </c>
      <c r="H177" s="13" t="n">
        <v>211.9</v>
      </c>
      <c r="I177" s="9" t="inlineStr">
        <is>
          <t>OK</t>
        </is>
      </c>
      <c r="J177" s="9" t="n"/>
      <c r="K177" s="14" t="n"/>
      <c r="L177" s="9" t="n"/>
    </row>
    <row r="178" ht="15" customHeight="1">
      <c r="A178" s="9" t="inlineStr">
        <is>
          <t>Scanned-image05-10-2026-121630.pdf</t>
        </is>
      </c>
      <c r="B178" s="9" t="n">
        <v>25</v>
      </c>
      <c r="C178" s="9" t="inlineStr">
        <is>
          <t>MARTIN CANEDA</t>
        </is>
      </c>
      <c r="D178" s="12" t="inlineStr">
        <is>
          <t>035774</t>
        </is>
      </c>
      <c r="E178" s="9" t="inlineStr">
        <is>
          <t>08/09</t>
        </is>
      </c>
      <c r="F178" s="9" t="inlineStr">
        <is>
          <t>LA MINA DE CHAMARTÍN</t>
        </is>
      </c>
      <c r="G178" s="9" t="inlineStr">
        <is>
          <t>SÍ</t>
        </is>
      </c>
      <c r="H178" s="13" t="n">
        <v>161</v>
      </c>
      <c r="I178" s="9" t="inlineStr">
        <is>
          <t>OK</t>
        </is>
      </c>
      <c r="J178" s="9" t="n"/>
      <c r="K178" s="14" t="n"/>
      <c r="L178" s="9" t="n"/>
    </row>
    <row r="179" ht="15" customHeight="1">
      <c r="A179" s="9" t="inlineStr">
        <is>
          <t>Scanned-image05-10-2026-121630.pdf</t>
        </is>
      </c>
      <c r="B179" s="9" t="n">
        <v>26</v>
      </c>
      <c r="C179" s="9" t="inlineStr">
        <is>
          <t>MARTIN CANEDA</t>
        </is>
      </c>
      <c r="D179" s="12" t="inlineStr">
        <is>
          <t>035823</t>
        </is>
      </c>
      <c r="E179" s="9" t="inlineStr">
        <is>
          <t>12/09</t>
        </is>
      </c>
      <c r="F179" s="9" t="inlineStr">
        <is>
          <t>LA MINA DE CHAMARTÍN</t>
        </is>
      </c>
      <c r="G179" s="9" t="inlineStr">
        <is>
          <t>SÍ</t>
        </is>
      </c>
      <c r="H179" s="13" t="n">
        <v>88</v>
      </c>
      <c r="I179" s="9" t="inlineStr">
        <is>
          <t>OK</t>
        </is>
      </c>
      <c r="J179" s="9" t="n"/>
      <c r="K179" s="14" t="n"/>
      <c r="L179" s="9" t="n"/>
    </row>
    <row r="180" ht="15" customHeight="1">
      <c r="A180" s="9" t="inlineStr">
        <is>
          <t>Scanned-image05-10-2026-121630.pdf</t>
        </is>
      </c>
      <c r="B180" s="9" t="n">
        <v>27</v>
      </c>
      <c r="C180" s="9" t="inlineStr">
        <is>
          <t>MARTIN CANEDA</t>
        </is>
      </c>
      <c r="D180" s="12" t="inlineStr">
        <is>
          <t>035757</t>
        </is>
      </c>
      <c r="E180" s="9" t="inlineStr">
        <is>
          <t>05/09</t>
        </is>
      </c>
      <c r="F180" s="9" t="inlineStr">
        <is>
          <t>LA MINA DE CHAMARTÍN</t>
        </is>
      </c>
      <c r="G180" s="9" t="inlineStr">
        <is>
          <t>SÍ</t>
        </is>
      </c>
      <c r="H180" s="13" t="n">
        <v>244</v>
      </c>
      <c r="I180" s="9" t="inlineStr">
        <is>
          <t>OK</t>
        </is>
      </c>
      <c r="J180" s="9" t="n"/>
      <c r="K180" s="14" t="n"/>
      <c r="L180" s="9" t="n"/>
    </row>
    <row r="181" ht="15" customHeight="1">
      <c r="A181" s="9" t="inlineStr">
        <is>
          <t>Scanned-image05-10-2026-121630.pdf</t>
        </is>
      </c>
      <c r="B181" s="9" t="n">
        <v>28</v>
      </c>
      <c r="C181" s="9" t="inlineStr">
        <is>
          <t>MARTIN CANEDA</t>
        </is>
      </c>
      <c r="D181" s="12" t="inlineStr">
        <is>
          <t>035689</t>
        </is>
      </c>
      <c r="E181" s="9" t="inlineStr">
        <is>
          <t>04/09</t>
        </is>
      </c>
      <c r="F181" s="9" t="inlineStr">
        <is>
          <t>LA MINA DE CHAMARTÍN</t>
        </is>
      </c>
      <c r="G181" s="9" t="inlineStr">
        <is>
          <t>SÍ</t>
        </is>
      </c>
      <c r="H181" s="13" t="n">
        <v>38.8</v>
      </c>
      <c r="I181" s="9" t="inlineStr">
        <is>
          <t>OK</t>
        </is>
      </c>
      <c r="J181" s="9" t="n"/>
      <c r="K181" s="14" t="n"/>
      <c r="L181" s="9" t="n"/>
    </row>
    <row r="182" ht="15" customHeight="1">
      <c r="A182" s="9" t="inlineStr">
        <is>
          <t>Scanned-image05-10-2026-121630.pdf</t>
        </is>
      </c>
      <c r="B182" s="9" t="n">
        <v>29</v>
      </c>
      <c r="C182" s="9" t="inlineStr">
        <is>
          <t>MARTIN CANEDA</t>
        </is>
      </c>
      <c r="D182" s="12" t="inlineStr">
        <is>
          <t>035684</t>
        </is>
      </c>
      <c r="E182" s="9" t="inlineStr">
        <is>
          <t>03/09</t>
        </is>
      </c>
      <c r="F182" s="9" t="inlineStr">
        <is>
          <t>LA MINA DE CHAMARTÍN</t>
        </is>
      </c>
      <c r="G182" s="9" t="inlineStr">
        <is>
          <t>SÍ</t>
        </is>
      </c>
      <c r="H182" s="13" t="n">
        <v>349</v>
      </c>
      <c r="I182" s="9" t="inlineStr">
        <is>
          <t>OK</t>
        </is>
      </c>
      <c r="J182" s="9" t="n"/>
      <c r="K182" s="14" t="n"/>
      <c r="L182" s="9" t="n"/>
    </row>
    <row r="183" ht="15" customHeight="1">
      <c r="A183" s="9" t="inlineStr">
        <is>
          <t>Scanned-image05-10-2026-121630.pdf</t>
        </is>
      </c>
      <c r="B183" s="9" t="n">
        <v>30</v>
      </c>
      <c r="C183" s="9" t="inlineStr">
        <is>
          <t>MARTIN CANEDA</t>
        </is>
      </c>
      <c r="D183" s="12" t="inlineStr">
        <is>
          <t>035658</t>
        </is>
      </c>
      <c r="E183" s="9" t="inlineStr">
        <is>
          <t>01/09</t>
        </is>
      </c>
      <c r="F183" s="9" t="inlineStr">
        <is>
          <t>LA MINA DE CHAMARTÍN</t>
        </is>
      </c>
      <c r="G183" s="9" t="inlineStr">
        <is>
          <t>SÍ</t>
        </is>
      </c>
      <c r="H183" s="13" t="n">
        <v>157.5</v>
      </c>
      <c r="I183" s="9" t="inlineStr">
        <is>
          <t>OK</t>
        </is>
      </c>
      <c r="J183" s="9" t="n"/>
      <c r="K183" s="14" t="n"/>
      <c r="L183" s="9" t="n"/>
    </row>
    <row r="184" ht="15" customHeight="1">
      <c r="A184" s="9" t="inlineStr">
        <is>
          <t>Scanned-image05-10-2026-121805.pdf</t>
        </is>
      </c>
      <c r="B184" s="9" t="n">
        <v>1</v>
      </c>
      <c r="C184" s="9" t="inlineStr">
        <is>
          <t>ACEITE Y SAL</t>
        </is>
      </c>
      <c r="D184" s="12" t="inlineStr">
        <is>
          <t>26004218</t>
        </is>
      </c>
      <c r="E184" s="9" t="inlineStr">
        <is>
          <t>29/09</t>
        </is>
      </c>
      <c r="F184" s="9" t="inlineStr">
        <is>
          <t>LA MINA DE CHAMARTÍN</t>
        </is>
      </c>
      <c r="G184" s="9" t="inlineStr">
        <is>
          <t>SÍ</t>
        </is>
      </c>
      <c r="H184" s="13" t="n">
        <v>258.91</v>
      </c>
      <c r="I184" s="9" t="inlineStr">
        <is>
          <t>OK CON INCIDENCIA</t>
        </is>
      </c>
      <c r="J184" s="9" t="inlineStr">
        <is>
          <t>62</t>
        </is>
      </c>
      <c r="K184" s="14" t="inlineStr">
        <is>
          <t>Factura directa</t>
        </is>
      </c>
      <c r="L184" s="9" t="inlineStr">
        <is>
          <t>(factura por entrega). Nota manuscrita: aceituna manzanilla (1) "pendiente, llegó el jueves"</t>
        </is>
      </c>
    </row>
    <row r="185" ht="15" customHeight="1">
      <c r="A185" s="9" t="inlineStr">
        <is>
          <t>Scanned-image05-10-2026-121805.pdf</t>
        </is>
      </c>
      <c r="B185" s="9" t="n">
        <v>2</v>
      </c>
      <c r="C185" s="9" t="inlineStr">
        <is>
          <t>ACEITE Y SAL</t>
        </is>
      </c>
      <c r="D185" s="12" t="inlineStr">
        <is>
          <t>26004189</t>
        </is>
      </c>
      <c r="E185" s="9" t="inlineStr">
        <is>
          <t>25/09</t>
        </is>
      </c>
      <c r="F185" s="9" t="inlineStr">
        <is>
          <t>LA MINA DE CHAMARTÍN</t>
        </is>
      </c>
      <c r="G185" s="9" t="inlineStr">
        <is>
          <t>SÍ</t>
        </is>
      </c>
      <c r="H185" s="13" t="n">
        <v>450.21</v>
      </c>
      <c r="I185" s="9" t="inlineStr">
        <is>
          <t>OK CON INCIDENCIA</t>
        </is>
      </c>
      <c r="J185" s="9" t="inlineStr">
        <is>
          <t>62</t>
        </is>
      </c>
      <c r="K185" s="14" t="inlineStr">
        <is>
          <t>Factura directa</t>
        </is>
      </c>
      <c r="L185" s="9" t="inlineStr">
        <is>
          <t>(factura por entrega)</t>
        </is>
      </c>
    </row>
    <row r="186" ht="15" customHeight="1">
      <c r="A186" s="9" t="inlineStr">
        <is>
          <t>Scanned-image05-10-2026-121805.pdf</t>
        </is>
      </c>
      <c r="B186" s="9" t="n">
        <v>3</v>
      </c>
      <c r="C186" s="9" t="inlineStr">
        <is>
          <t>ACEITE Y SAL</t>
        </is>
      </c>
      <c r="D186" s="12" t="inlineStr">
        <is>
          <t>26004113</t>
        </is>
      </c>
      <c r="E186" s="9" t="inlineStr">
        <is>
          <t>22/09</t>
        </is>
      </c>
      <c r="F186" s="9" t="inlineStr">
        <is>
          <t>LA MINA DE CHAMARTÍN</t>
        </is>
      </c>
      <c r="G186" s="9" t="inlineStr">
        <is>
          <t>SÍ</t>
        </is>
      </c>
      <c r="H186" s="13" t="n">
        <v>201.1</v>
      </c>
      <c r="I186" s="9" t="inlineStr">
        <is>
          <t>OK CON INCIDENCIA</t>
        </is>
      </c>
      <c r="J186" s="9" t="inlineStr">
        <is>
          <t>51, 62</t>
        </is>
      </c>
      <c r="K186" s="14" t="inlineStr">
        <is>
          <t>Devolución sin abonar; Factura directa</t>
        </is>
      </c>
      <c r="L186" s="9" t="inlineStr">
        <is>
          <t>(factura por entrega). nota manuscrita "devolución 1 táper banderillas mal estado" (facturadas 8)</t>
        </is>
      </c>
    </row>
    <row r="187" ht="15" customHeight="1">
      <c r="A187" s="9" t="inlineStr">
        <is>
          <t>Scanned-image05-10-2026-121805.pdf</t>
        </is>
      </c>
      <c r="B187" s="9" t="n">
        <v>4</v>
      </c>
      <c r="C187" s="9" t="inlineStr">
        <is>
          <t>ACEITE Y SAL</t>
        </is>
      </c>
      <c r="D187" s="12" t="inlineStr">
        <is>
          <t>26004025</t>
        </is>
      </c>
      <c r="E187" s="9" t="inlineStr">
        <is>
          <t>15/09</t>
        </is>
      </c>
      <c r="F187" s="9" t="inlineStr">
        <is>
          <t>LA MINA DE CHAMARTÍN</t>
        </is>
      </c>
      <c r="G187" s="9" t="inlineStr">
        <is>
          <t>SÍ</t>
        </is>
      </c>
      <c r="H187" s="13" t="n">
        <v>330.41</v>
      </c>
      <c r="I187" s="9" t="inlineStr">
        <is>
          <t>OK CON INCIDENCIA</t>
        </is>
      </c>
      <c r="J187" s="9" t="inlineStr">
        <is>
          <t>62</t>
        </is>
      </c>
      <c r="K187" s="14" t="inlineStr">
        <is>
          <t>Factura directa</t>
        </is>
      </c>
      <c r="L187" s="9" t="inlineStr">
        <is>
          <t>(factura por entrega)</t>
        </is>
      </c>
    </row>
    <row r="188" ht="15" customHeight="1">
      <c r="A188" s="9" t="inlineStr">
        <is>
          <t>Scanned-image05-10-2026-121805.pdf</t>
        </is>
      </c>
      <c r="B188" s="9" t="n">
        <v>5</v>
      </c>
      <c r="C188" s="9" t="inlineStr">
        <is>
          <t>ACEITE Y SAL</t>
        </is>
      </c>
      <c r="D188" s="12" t="inlineStr">
        <is>
          <t>26004078</t>
        </is>
      </c>
      <c r="E188" s="9" t="inlineStr">
        <is>
          <t>17/09</t>
        </is>
      </c>
      <c r="F188" s="9" t="inlineStr">
        <is>
          <t>LA MINA DE CHAMARTÍN</t>
        </is>
      </c>
      <c r="G188" s="9" t="inlineStr">
        <is>
          <t>SÍ</t>
        </is>
      </c>
      <c r="H188" s="13" t="n">
        <v>180.49</v>
      </c>
      <c r="I188" s="9" t="inlineStr">
        <is>
          <t>OK CON INCIDENCIA</t>
        </is>
      </c>
      <c r="J188" s="9" t="inlineStr">
        <is>
          <t>62</t>
        </is>
      </c>
      <c r="K188" s="14" t="inlineStr">
        <is>
          <t>Factura directa</t>
        </is>
      </c>
      <c r="L188" s="9" t="inlineStr">
        <is>
          <t>(factura por entrega)</t>
        </is>
      </c>
    </row>
    <row r="189" ht="15" customHeight="1">
      <c r="A189" s="9" t="inlineStr">
        <is>
          <t>Scanned-image05-10-2026-121805.pdf</t>
        </is>
      </c>
      <c r="B189" s="9" t="n">
        <v>6</v>
      </c>
      <c r="C189" s="9" t="inlineStr">
        <is>
          <t>ACEITE Y SAL</t>
        </is>
      </c>
      <c r="D189" s="12" t="inlineStr">
        <is>
          <t>26004093</t>
        </is>
      </c>
      <c r="E189" s="9" t="inlineStr">
        <is>
          <t>18/09</t>
        </is>
      </c>
      <c r="F189" s="9" t="inlineStr">
        <is>
          <t>LA MINA DE CHAMARTÍN</t>
        </is>
      </c>
      <c r="G189" s="9" t="inlineStr">
        <is>
          <t>SÍ</t>
        </is>
      </c>
      <c r="H189" s="13" t="n">
        <v>284.89</v>
      </c>
      <c r="I189" s="9" t="inlineStr">
        <is>
          <t>OK CON INCIDENCIA</t>
        </is>
      </c>
      <c r="J189" s="9" t="inlineStr">
        <is>
          <t>62</t>
        </is>
      </c>
      <c r="K189" s="14" t="inlineStr">
        <is>
          <t>Factura directa</t>
        </is>
      </c>
      <c r="L189" s="9" t="inlineStr">
        <is>
          <t>(factura por entrega)</t>
        </is>
      </c>
    </row>
    <row r="190" ht="15" customHeight="1">
      <c r="A190" s="9" t="inlineStr">
        <is>
          <t>Scanned-image05-10-2026-121805.pdf</t>
        </is>
      </c>
      <c r="B190" s="9" t="n">
        <v>7</v>
      </c>
      <c r="C190" s="9" t="inlineStr">
        <is>
          <t>SENSORVISION</t>
        </is>
      </c>
      <c r="D190" s="12" t="inlineStr">
        <is>
          <t>01195</t>
        </is>
      </c>
      <c r="E190" s="9" t="inlineStr">
        <is>
          <t>15/09</t>
        </is>
      </c>
      <c r="F190" s="9" t="inlineStr">
        <is>
          <t>LA MINA DE CHAMARTÍN</t>
        </is>
      </c>
      <c r="G190" s="9" t="inlineStr">
        <is>
          <t>SÍ</t>
        </is>
      </c>
      <c r="H190" s="13" t="n">
        <v>98</v>
      </c>
      <c r="I190" s="9" t="inlineStr">
        <is>
          <t>OK CON INCIDENCIA</t>
        </is>
      </c>
      <c r="J190" s="9" t="inlineStr">
        <is>
          <t>60</t>
        </is>
      </c>
      <c r="K190" s="14" t="inlineStr">
        <is>
          <t>No es compra de género</t>
        </is>
      </c>
      <c r="L190" s="9" t="inlineStr">
        <is>
          <t>Proveedor nuevo, no es compra de género: 2 cajas de papel térmico 80x80 (49 € x 2 + IVA), albarán manuscrito</t>
        </is>
      </c>
    </row>
    <row r="191" ht="15" customHeight="1">
      <c r="A191" s="9" t="inlineStr">
        <is>
          <t>Scanned-image05-10-2026-121805.pdf</t>
        </is>
      </c>
      <c r="B191" s="9" t="n">
        <v>8</v>
      </c>
      <c r="C191" s="9" t="inlineStr">
        <is>
          <t>MAHOU</t>
        </is>
      </c>
      <c r="D191" s="12" t="inlineStr">
        <is>
          <t>10234</t>
        </is>
      </c>
      <c r="E191" s="9" t="inlineStr">
        <is>
          <t>10/09</t>
        </is>
      </c>
      <c r="F191" s="9" t="inlineStr">
        <is>
          <t>LA MINA DE CHAMARTÍN</t>
        </is>
      </c>
      <c r="G191" s="9" t="inlineStr">
        <is>
          <t>NO</t>
        </is>
      </c>
      <c r="H191" s="13" t="n"/>
      <c r="I191" s="9" t="inlineStr">
        <is>
          <t>NO INCLUIDO (revisar)</t>
        </is>
      </c>
      <c r="J191" s="9" t="inlineStr">
        <is>
          <t>47</t>
        </is>
      </c>
      <c r="K191" s="14" t="inlineStr">
        <is>
          <t>Sin valorar</t>
        </is>
      </c>
      <c r="L191" s="9" t="inlineStr">
        <is>
          <t>Albarán de cerveza de tanque: 951 litros. Sin precios.</t>
        </is>
      </c>
    </row>
    <row r="192" ht="15" customHeight="1">
      <c r="A192" s="9" t="inlineStr">
        <is>
          <t>Scanned-image05-10-2026-121805.pdf</t>
        </is>
      </c>
      <c r="B192" s="9" t="n">
        <v>9</v>
      </c>
      <c r="C192" s="9" t="inlineStr">
        <is>
          <t>ACEITE Y SAL</t>
        </is>
      </c>
      <c r="D192" s="12" t="inlineStr">
        <is>
          <t>26003920</t>
        </is>
      </c>
      <c r="E192" s="9" t="inlineStr">
        <is>
          <t>07/09</t>
        </is>
      </c>
      <c r="F192" s="9" t="inlineStr">
        <is>
          <t>LA MINA DE CHAMARTÍN</t>
        </is>
      </c>
      <c r="G192" s="9" t="inlineStr">
        <is>
          <t>SÍ</t>
        </is>
      </c>
      <c r="H192" s="13" t="n">
        <v>220.88</v>
      </c>
      <c r="I192" s="9" t="inlineStr">
        <is>
          <t>OK CON INCIDENCIA</t>
        </is>
      </c>
      <c r="J192" s="9" t="inlineStr">
        <is>
          <t>62</t>
        </is>
      </c>
      <c r="K192" s="14" t="inlineStr">
        <is>
          <t>Factura directa</t>
        </is>
      </c>
      <c r="L192" s="9" t="inlineStr">
        <is>
          <t>(factura por entrega)</t>
        </is>
      </c>
    </row>
    <row r="193" ht="15" customHeight="1">
      <c r="A193" s="9" t="inlineStr">
        <is>
          <t>Scanned-image05-10-2026-121805.pdf</t>
        </is>
      </c>
      <c r="B193" s="9" t="n">
        <v>10</v>
      </c>
      <c r="C193" s="9" t="inlineStr">
        <is>
          <t>ACEITE Y SAL</t>
        </is>
      </c>
      <c r="D193" s="12" t="inlineStr">
        <is>
          <t>26003939</t>
        </is>
      </c>
      <c r="E193" s="9" t="inlineStr">
        <is>
          <t>08/09</t>
        </is>
      </c>
      <c r="F193" s="9" t="inlineStr">
        <is>
          <t>LA MINA DE CHAMARTÍN</t>
        </is>
      </c>
      <c r="G193" s="9" t="inlineStr">
        <is>
          <t>SÍ</t>
        </is>
      </c>
      <c r="H193" s="13" t="n">
        <v>113.21</v>
      </c>
      <c r="I193" s="9" t="inlineStr">
        <is>
          <t>OK CON INCIDENCIA</t>
        </is>
      </c>
      <c r="J193" s="9" t="inlineStr">
        <is>
          <t>62</t>
        </is>
      </c>
      <c r="K193" s="14" t="inlineStr">
        <is>
          <t>Factura directa</t>
        </is>
      </c>
      <c r="L193" s="9" t="inlineStr">
        <is>
          <t>(factura por entrega)</t>
        </is>
      </c>
    </row>
    <row r="194" ht="15" customHeight="1">
      <c r="A194" s="9" t="inlineStr">
        <is>
          <t>Scanned-image05-10-2026-121805.pdf</t>
        </is>
      </c>
      <c r="B194" s="9" t="n">
        <v>11</v>
      </c>
      <c r="C194" s="9" t="inlineStr">
        <is>
          <t>ACEITE Y SAL</t>
        </is>
      </c>
      <c r="D194" s="12" t="inlineStr">
        <is>
          <t>26003992</t>
        </is>
      </c>
      <c r="E194" s="9" t="inlineStr">
        <is>
          <t>11/09</t>
        </is>
      </c>
      <c r="F194" s="9" t="inlineStr">
        <is>
          <t>LA MINA DE CHAMARTÍN</t>
        </is>
      </c>
      <c r="G194" s="9" t="inlineStr">
        <is>
          <t>SÍ</t>
        </is>
      </c>
      <c r="H194" s="13" t="n">
        <v>309.15</v>
      </c>
      <c r="I194" s="9" t="inlineStr">
        <is>
          <t>OK CON INCIDENCIA</t>
        </is>
      </c>
      <c r="J194" s="9" t="inlineStr">
        <is>
          <t>62</t>
        </is>
      </c>
      <c r="K194" s="14" t="inlineStr">
        <is>
          <t>Factura directa</t>
        </is>
      </c>
      <c r="L194" s="9" t="inlineStr">
        <is>
          <t>(factura por entrega)</t>
        </is>
      </c>
    </row>
    <row r="195" ht="15" customHeight="1">
      <c r="A195" s="9" t="inlineStr">
        <is>
          <t>Scanned-image05-10-2026-121805.pdf</t>
        </is>
      </c>
      <c r="B195" s="9" t="n">
        <v>12</v>
      </c>
      <c r="C195" s="9" t="inlineStr">
        <is>
          <t>PESCADERIA PALACIO</t>
        </is>
      </c>
      <c r="D195" s="12" t="inlineStr">
        <is>
          <t>146774</t>
        </is>
      </c>
      <c r="E195" s="9" t="inlineStr">
        <is>
          <t>29/09</t>
        </is>
      </c>
      <c r="F195" s="9" t="inlineStr">
        <is>
          <t>LA MINA DE CHAMARTÍN</t>
        </is>
      </c>
      <c r="G195" s="9" t="inlineStr">
        <is>
          <t>SÍ</t>
        </is>
      </c>
      <c r="H195" s="13" t="n">
        <v>192</v>
      </c>
      <c r="I195" s="9" t="inlineStr">
        <is>
          <t>OK</t>
        </is>
      </c>
      <c r="J195" s="9" t="n"/>
      <c r="K195" s="14" t="n"/>
      <c r="L195" s="9" t="n"/>
    </row>
    <row r="196" ht="15" customHeight="1">
      <c r="A196" s="9" t="inlineStr">
        <is>
          <t>Scanned-image05-10-2026-121805.pdf</t>
        </is>
      </c>
      <c r="B196" s="9" t="n">
        <v>13</v>
      </c>
      <c r="C196" s="9" t="inlineStr">
        <is>
          <t>TOMATERIA DE CEA</t>
        </is>
      </c>
      <c r="D196" s="12" t="inlineStr">
        <is>
          <t>30/09/2026</t>
        </is>
      </c>
      <c r="E196" s="9" t="inlineStr">
        <is>
          <t>30/09</t>
        </is>
      </c>
      <c r="F196" s="9" t="inlineStr">
        <is>
          <t>LA MINA DE CHAMARTÍN</t>
        </is>
      </c>
      <c r="G196" s="9" t="inlineStr">
        <is>
          <t>SÍ</t>
        </is>
      </c>
      <c r="H196" s="13" t="n">
        <v>53.3</v>
      </c>
      <c r="I196" s="9" t="inlineStr">
        <is>
          <t>OK CON INCIDENCIA</t>
        </is>
      </c>
      <c r="J196" s="9" t="inlineStr">
        <is>
          <t>59</t>
        </is>
      </c>
      <c r="K196" s="14" t="inlineStr">
        <is>
          <t>Lectura dudosa</t>
        </is>
      </c>
      <c r="L196" s="9" t="n"/>
    </row>
    <row r="197" ht="15" customHeight="1">
      <c r="A197" s="9" t="inlineStr">
        <is>
          <t>Scanned-image05-10-2026-121805.pdf</t>
        </is>
      </c>
      <c r="B197" s="9" t="n">
        <v>14</v>
      </c>
      <c r="C197" s="9" t="inlineStr">
        <is>
          <t>TOMATERIA DE CEA</t>
        </is>
      </c>
      <c r="D197" s="12" t="inlineStr">
        <is>
          <t>28/09/2026</t>
        </is>
      </c>
      <c r="E197" s="9" t="inlineStr">
        <is>
          <t>28/09</t>
        </is>
      </c>
      <c r="F197" s="9" t="inlineStr">
        <is>
          <t>LA MINA DE CHAMARTÍN</t>
        </is>
      </c>
      <c r="G197" s="9" t="inlineStr">
        <is>
          <t>SÍ</t>
        </is>
      </c>
      <c r="H197" s="13" t="n">
        <v>40.3</v>
      </c>
      <c r="I197" s="9" t="inlineStr">
        <is>
          <t>OK CON INCIDENCIA</t>
        </is>
      </c>
      <c r="J197" s="9" t="inlineStr">
        <is>
          <t>59</t>
        </is>
      </c>
      <c r="K197" s="14" t="inlineStr">
        <is>
          <t>Lectura dudosa</t>
        </is>
      </c>
      <c r="L197" s="9" t="inlineStr">
        <is>
          <t>Albarán roto en la zona del concepto (se lee "…IBERICO")</t>
        </is>
      </c>
    </row>
    <row r="198" ht="15" customHeight="1">
      <c r="A198" s="9" t="inlineStr">
        <is>
          <t>Scanned-image05-10-2026-121805.pdf</t>
        </is>
      </c>
      <c r="B198" s="9" t="n">
        <v>15</v>
      </c>
      <c r="C198" s="9" t="inlineStr">
        <is>
          <t>PESCARUM</t>
        </is>
      </c>
      <c r="D198" s="12" t="inlineStr">
        <is>
          <t>29/09/2026</t>
        </is>
      </c>
      <c r="E198" s="9" t="inlineStr">
        <is>
          <t>29/09</t>
        </is>
      </c>
      <c r="F198" s="9" t="inlineStr">
        <is>
          <t>LA MINA DE CHAMARTÍN</t>
        </is>
      </c>
      <c r="G198" s="9" t="inlineStr">
        <is>
          <t>SÍ</t>
        </is>
      </c>
      <c r="H198" s="13" t="n">
        <v>362.05</v>
      </c>
      <c r="I198" s="9" t="inlineStr">
        <is>
          <t>OK CON INCIDENCIA</t>
        </is>
      </c>
      <c r="J198" s="9" t="inlineStr">
        <is>
          <t>53</t>
        </is>
      </c>
      <c r="K198" s="14" t="inlineStr">
        <is>
          <t>Lectura dudosa</t>
        </is>
      </c>
      <c r="L198" s="9" t="inlineStr">
        <is>
          <t>Al pie pone "PULPO" sin cantidad ni precio. 4º producto de lectura dudosa</t>
        </is>
      </c>
    </row>
    <row r="199" ht="15" customHeight="1">
      <c r="A199" s="9" t="inlineStr">
        <is>
          <t>Scanned-image05-10-2026-121805.pdf</t>
        </is>
      </c>
      <c r="B199" s="9" t="n">
        <v>16</v>
      </c>
      <c r="C199" s="9" t="inlineStr">
        <is>
          <t>ESCRIBANO SANZ</t>
        </is>
      </c>
      <c r="D199" s="12" t="inlineStr">
        <is>
          <t>0960</t>
        </is>
      </c>
      <c r="E199" s="9" t="inlineStr">
        <is>
          <t>29/09</t>
        </is>
      </c>
      <c r="F199" s="9" t="inlineStr">
        <is>
          <t>LA MINA DE CHAMARTÍN</t>
        </is>
      </c>
      <c r="G199" s="9" t="inlineStr">
        <is>
          <t>SÍ</t>
        </is>
      </c>
      <c r="H199" s="13" t="n">
        <v>53.57</v>
      </c>
      <c r="I199" s="9" t="inlineStr">
        <is>
          <t>OK</t>
        </is>
      </c>
      <c r="J199" s="9" t="n"/>
      <c r="K199" s="14" t="n"/>
      <c r="L199" s="9" t="n"/>
    </row>
    <row r="200" ht="15" customHeight="1">
      <c r="A200" s="9" t="inlineStr">
        <is>
          <t>Scanned-image05-10-2026-121805.pdf</t>
        </is>
      </c>
      <c r="B200" s="9" t="n">
        <v>17</v>
      </c>
      <c r="C200" s="9" t="inlineStr">
        <is>
          <t>ENRIQUE CAMPS</t>
        </is>
      </c>
      <c r="D200" s="12" t="inlineStr">
        <is>
          <t>A26/2542</t>
        </is>
      </c>
      <c r="E200" s="9" t="inlineStr">
        <is>
          <t>29/09</t>
        </is>
      </c>
      <c r="F200" s="9" t="inlineStr">
        <is>
          <t>LA MINA DE CHAMARTÍN</t>
        </is>
      </c>
      <c r="G200" s="9" t="inlineStr">
        <is>
          <t>SÍ</t>
        </is>
      </c>
      <c r="H200" s="13" t="n">
        <v>288</v>
      </c>
      <c r="I200" s="9" t="inlineStr">
        <is>
          <t>OK</t>
        </is>
      </c>
      <c r="J200" s="9" t="n"/>
      <c r="K200" s="14" t="n"/>
      <c r="L200" s="9" t="n"/>
    </row>
    <row r="201" ht="15" customHeight="1">
      <c r="A201" s="9" t="inlineStr">
        <is>
          <t>Scanned-image05-10-2026-121805.pdf</t>
        </is>
      </c>
      <c r="B201" s="9" t="n">
        <v>18</v>
      </c>
      <c r="C201" s="9" t="inlineStr">
        <is>
          <t>CRNAS SERVAN</t>
        </is>
      </c>
      <c r="D201" s="12" t="inlineStr">
        <is>
          <t>A2609-0505</t>
        </is>
      </c>
      <c r="E201" s="9" t="inlineStr">
        <is>
          <t>28/09</t>
        </is>
      </c>
      <c r="F201" s="9" t="inlineStr">
        <is>
          <t>LA MINA DE CHAMARTÍN</t>
        </is>
      </c>
      <c r="G201" s="9" t="inlineStr">
        <is>
          <t>SÍ</t>
        </is>
      </c>
      <c r="H201" s="13" t="n">
        <v>64.23999999999999</v>
      </c>
      <c r="I201" s="9" t="inlineStr">
        <is>
          <t>OK</t>
        </is>
      </c>
      <c r="J201" s="9" t="n"/>
      <c r="K201" s="14" t="n"/>
      <c r="L201" s="9" t="n"/>
    </row>
    <row r="202" ht="15" customHeight="1">
      <c r="A202" s="9" t="inlineStr">
        <is>
          <t>Scanned-image05-10-2026-121805.pdf</t>
        </is>
      </c>
      <c r="B202" s="9" t="n">
        <v>19</v>
      </c>
      <c r="C202" s="9" t="inlineStr">
        <is>
          <t>PEÑALASTALLAS</t>
        </is>
      </c>
      <c r="D202" s="12" t="inlineStr">
        <is>
          <t>12670</t>
        </is>
      </c>
      <c r="E202" s="9" t="inlineStr">
        <is>
          <t>30/09</t>
        </is>
      </c>
      <c r="F202" s="9" t="inlineStr">
        <is>
          <t>LA MINA DE CHAMARTÍN</t>
        </is>
      </c>
      <c r="G202" s="9" t="inlineStr">
        <is>
          <t>SÍ</t>
        </is>
      </c>
      <c r="H202" s="13" t="n">
        <v>291.02</v>
      </c>
      <c r="I202" s="9" t="inlineStr">
        <is>
          <t>OK</t>
        </is>
      </c>
      <c r="J202" s="9" t="n"/>
      <c r="K202" s="14" t="n"/>
      <c r="L202" s="9" t="n"/>
    </row>
    <row r="203" ht="15" customHeight="1">
      <c r="A203" s="9" t="inlineStr">
        <is>
          <t>Scanned-image05-10-2026-121805.pdf</t>
        </is>
      </c>
      <c r="B203" s="9" t="n">
        <v>20</v>
      </c>
      <c r="C203" s="9" t="inlineStr">
        <is>
          <t>CRNAS SERVAN</t>
        </is>
      </c>
      <c r="D203" s="12" t="inlineStr">
        <is>
          <t>A2609-0484</t>
        </is>
      </c>
      <c r="E203" s="9" t="inlineStr">
        <is>
          <t>26/09</t>
        </is>
      </c>
      <c r="F203" s="9" t="inlineStr">
        <is>
          <t>LA MINA DE CHAMARTÍN</t>
        </is>
      </c>
      <c r="G203" s="9" t="inlineStr">
        <is>
          <t>SÍ</t>
        </is>
      </c>
      <c r="H203" s="13" t="n">
        <v>63.36</v>
      </c>
      <c r="I203" s="9" t="inlineStr">
        <is>
          <t>OK</t>
        </is>
      </c>
      <c r="J203" s="9" t="n"/>
      <c r="K203" s="14" t="n"/>
      <c r="L203" s="9" t="n"/>
    </row>
    <row r="204" ht="15" customHeight="1">
      <c r="A204" s="9" t="inlineStr">
        <is>
          <t>Scanned-image05-10-2026-121805.pdf</t>
        </is>
      </c>
      <c r="B204" s="9" t="n">
        <v>21</v>
      </c>
      <c r="C204" s="9" t="inlineStr">
        <is>
          <t>CRNAS SERVAN</t>
        </is>
      </c>
      <c r="D204" s="12" t="inlineStr">
        <is>
          <t>A2609-0440</t>
        </is>
      </c>
      <c r="E204" s="9" t="inlineStr">
        <is>
          <t>24/09</t>
        </is>
      </c>
      <c r="F204" s="9" t="inlineStr">
        <is>
          <t>LA MINA DE CHAMARTÍN</t>
        </is>
      </c>
      <c r="G204" s="9" t="inlineStr">
        <is>
          <t>SÍ</t>
        </is>
      </c>
      <c r="H204" s="13" t="n">
        <v>103.54</v>
      </c>
      <c r="I204" s="9" t="inlineStr">
        <is>
          <t>OK</t>
        </is>
      </c>
      <c r="J204" s="9" t="n"/>
      <c r="K204" s="14" t="n"/>
      <c r="L204" s="9" t="n"/>
    </row>
    <row r="205" ht="15" customHeight="1">
      <c r="A205" s="9" t="inlineStr">
        <is>
          <t>Scanned-image05-10-2026-121805.pdf</t>
        </is>
      </c>
      <c r="B205" s="9" t="n">
        <v>22</v>
      </c>
      <c r="C205" s="9" t="inlineStr">
        <is>
          <t>CRNAS SERVAN</t>
        </is>
      </c>
      <c r="D205" s="12" t="inlineStr">
        <is>
          <t>A2609-0384</t>
        </is>
      </c>
      <c r="E205" s="9" t="inlineStr">
        <is>
          <t>22/09</t>
        </is>
      </c>
      <c r="F205" s="9" t="inlineStr">
        <is>
          <t>LA MINA DE CHAMARTÍN</t>
        </is>
      </c>
      <c r="G205" s="9" t="inlineStr">
        <is>
          <t>SÍ</t>
        </is>
      </c>
      <c r="H205" s="13" t="n">
        <v>79.31999999999999</v>
      </c>
      <c r="I205" s="9" t="inlineStr">
        <is>
          <t>OK</t>
        </is>
      </c>
      <c r="J205" s="9" t="n"/>
      <c r="K205" s="14" t="n"/>
      <c r="L205" s="9" t="n"/>
    </row>
    <row r="206" ht="15" customHeight="1">
      <c r="A206" s="9" t="inlineStr">
        <is>
          <t>Scanned-image05-10-2026-121805.pdf</t>
        </is>
      </c>
      <c r="B206" s="9" t="n">
        <v>23</v>
      </c>
      <c r="C206" s="9" t="inlineStr">
        <is>
          <t>PEÑALASTALLAS</t>
        </is>
      </c>
      <c r="D206" s="12" t="inlineStr">
        <is>
          <t>12631</t>
        </is>
      </c>
      <c r="E206" s="9" t="inlineStr">
        <is>
          <t>26/09</t>
        </is>
      </c>
      <c r="F206" s="9" t="inlineStr">
        <is>
          <t>LA MINA DE CHAMARTÍN</t>
        </is>
      </c>
      <c r="G206" s="9" t="inlineStr">
        <is>
          <t>SÍ</t>
        </is>
      </c>
      <c r="H206" s="13" t="n">
        <v>218.87</v>
      </c>
      <c r="I206" s="9" t="inlineStr">
        <is>
          <t>OK</t>
        </is>
      </c>
      <c r="J206" s="9" t="n"/>
      <c r="K206" s="14" t="n"/>
      <c r="L206" s="9" t="n"/>
    </row>
    <row r="207" ht="15" customHeight="1">
      <c r="A207" s="9" t="inlineStr">
        <is>
          <t>Scanned-image05-10-2026-121805.pdf</t>
        </is>
      </c>
      <c r="B207" s="9" t="n">
        <v>24</v>
      </c>
      <c r="C207" s="9" t="inlineStr">
        <is>
          <t>PEÑALASTALLAS</t>
        </is>
      </c>
      <c r="D207" s="12" t="inlineStr">
        <is>
          <t>12600</t>
        </is>
      </c>
      <c r="E207" s="9" t="inlineStr">
        <is>
          <t>23/09</t>
        </is>
      </c>
      <c r="F207" s="9" t="inlineStr">
        <is>
          <t>LA MINA DE CHAMARTÍN</t>
        </is>
      </c>
      <c r="G207" s="9" t="inlineStr">
        <is>
          <t>SÍ</t>
        </is>
      </c>
      <c r="H207" s="13" t="n">
        <v>219.85</v>
      </c>
      <c r="I207" s="9" t="inlineStr">
        <is>
          <t>OK</t>
        </is>
      </c>
      <c r="J207" s="9" t="n"/>
      <c r="K207" s="14" t="n"/>
      <c r="L207" s="9" t="n"/>
    </row>
    <row r="208" ht="15" customHeight="1">
      <c r="A208" s="9" t="inlineStr">
        <is>
          <t>Scanned-image05-10-2026-121805.pdf</t>
        </is>
      </c>
      <c r="B208" s="9" t="n">
        <v>25</v>
      </c>
      <c r="C208" s="9" t="inlineStr">
        <is>
          <t>CRUSTAPESCA</t>
        </is>
      </c>
      <c r="D208" s="12" t="inlineStr">
        <is>
          <t>25093</t>
        </is>
      </c>
      <c r="E208" s="9" t="inlineStr">
        <is>
          <t>25/09</t>
        </is>
      </c>
      <c r="F208" s="9" t="inlineStr">
        <is>
          <t>LA MINA DE CHAMARTÍN</t>
        </is>
      </c>
      <c r="G208" s="9" t="inlineStr">
        <is>
          <t>SÍ</t>
        </is>
      </c>
      <c r="H208" s="13" t="n">
        <v>78</v>
      </c>
      <c r="I208" s="9" t="inlineStr">
        <is>
          <t>OK</t>
        </is>
      </c>
      <c r="J208" s="9" t="n"/>
      <c r="K208" s="14" t="n"/>
      <c r="L208" s="9" t="n"/>
    </row>
    <row r="209" ht="15" customHeight="1">
      <c r="A209" s="9" t="inlineStr">
        <is>
          <t>Scanned-image05-10-2026-121805.pdf</t>
        </is>
      </c>
      <c r="B209" s="9" t="n">
        <v>26</v>
      </c>
      <c r="C209" s="9" t="inlineStr">
        <is>
          <t>CRUSTAPESCA</t>
        </is>
      </c>
      <c r="D209" s="12" t="inlineStr">
        <is>
          <t>24092</t>
        </is>
      </c>
      <c r="E209" s="9" t="inlineStr">
        <is>
          <t>24/09</t>
        </is>
      </c>
      <c r="F209" s="9" t="inlineStr">
        <is>
          <t>LA MINA DE CHAMARTÍN</t>
        </is>
      </c>
      <c r="G209" s="9" t="inlineStr">
        <is>
          <t>SÍ</t>
        </is>
      </c>
      <c r="H209" s="13" t="n">
        <v>468.4</v>
      </c>
      <c r="I209" s="9" t="inlineStr">
        <is>
          <t>OK CON INCIDENCIA</t>
        </is>
      </c>
      <c r="J209" s="9" t="inlineStr">
        <is>
          <t>41</t>
        </is>
      </c>
      <c r="K209" s="14" t="inlineStr">
        <is>
          <t>Devolución sin abonar</t>
        </is>
      </c>
      <c r="L209" s="9" t="inlineStr">
        <is>
          <t>Nota manuscrita "recoge ventresca 2,18 kg" (2,18 kg x 62 = 135,16 € a abonar). Ventresca a 62 €/kg (el 04/09 a 52)</t>
        </is>
      </c>
    </row>
    <row r="210" ht="15" customHeight="1">
      <c r="A210" s="9" t="inlineStr">
        <is>
          <t>Scanned-image05-10-2026-121805.pdf</t>
        </is>
      </c>
      <c r="B210" s="9" t="n">
        <v>27</v>
      </c>
      <c r="C210" s="9" t="inlineStr">
        <is>
          <t>ENRIQUE CAMPS</t>
        </is>
      </c>
      <c r="D210" s="12" t="inlineStr">
        <is>
          <t>A26/2502</t>
        </is>
      </c>
      <c r="E210" s="9" t="inlineStr">
        <is>
          <t>25/09</t>
        </is>
      </c>
      <c r="F210" s="9" t="inlineStr">
        <is>
          <t>LA MINA DE CHAMARTÍN</t>
        </is>
      </c>
      <c r="G210" s="9" t="inlineStr">
        <is>
          <t>SÍ</t>
        </is>
      </c>
      <c r="H210" s="13" t="n">
        <v>107</v>
      </c>
      <c r="I210" s="9" t="inlineStr">
        <is>
          <t>OK</t>
        </is>
      </c>
      <c r="J210" s="9" t="n"/>
      <c r="K210" s="14" t="n"/>
      <c r="L210" s="9" t="n"/>
    </row>
    <row r="211" ht="15" customHeight="1">
      <c r="A211" s="9" t="inlineStr">
        <is>
          <t>Scanned-image05-10-2026-121805.pdf</t>
        </is>
      </c>
      <c r="B211" s="9" t="n">
        <v>28</v>
      </c>
      <c r="C211" s="9" t="inlineStr">
        <is>
          <t>ENRIQUE CAMPS</t>
        </is>
      </c>
      <c r="D211" s="12" t="inlineStr">
        <is>
          <t>A26/2474</t>
        </is>
      </c>
      <c r="E211" s="9" t="inlineStr">
        <is>
          <t>22/09</t>
        </is>
      </c>
      <c r="F211" s="9" t="inlineStr">
        <is>
          <t>LA MINA DE CHAMARTÍN</t>
        </is>
      </c>
      <c r="G211" s="9" t="inlineStr">
        <is>
          <t>SÍ</t>
        </is>
      </c>
      <c r="H211" s="13" t="n">
        <v>216</v>
      </c>
      <c r="I211" s="9" t="inlineStr">
        <is>
          <t>OK</t>
        </is>
      </c>
      <c r="J211" s="9" t="n"/>
      <c r="K211" s="14" t="n"/>
      <c r="L211" s="9" t="n"/>
    </row>
    <row r="212" ht="15" customHeight="1">
      <c r="A212" s="9" t="inlineStr">
        <is>
          <t>Scanned-image05-10-2026-121805.pdf</t>
        </is>
      </c>
      <c r="B212" s="9" t="n">
        <v>29</v>
      </c>
      <c r="C212" s="9" t="inlineStr">
        <is>
          <t>MAXXIMO (MOLLETES)</t>
        </is>
      </c>
      <c r="D212" s="12" t="inlineStr">
        <is>
          <t>s/n (23/09)</t>
        </is>
      </c>
      <c r="E212" s="9" t="inlineStr">
        <is>
          <t>23/09</t>
        </is>
      </c>
      <c r="F212" s="9" t="inlineStr">
        <is>
          <t>LA MINA DE CHAMARTÍN</t>
        </is>
      </c>
      <c r="G212" s="9" t="inlineStr">
        <is>
          <t>SÍ</t>
        </is>
      </c>
      <c r="H212" s="13" t="n">
        <v>81</v>
      </c>
      <c r="I212" s="9" t="inlineStr">
        <is>
          <t>OK CON INCIDENCIA</t>
        </is>
      </c>
      <c r="J212" s="9" t="inlineStr">
        <is>
          <t>49</t>
        </is>
      </c>
      <c r="K212" s="14" t="inlineStr">
        <is>
          <t>Sin datos del proveedor</t>
        </is>
      </c>
      <c r="L212" s="9" t="inlineStr">
        <is>
          <t>Talonario genérico sin nombre ni NIF del proveedor, a "Taberna La Mina": 75 molletes, total 84,24 € (= 81,00 + 4%). Solo figura el total; base y precio (1,08) calculados. Se asigna a "Maxximo" por el albarán igual del 08/09</t>
        </is>
      </c>
    </row>
    <row r="213" ht="15" customHeight="1">
      <c r="A213" s="9" t="inlineStr">
        <is>
          <t>Scanned-image05-10-2026-121805.pdf</t>
        </is>
      </c>
      <c r="B213" s="9" t="n">
        <v>30</v>
      </c>
      <c r="C213" s="9" t="inlineStr">
        <is>
          <t>DISOLTRIGO</t>
        </is>
      </c>
      <c r="D213" s="12" t="inlineStr">
        <is>
          <t>137136</t>
        </is>
      </c>
      <c r="E213" s="9" t="inlineStr">
        <is>
          <t>24/09</t>
        </is>
      </c>
      <c r="F213" s="9" t="inlineStr">
        <is>
          <t>LA MINA DE CHAMARTÍN</t>
        </is>
      </c>
      <c r="G213" s="9" t="inlineStr">
        <is>
          <t>SÍ</t>
        </is>
      </c>
      <c r="H213" s="13" t="n">
        <v>276.5</v>
      </c>
      <c r="I213" s="9" t="inlineStr">
        <is>
          <t>OK</t>
        </is>
      </c>
      <c r="J213" s="9" t="n"/>
      <c r="K213" s="14" t="n"/>
      <c r="L213" s="9" t="n"/>
    </row>
    <row r="214" ht="15" customHeight="1">
      <c r="A214" s="9" t="inlineStr">
        <is>
          <t>Scanned-image05-10-2026-121805.pdf</t>
        </is>
      </c>
      <c r="B214" s="9" t="n">
        <v>31</v>
      </c>
      <c r="C214" s="9" t="inlineStr">
        <is>
          <t>PESCADERIA PALACIO</t>
        </is>
      </c>
      <c r="D214" s="12" t="inlineStr">
        <is>
          <t>146319</t>
        </is>
      </c>
      <c r="E214" s="9" t="inlineStr">
        <is>
          <t>24/09</t>
        </is>
      </c>
      <c r="F214" s="9" t="inlineStr">
        <is>
          <t>LA MINA DE CHAMARTÍN</t>
        </is>
      </c>
      <c r="G214" s="9" t="inlineStr">
        <is>
          <t>SÍ</t>
        </is>
      </c>
      <c r="H214" s="13" t="n">
        <v>148.8</v>
      </c>
      <c r="I214" s="9" t="inlineStr">
        <is>
          <t>OK</t>
        </is>
      </c>
      <c r="J214" s="9" t="n"/>
      <c r="K214" s="14" t="n"/>
      <c r="L214" s="9" t="n"/>
    </row>
    <row r="215" ht="15" customHeight="1">
      <c r="A215" s="9" t="inlineStr">
        <is>
          <t>Scanned-image05-10-2026-121805.pdf</t>
        </is>
      </c>
      <c r="B215" s="9" t="n">
        <v>32</v>
      </c>
      <c r="C215" s="9" t="inlineStr">
        <is>
          <t>TOMATERIA DE CEA</t>
        </is>
      </c>
      <c r="D215" s="12" t="inlineStr">
        <is>
          <t>26/09/2026</t>
        </is>
      </c>
      <c r="E215" s="9" t="inlineStr">
        <is>
          <t>26/09</t>
        </is>
      </c>
      <c r="F215" s="9" t="inlineStr">
        <is>
          <t>LA MINA DE CHAMARTÍN</t>
        </is>
      </c>
      <c r="G215" s="9" t="inlineStr">
        <is>
          <t>SÍ</t>
        </is>
      </c>
      <c r="H215" s="13" t="n">
        <v>82.55</v>
      </c>
      <c r="I215" s="9" t="inlineStr">
        <is>
          <t>OK</t>
        </is>
      </c>
      <c r="J215" s="9" t="n"/>
      <c r="K215" s="14" t="n"/>
      <c r="L215" s="9" t="n"/>
    </row>
    <row r="216" ht="15" customHeight="1">
      <c r="A216" s="9" t="inlineStr">
        <is>
          <t>Scanned-image05-10-2026-121805.pdf</t>
        </is>
      </c>
      <c r="B216" s="9" t="n">
        <v>33</v>
      </c>
      <c r="C216" s="9" t="inlineStr">
        <is>
          <t>TOMATERIA DE CEA</t>
        </is>
      </c>
      <c r="D216" s="12" t="inlineStr">
        <is>
          <t>22/09/2026</t>
        </is>
      </c>
      <c r="E216" s="9" t="inlineStr">
        <is>
          <t>22/09</t>
        </is>
      </c>
      <c r="F216" s="9" t="inlineStr">
        <is>
          <t>LA MINA DE CHAMARTÍN</t>
        </is>
      </c>
      <c r="G216" s="9" t="inlineStr">
        <is>
          <t>SÍ</t>
        </is>
      </c>
      <c r="H216" s="13" t="n">
        <v>39</v>
      </c>
      <c r="I216" s="9" t="inlineStr">
        <is>
          <t>OK</t>
        </is>
      </c>
      <c r="J216" s="9" t="n"/>
      <c r="K216" s="14" t="n"/>
      <c r="L216" s="9" t="n"/>
    </row>
    <row r="217" ht="15" customHeight="1">
      <c r="A217" s="9" t="inlineStr">
        <is>
          <t>Scanned-image05-10-2026-121805.pdf</t>
        </is>
      </c>
      <c r="B217" s="9" t="n">
        <v>34</v>
      </c>
      <c r="C217" s="9" t="inlineStr">
        <is>
          <t>TOMATERIA DE CEA</t>
        </is>
      </c>
      <c r="D217" s="12" t="inlineStr">
        <is>
          <t>21/09/2026</t>
        </is>
      </c>
      <c r="E217" s="9" t="inlineStr">
        <is>
          <t>21/09</t>
        </is>
      </c>
      <c r="F217" s="9" t="inlineStr">
        <is>
          <t>LA MINA DE CHAMARTÍN</t>
        </is>
      </c>
      <c r="G217" s="9" t="inlineStr">
        <is>
          <t>SÍ</t>
        </is>
      </c>
      <c r="H217" s="13" t="n">
        <v>40.95</v>
      </c>
      <c r="I217" s="9" t="inlineStr">
        <is>
          <t>OK</t>
        </is>
      </c>
      <c r="J217" s="9" t="n"/>
      <c r="K217" s="14" t="n"/>
      <c r="L217" s="9" t="n"/>
    </row>
    <row r="218" ht="15" customHeight="1">
      <c r="A218" s="9" t="inlineStr">
        <is>
          <t>Scanned-image05-10-2026-121805.pdf</t>
        </is>
      </c>
      <c r="B218" s="9" t="n">
        <v>35</v>
      </c>
      <c r="C218" s="9" t="inlineStr">
        <is>
          <t>PESCARUM</t>
        </is>
      </c>
      <c r="D218" s="12" t="inlineStr">
        <is>
          <t>26/09/2026</t>
        </is>
      </c>
      <c r="E218" s="9" t="inlineStr">
        <is>
          <t>26/09</t>
        </is>
      </c>
      <c r="F218" s="9" t="inlineStr">
        <is>
          <t>LA MINA DE CHAMARTÍN</t>
        </is>
      </c>
      <c r="G218" s="9" t="inlineStr">
        <is>
          <t>SÍ</t>
        </is>
      </c>
      <c r="H218" s="13" t="n">
        <v>896.8200000000001</v>
      </c>
      <c r="I218" s="9" t="inlineStr">
        <is>
          <t>OK</t>
        </is>
      </c>
      <c r="J218" s="9" t="n"/>
      <c r="K218" s="14" t="n"/>
      <c r="L218" s="9" t="n"/>
    </row>
    <row r="219" ht="15" customHeight="1">
      <c r="A219" s="9" t="inlineStr">
        <is>
          <t>Scanned-image05-10-2026-121805.pdf</t>
        </is>
      </c>
      <c r="B219" s="9" t="n">
        <v>36</v>
      </c>
      <c r="C219" s="9" t="inlineStr">
        <is>
          <t>PESCARUM</t>
        </is>
      </c>
      <c r="D219" s="12" t="inlineStr">
        <is>
          <t>25/09/2026</t>
        </is>
      </c>
      <c r="E219" s="9" t="inlineStr">
        <is>
          <t>25/09</t>
        </is>
      </c>
      <c r="F219" s="9" t="inlineStr">
        <is>
          <t>LA MINA DE CHAMARTÍN</t>
        </is>
      </c>
      <c r="G219" s="9" t="inlineStr">
        <is>
          <t>SÍ</t>
        </is>
      </c>
      <c r="H219" s="13" t="n">
        <v>404.6</v>
      </c>
      <c r="I219" s="9" t="inlineStr">
        <is>
          <t>OK</t>
        </is>
      </c>
      <c r="J219" s="9" t="n"/>
      <c r="K219" s="14" t="n"/>
      <c r="L219" s="9" t="n"/>
    </row>
    <row r="220" ht="15" customHeight="1">
      <c r="A220" s="9" t="inlineStr">
        <is>
          <t>Scanned-image05-10-2026-121805.pdf</t>
        </is>
      </c>
      <c r="B220" s="9" t="n">
        <v>37</v>
      </c>
      <c r="C220" s="9" t="inlineStr">
        <is>
          <t>PESCARUM</t>
        </is>
      </c>
      <c r="D220" s="12" t="inlineStr">
        <is>
          <t>24/09/2026</t>
        </is>
      </c>
      <c r="E220" s="9" t="inlineStr">
        <is>
          <t>24/09</t>
        </is>
      </c>
      <c r="F220" s="9" t="inlineStr">
        <is>
          <t>LA MINA DE CHAMARTÍN</t>
        </is>
      </c>
      <c r="G220" s="9" t="inlineStr">
        <is>
          <t>SÍ</t>
        </is>
      </c>
      <c r="H220" s="13" t="n">
        <v>207</v>
      </c>
      <c r="I220" s="9" t="inlineStr">
        <is>
          <t>OK</t>
        </is>
      </c>
      <c r="J220" s="9" t="n"/>
      <c r="K220" s="14" t="n"/>
      <c r="L220" s="9" t="n"/>
    </row>
    <row r="221" ht="15" customHeight="1">
      <c r="A221" s="9" t="inlineStr">
        <is>
          <t>Scanned-image05-10-2026-121805.pdf</t>
        </is>
      </c>
      <c r="B221" s="9" t="n">
        <v>38</v>
      </c>
      <c r="C221" s="9" t="inlineStr">
        <is>
          <t>PESCARUM</t>
        </is>
      </c>
      <c r="D221" s="12" t="inlineStr">
        <is>
          <t>23/09/2026</t>
        </is>
      </c>
      <c r="E221" s="9" t="inlineStr">
        <is>
          <t>23/09</t>
        </is>
      </c>
      <c r="F221" s="9" t="inlineStr">
        <is>
          <t>LA MINA DE CHAMARTÍN</t>
        </is>
      </c>
      <c r="G221" s="9" t="inlineStr">
        <is>
          <t>SÍ</t>
        </is>
      </c>
      <c r="H221" s="13" t="n">
        <v>441.24</v>
      </c>
      <c r="I221" s="9" t="inlineStr">
        <is>
          <t>OK</t>
        </is>
      </c>
      <c r="J221" s="9" t="n"/>
      <c r="K221" s="14" t="n"/>
      <c r="L221" s="9" t="n"/>
    </row>
    <row r="222" ht="15" customHeight="1">
      <c r="A222" s="9" t="inlineStr">
        <is>
          <t>Scanned-image05-10-2026-121805.pdf</t>
        </is>
      </c>
      <c r="B222" s="9" t="n">
        <v>39</v>
      </c>
      <c r="C222" s="9" t="inlineStr">
        <is>
          <t>PESCARUM</t>
        </is>
      </c>
      <c r="D222" s="12" t="inlineStr">
        <is>
          <t>22/09/2026</t>
        </is>
      </c>
      <c r="E222" s="9" t="inlineStr">
        <is>
          <t>22/09</t>
        </is>
      </c>
      <c r="F222" s="9" t="inlineStr">
        <is>
          <t>LA MINA DE CHAMARTÍN</t>
        </is>
      </c>
      <c r="G222" s="9" t="inlineStr">
        <is>
          <t>SÍ</t>
        </is>
      </c>
      <c r="H222" s="13" t="n">
        <v>532.9299999999999</v>
      </c>
      <c r="I222" s="9" t="inlineStr">
        <is>
          <t>OK</t>
        </is>
      </c>
      <c r="J222" s="9" t="n"/>
      <c r="K222" s="14" t="n"/>
      <c r="L222" s="9" t="n"/>
    </row>
    <row r="223" ht="15" customHeight="1">
      <c r="A223" s="9" t="inlineStr">
        <is>
          <t>Scanned-image05-10-2026-121805.pdf</t>
        </is>
      </c>
      <c r="B223" s="9" t="n">
        <v>40</v>
      </c>
      <c r="C223" s="9" t="inlineStr">
        <is>
          <t>ESCRIBANO SANZ</t>
        </is>
      </c>
      <c r="D223" s="12" t="inlineStr">
        <is>
          <t>0931</t>
        </is>
      </c>
      <c r="E223" s="9" t="inlineStr">
        <is>
          <t>23/09</t>
        </is>
      </c>
      <c r="F223" s="9" t="inlineStr">
        <is>
          <t>LA MINA DE CHAMARTÍN</t>
        </is>
      </c>
      <c r="G223" s="9" t="inlineStr">
        <is>
          <t>SÍ</t>
        </is>
      </c>
      <c r="H223" s="13" t="n">
        <v>163.3</v>
      </c>
      <c r="I223" s="9" t="inlineStr">
        <is>
          <t>OK</t>
        </is>
      </c>
      <c r="J223" s="9" t="n"/>
      <c r="K223" s="14" t="n"/>
      <c r="L223" s="9" t="n"/>
    </row>
    <row r="224" ht="15" customHeight="1">
      <c r="A224" s="9" t="inlineStr">
        <is>
          <t>Scanned-image05-10-2026-121805.pdf</t>
        </is>
      </c>
      <c r="B224" s="9" t="n">
        <v>41</v>
      </c>
      <c r="C224" s="9" t="inlineStr">
        <is>
          <t>TOMATERIA DE CEA</t>
        </is>
      </c>
      <c r="D224" s="12" t="inlineStr">
        <is>
          <t>19/09/2026</t>
        </is>
      </c>
      <c r="E224" s="9" t="inlineStr">
        <is>
          <t>19/09</t>
        </is>
      </c>
      <c r="F224" s="9" t="inlineStr">
        <is>
          <t>LA MINA DE CHAMARTÍN</t>
        </is>
      </c>
      <c r="G224" s="9" t="inlineStr">
        <is>
          <t>SÍ</t>
        </is>
      </c>
      <c r="H224" s="13" t="n">
        <v>66.3</v>
      </c>
      <c r="I224" s="9" t="inlineStr">
        <is>
          <t>OK</t>
        </is>
      </c>
      <c r="J224" s="9" t="n"/>
      <c r="K224" s="14" t="n"/>
      <c r="L224" s="9" t="n"/>
    </row>
    <row r="225" ht="15" customHeight="1">
      <c r="A225" s="9" t="inlineStr">
        <is>
          <t>Scanned-image05-10-2026-121805.pdf</t>
        </is>
      </c>
      <c r="B225" s="9" t="n">
        <v>42</v>
      </c>
      <c r="C225" s="9" t="inlineStr">
        <is>
          <t>TOMATERIA DE CEA</t>
        </is>
      </c>
      <c r="D225" s="12" t="inlineStr">
        <is>
          <t>18/09/2026</t>
        </is>
      </c>
      <c r="E225" s="9" t="inlineStr">
        <is>
          <t>18/09</t>
        </is>
      </c>
      <c r="F225" s="9" t="inlineStr">
        <is>
          <t>LA MINA DE CHAMARTÍN</t>
        </is>
      </c>
      <c r="G225" s="9" t="inlineStr">
        <is>
          <t>SÍ</t>
        </is>
      </c>
      <c r="H225" s="13" t="n">
        <v>42.9</v>
      </c>
      <c r="I225" s="9" t="inlineStr">
        <is>
          <t>OK</t>
        </is>
      </c>
      <c r="J225" s="9" t="n"/>
      <c r="K225" s="14" t="n"/>
      <c r="L225" s="9" t="n"/>
    </row>
    <row r="226" ht="15" customHeight="1">
      <c r="A226" s="9" t="inlineStr">
        <is>
          <t>Scanned-image05-10-2026-121805.pdf</t>
        </is>
      </c>
      <c r="B226" s="9" t="n">
        <v>43</v>
      </c>
      <c r="C226" s="9" t="inlineStr">
        <is>
          <t>TOMATERIA DE CEA</t>
        </is>
      </c>
      <c r="D226" s="12" t="inlineStr">
        <is>
          <t>17/09/2026</t>
        </is>
      </c>
      <c r="E226" s="9" t="inlineStr">
        <is>
          <t>17/09</t>
        </is>
      </c>
      <c r="F226" s="9" t="inlineStr">
        <is>
          <t>LA MINA DE CHAMARTÍN</t>
        </is>
      </c>
      <c r="G226" s="9" t="inlineStr">
        <is>
          <t>SÍ</t>
        </is>
      </c>
      <c r="H226" s="13" t="n">
        <v>40.3</v>
      </c>
      <c r="I226" s="9" t="inlineStr">
        <is>
          <t>OK</t>
        </is>
      </c>
      <c r="J226" s="9" t="n"/>
      <c r="K226" s="14" t="n"/>
      <c r="L226" s="9" t="n"/>
    </row>
    <row r="227" ht="15" customHeight="1">
      <c r="A227" s="9" t="inlineStr">
        <is>
          <t>Scanned-image05-10-2026-121805.pdf</t>
        </is>
      </c>
      <c r="B227" s="9" t="n">
        <v>44</v>
      </c>
      <c r="C227" s="9" t="inlineStr">
        <is>
          <t>TOMATERIA DE CEA</t>
        </is>
      </c>
      <c r="D227" s="12" t="inlineStr">
        <is>
          <t>16/09/2026</t>
        </is>
      </c>
      <c r="E227" s="9" t="inlineStr">
        <is>
          <t>16/09</t>
        </is>
      </c>
      <c r="F227" s="9" t="inlineStr">
        <is>
          <t>LA MINA DE CHAMARTÍN</t>
        </is>
      </c>
      <c r="G227" s="9" t="inlineStr">
        <is>
          <t>SÍ</t>
        </is>
      </c>
      <c r="H227" s="13" t="n">
        <v>40.3</v>
      </c>
      <c r="I227" s="9" t="inlineStr">
        <is>
          <t>OK</t>
        </is>
      </c>
      <c r="J227" s="9" t="n"/>
      <c r="K227" s="14" t="n"/>
      <c r="L227" s="9" t="n"/>
    </row>
    <row r="228" ht="15" customHeight="1">
      <c r="A228" s="9" t="inlineStr">
        <is>
          <t>Scanned-image05-10-2026-121805.pdf</t>
        </is>
      </c>
      <c r="B228" s="9" t="n">
        <v>45</v>
      </c>
      <c r="C228" s="9" t="inlineStr">
        <is>
          <t>PESCARUM</t>
        </is>
      </c>
      <c r="D228" s="12" t="inlineStr">
        <is>
          <t>19/09/2026</t>
        </is>
      </c>
      <c r="E228" s="9" t="inlineStr">
        <is>
          <t>19/09</t>
        </is>
      </c>
      <c r="F228" s="9" t="inlineStr">
        <is>
          <t>LA MINA DE CHAMARTÍN</t>
        </is>
      </c>
      <c r="G228" s="9" t="inlineStr">
        <is>
          <t>SÍ</t>
        </is>
      </c>
      <c r="H228" s="13" t="n">
        <v>763.23</v>
      </c>
      <c r="I228" s="9" t="inlineStr">
        <is>
          <t>OK</t>
        </is>
      </c>
      <c r="J228" s="9" t="n"/>
      <c r="K228" s="14" t="n"/>
      <c r="L228" s="9" t="n"/>
    </row>
    <row r="229" ht="15" customHeight="1">
      <c r="A229" s="9" t="inlineStr">
        <is>
          <t>Scanned-image05-10-2026-121805.pdf</t>
        </is>
      </c>
      <c r="B229" s="9" t="n">
        <v>46</v>
      </c>
      <c r="C229" s="9" t="inlineStr">
        <is>
          <t>PESCARUM</t>
        </is>
      </c>
      <c r="D229" s="12" t="inlineStr">
        <is>
          <t>18/09/2026</t>
        </is>
      </c>
      <c r="E229" s="9" t="inlineStr">
        <is>
          <t>18/09</t>
        </is>
      </c>
      <c r="F229" s="9" t="inlineStr">
        <is>
          <t>LA MINA DE CHAMARTÍN</t>
        </is>
      </c>
      <c r="G229" s="9" t="inlineStr">
        <is>
          <t>SÍ</t>
        </is>
      </c>
      <c r="H229" s="13" t="n">
        <v>489.2</v>
      </c>
      <c r="I229" s="9" t="inlineStr">
        <is>
          <t>OK CON INCIDENCIA</t>
        </is>
      </c>
      <c r="J229" s="9" t="inlineStr">
        <is>
          <t>53</t>
        </is>
      </c>
      <c r="K229" s="14" t="inlineStr">
        <is>
          <t>Lectura dudosa</t>
        </is>
      </c>
      <c r="L229" s="9" t="inlineStr">
        <is>
          <t>Navaja añadida a mano después de cerrar el albarán (primer total 511,72 tachado)</t>
        </is>
      </c>
    </row>
    <row r="230" ht="15" customHeight="1">
      <c r="A230" s="9" t="inlineStr">
        <is>
          <t>Scanned-image05-10-2026-121805.pdf</t>
        </is>
      </c>
      <c r="B230" s="9" t="n">
        <v>47</v>
      </c>
      <c r="C230" s="9" t="inlineStr">
        <is>
          <t>PESCARUM</t>
        </is>
      </c>
      <c r="D230" s="12" t="inlineStr">
        <is>
          <t>17/09/2026</t>
        </is>
      </c>
      <c r="E230" s="9" t="inlineStr">
        <is>
          <t>17/09</t>
        </is>
      </c>
      <c r="F230" s="9" t="inlineStr">
        <is>
          <t>LA MINA DE CHAMARTÍN</t>
        </is>
      </c>
      <c r="G230" s="9" t="inlineStr">
        <is>
          <t>SÍ</t>
        </is>
      </c>
      <c r="H230" s="13" t="n">
        <v>173</v>
      </c>
      <c r="I230" s="9" t="inlineStr">
        <is>
          <t>OK</t>
        </is>
      </c>
      <c r="J230" s="9" t="n"/>
      <c r="K230" s="14" t="n"/>
      <c r="L230" s="9" t="n"/>
    </row>
    <row r="231" ht="15" customHeight="1">
      <c r="A231" s="9" t="inlineStr">
        <is>
          <t>Scanned-image05-10-2026-121805.pdf</t>
        </is>
      </c>
      <c r="B231" s="9" t="n">
        <v>48</v>
      </c>
      <c r="C231" s="9" t="inlineStr">
        <is>
          <t>PESCARUM</t>
        </is>
      </c>
      <c r="D231" s="12" t="inlineStr">
        <is>
          <t>16/09/2026</t>
        </is>
      </c>
      <c r="E231" s="9" t="inlineStr">
        <is>
          <t>16/09</t>
        </is>
      </c>
      <c r="F231" s="9" t="inlineStr">
        <is>
          <t>LA MINA DE CHAMARTÍN</t>
        </is>
      </c>
      <c r="G231" s="9" t="inlineStr">
        <is>
          <t>SÍ</t>
        </is>
      </c>
      <c r="H231" s="13" t="n">
        <v>546.13</v>
      </c>
      <c r="I231" s="9" t="inlineStr">
        <is>
          <t>OK</t>
        </is>
      </c>
      <c r="J231" s="9" t="n"/>
      <c r="K231" s="14" t="n"/>
      <c r="L231" s="9" t="n"/>
    </row>
    <row r="232" ht="15" customHeight="1">
      <c r="A232" s="9" t="inlineStr">
        <is>
          <t>Scanned-image05-10-2026-121805.pdf</t>
        </is>
      </c>
      <c r="B232" s="9" t="n">
        <v>49</v>
      </c>
      <c r="C232" s="9" t="inlineStr">
        <is>
          <t>PESCARUM</t>
        </is>
      </c>
      <c r="D232" s="12" t="inlineStr">
        <is>
          <t>15/09/2026</t>
        </is>
      </c>
      <c r="E232" s="9" t="inlineStr">
        <is>
          <t>15/09</t>
        </is>
      </c>
      <c r="F232" s="9" t="inlineStr">
        <is>
          <t>LA MINA DE CHAMARTÍN</t>
        </is>
      </c>
      <c r="G232" s="9" t="inlineStr">
        <is>
          <t>SÍ</t>
        </is>
      </c>
      <c r="H232" s="13" t="n">
        <v>492.1</v>
      </c>
      <c r="I232" s="9" t="inlineStr">
        <is>
          <t>OK CON INCIDENCIA</t>
        </is>
      </c>
      <c r="J232" s="9" t="inlineStr">
        <is>
          <t>53</t>
        </is>
      </c>
      <c r="K232" s="14" t="inlineStr">
        <is>
          <t>Lectura dudosa</t>
        </is>
      </c>
      <c r="L232" s="9" t="inlineStr">
        <is>
          <t>Hay una 4ª línea tachada (7,9 pulpo repetido)</t>
        </is>
      </c>
    </row>
    <row r="233" ht="15" customHeight="1">
      <c r="A233" s="9" t="inlineStr">
        <is>
          <t>Scanned-image05-10-2026-121805.pdf</t>
        </is>
      </c>
      <c r="B233" s="9" t="n">
        <v>50</v>
      </c>
      <c r="C233" s="9" t="inlineStr">
        <is>
          <t>ESCRIBANO SANZ</t>
        </is>
      </c>
      <c r="D233" s="12" t="inlineStr">
        <is>
          <t>0813</t>
        </is>
      </c>
      <c r="E233" s="9" t="inlineStr">
        <is>
          <t>15/09</t>
        </is>
      </c>
      <c r="F233" s="9" t="inlineStr">
        <is>
          <t>LA MINA DE CHAMARTÍN</t>
        </is>
      </c>
      <c r="G233" s="9" t="inlineStr">
        <is>
          <t>SÍ</t>
        </is>
      </c>
      <c r="H233" s="13" t="n">
        <v>79.09999999999999</v>
      </c>
      <c r="I233" s="9" t="inlineStr">
        <is>
          <t>OK</t>
        </is>
      </c>
      <c r="J233" s="9" t="n"/>
      <c r="K233" s="14" t="n"/>
      <c r="L233" s="9" t="n"/>
    </row>
    <row r="234" ht="15" customHeight="1">
      <c r="A234" s="9" t="inlineStr">
        <is>
          <t>Scanned-image05-10-2026-121805.pdf</t>
        </is>
      </c>
      <c r="B234" s="9" t="n">
        <v>51</v>
      </c>
      <c r="C234" s="9" t="inlineStr">
        <is>
          <t>ENRIQUE CAMPS</t>
        </is>
      </c>
      <c r="D234" s="12" t="inlineStr">
        <is>
          <t>A26/2426</t>
        </is>
      </c>
      <c r="E234" s="9" t="inlineStr">
        <is>
          <t>18/09</t>
        </is>
      </c>
      <c r="F234" s="9" t="inlineStr">
        <is>
          <t>LA MINA DE CHAMARTÍN</t>
        </is>
      </c>
      <c r="G234" s="9" t="inlineStr">
        <is>
          <t>SÍ</t>
        </is>
      </c>
      <c r="H234" s="13" t="n">
        <v>109</v>
      </c>
      <c r="I234" s="9" t="inlineStr">
        <is>
          <t>OK</t>
        </is>
      </c>
      <c r="J234" s="9" t="n"/>
      <c r="K234" s="14" t="n"/>
      <c r="L234" s="9" t="n"/>
    </row>
    <row r="235" ht="15" customHeight="1">
      <c r="A235" s="9" t="inlineStr">
        <is>
          <t>Scanned-image05-10-2026-121805.pdf</t>
        </is>
      </c>
      <c r="B235" s="9" t="n">
        <v>52</v>
      </c>
      <c r="C235" s="9" t="inlineStr">
        <is>
          <t>ENRIQUE CAMPS</t>
        </is>
      </c>
      <c r="D235" s="12" t="inlineStr">
        <is>
          <t>A26/2386</t>
        </is>
      </c>
      <c r="E235" s="9" t="inlineStr">
        <is>
          <t>15/09</t>
        </is>
      </c>
      <c r="F235" s="9" t="inlineStr">
        <is>
          <t>LA MINA DE CHAMARTÍN</t>
        </is>
      </c>
      <c r="G235" s="9" t="inlineStr">
        <is>
          <t>SÍ</t>
        </is>
      </c>
      <c r="H235" s="13" t="n">
        <v>177</v>
      </c>
      <c r="I235" s="9" t="inlineStr">
        <is>
          <t>OK</t>
        </is>
      </c>
      <c r="J235" s="9" t="n"/>
      <c r="K235" s="14" t="n"/>
      <c r="L235" s="9" t="n"/>
    </row>
    <row r="236" ht="15" customHeight="1">
      <c r="A236" s="9" t="inlineStr">
        <is>
          <t>Scanned-image05-10-2026-121805.pdf</t>
        </is>
      </c>
      <c r="B236" s="9" t="n">
        <v>53</v>
      </c>
      <c r="C236" s="9" t="inlineStr">
        <is>
          <t>CRUSTAPESCA</t>
        </is>
      </c>
      <c r="D236" s="12" t="inlineStr">
        <is>
          <t>19091</t>
        </is>
      </c>
      <c r="E236" s="9" t="inlineStr">
        <is>
          <t>19/09</t>
        </is>
      </c>
      <c r="F236" s="9" t="inlineStr">
        <is>
          <t>LA MINA DE CHAMARTÍN</t>
        </is>
      </c>
      <c r="G236" s="9" t="inlineStr">
        <is>
          <t>SÍ</t>
        </is>
      </c>
      <c r="H236" s="13" t="n">
        <v>156</v>
      </c>
      <c r="I236" s="9" t="inlineStr">
        <is>
          <t>OK</t>
        </is>
      </c>
      <c r="J236" s="9" t="n"/>
      <c r="K236" s="14" t="n"/>
      <c r="L236" s="9" t="n"/>
    </row>
    <row r="237" ht="15" customHeight="1">
      <c r="A237" s="9" t="inlineStr">
        <is>
          <t>Scanned-image05-10-2026-121805.pdf</t>
        </is>
      </c>
      <c r="B237" s="9" t="n">
        <v>54</v>
      </c>
      <c r="C237" s="9" t="inlineStr">
        <is>
          <t>CRUSTAPESCA</t>
        </is>
      </c>
      <c r="D237" s="12" t="inlineStr">
        <is>
          <t>17091</t>
        </is>
      </c>
      <c r="E237" s="9" t="inlineStr">
        <is>
          <t>17/09</t>
        </is>
      </c>
      <c r="F237" s="9" t="inlineStr">
        <is>
          <t>LA MINA DE CHAMARTÍN</t>
        </is>
      </c>
      <c r="G237" s="9" t="inlineStr">
        <is>
          <t>SÍ</t>
        </is>
      </c>
      <c r="H237" s="13" t="n">
        <v>198</v>
      </c>
      <c r="I237" s="9" t="inlineStr">
        <is>
          <t>OK</t>
        </is>
      </c>
      <c r="J237" s="9" t="n"/>
      <c r="K237" s="14" t="n"/>
      <c r="L237" s="9" t="n"/>
    </row>
    <row r="238" ht="15" customHeight="1">
      <c r="A238" s="9" t="inlineStr">
        <is>
          <t>Scanned-image05-10-2026-121805.pdf</t>
        </is>
      </c>
      <c r="B238" s="9" t="n">
        <v>55</v>
      </c>
      <c r="C238" s="9" t="inlineStr">
        <is>
          <t>CRUSTAPESCA</t>
        </is>
      </c>
      <c r="D238" s="12" t="inlineStr">
        <is>
          <t>15091</t>
        </is>
      </c>
      <c r="E238" s="9" t="inlineStr">
        <is>
          <t>15/09</t>
        </is>
      </c>
      <c r="F238" s="9" t="inlineStr">
        <is>
          <t>LA MINA DE CHAMARTÍN</t>
        </is>
      </c>
      <c r="G238" s="9" t="inlineStr">
        <is>
          <t>SÍ</t>
        </is>
      </c>
      <c r="H238" s="13" t="n">
        <v>301.6</v>
      </c>
      <c r="I238" s="9" t="inlineStr">
        <is>
          <t>OK</t>
        </is>
      </c>
      <c r="J238" s="9" t="n"/>
      <c r="K238" s="14" t="n"/>
      <c r="L238" s="9" t="n"/>
    </row>
    <row r="239" ht="15" customHeight="1">
      <c r="A239" s="9" t="inlineStr">
        <is>
          <t>Scanned-image05-10-2026-121805.pdf</t>
        </is>
      </c>
      <c r="B239" s="9" t="n">
        <v>56</v>
      </c>
      <c r="C239" s="9" t="inlineStr">
        <is>
          <t>PEÑALASTALLAS</t>
        </is>
      </c>
      <c r="D239" s="12" t="inlineStr">
        <is>
          <t>12558</t>
        </is>
      </c>
      <c r="E239" s="9" t="inlineStr">
        <is>
          <t>19/09</t>
        </is>
      </c>
      <c r="F239" s="9" t="inlineStr">
        <is>
          <t>LA MINA DE CHAMARTÍN</t>
        </is>
      </c>
      <c r="G239" s="9" t="inlineStr">
        <is>
          <t>SÍ</t>
        </is>
      </c>
      <c r="H239" s="13" t="n">
        <v>215.05</v>
      </c>
      <c r="I239" s="9" t="inlineStr">
        <is>
          <t>OK</t>
        </is>
      </c>
      <c r="J239" s="9" t="n"/>
      <c r="K239" s="14" t="n"/>
      <c r="L239" s="9" t="n"/>
    </row>
    <row r="240" ht="15" customHeight="1">
      <c r="A240" s="9" t="inlineStr">
        <is>
          <t>Scanned-image05-10-2026-121805.pdf</t>
        </is>
      </c>
      <c r="B240" s="9" t="n">
        <v>57</v>
      </c>
      <c r="C240" s="9" t="inlineStr">
        <is>
          <t>PEÑALASTALLAS</t>
        </is>
      </c>
      <c r="D240" s="12" t="inlineStr">
        <is>
          <t>12521</t>
        </is>
      </c>
      <c r="E240" s="9" t="inlineStr">
        <is>
          <t>16/09</t>
        </is>
      </c>
      <c r="F240" s="9" t="inlineStr">
        <is>
          <t>LA MINA DE CHAMARTÍN</t>
        </is>
      </c>
      <c r="G240" s="9" t="inlineStr">
        <is>
          <t>SÍ</t>
        </is>
      </c>
      <c r="H240" s="13" t="n">
        <v>55</v>
      </c>
      <c r="I240" s="9" t="inlineStr">
        <is>
          <t>OK</t>
        </is>
      </c>
      <c r="J240" s="9" t="n"/>
      <c r="K240" s="14" t="n"/>
      <c r="L240" s="9" t="n"/>
    </row>
    <row r="241" ht="15" customHeight="1">
      <c r="A241" s="9" t="inlineStr">
        <is>
          <t>Scanned-image05-10-2026-121805.pdf</t>
        </is>
      </c>
      <c r="B241" s="9" t="n">
        <v>58</v>
      </c>
      <c r="C241" s="9" t="inlineStr">
        <is>
          <t>CRNAS SERVAN</t>
        </is>
      </c>
      <c r="D241" s="12" t="inlineStr">
        <is>
          <t>A2609-0338</t>
        </is>
      </c>
      <c r="E241" s="9" t="inlineStr">
        <is>
          <t>19/09</t>
        </is>
      </c>
      <c r="F241" s="9" t="inlineStr">
        <is>
          <t>LA MINA DE CHAMARTÍN</t>
        </is>
      </c>
      <c r="G241" s="9" t="inlineStr">
        <is>
          <t>SÍ</t>
        </is>
      </c>
      <c r="H241" s="13" t="n">
        <v>83.3</v>
      </c>
      <c r="I241" s="9" t="inlineStr">
        <is>
          <t>OK</t>
        </is>
      </c>
      <c r="J241" s="9" t="n"/>
      <c r="K241" s="14" t="n"/>
      <c r="L241" s="9" t="n"/>
    </row>
    <row r="242" ht="15" customHeight="1">
      <c r="A242" s="9" t="inlineStr">
        <is>
          <t>Scanned-image05-10-2026-121805.pdf</t>
        </is>
      </c>
      <c r="B242" s="9" t="n">
        <v>59</v>
      </c>
      <c r="C242" s="9" t="inlineStr">
        <is>
          <t>CRNAS SERVAN</t>
        </is>
      </c>
      <c r="D242" s="12" t="inlineStr">
        <is>
          <t>A2609-0298</t>
        </is>
      </c>
      <c r="E242" s="9" t="inlineStr">
        <is>
          <t>17/09</t>
        </is>
      </c>
      <c r="F242" s="9" t="inlineStr">
        <is>
          <t>LA MINA DE CHAMARTÍN</t>
        </is>
      </c>
      <c r="G242" s="9" t="inlineStr">
        <is>
          <t>SÍ</t>
        </is>
      </c>
      <c r="H242" s="13" t="n">
        <v>70.40000000000001</v>
      </c>
      <c r="I242" s="9" t="inlineStr">
        <is>
          <t>OK</t>
        </is>
      </c>
      <c r="J242" s="9" t="n"/>
      <c r="K242" s="14" t="n"/>
      <c r="L242" s="9" t="n"/>
    </row>
    <row r="243" ht="15" customHeight="1">
      <c r="A243" s="9" t="inlineStr">
        <is>
          <t>Scanned-image05-10-2026-121805.pdf</t>
        </is>
      </c>
      <c r="B243" s="9" t="n">
        <v>60</v>
      </c>
      <c r="C243" s="9" t="inlineStr">
        <is>
          <t>CRNAS SERVAN</t>
        </is>
      </c>
      <c r="D243" s="12" t="inlineStr">
        <is>
          <t>A2609-0271</t>
        </is>
      </c>
      <c r="E243" s="9" t="inlineStr">
        <is>
          <t>15/09</t>
        </is>
      </c>
      <c r="F243" s="9" t="inlineStr">
        <is>
          <t>LA MINA DE CHAMARTÍN</t>
        </is>
      </c>
      <c r="G243" s="9" t="inlineStr">
        <is>
          <t>SÍ</t>
        </is>
      </c>
      <c r="H243" s="13" t="n">
        <v>64.23999999999999</v>
      </c>
      <c r="I243" s="9" t="inlineStr">
        <is>
          <t>OK</t>
        </is>
      </c>
      <c r="J243" s="9" t="n"/>
      <c r="K243" s="14" t="n"/>
      <c r="L243" s="9" t="n"/>
    </row>
    <row r="244" ht="15" customHeight="1">
      <c r="A244" s="9" t="inlineStr">
        <is>
          <t>Scanned-image05-10-2026-121805.pdf</t>
        </is>
      </c>
      <c r="B244" s="9" t="n">
        <v>61</v>
      </c>
      <c r="C244" s="9" t="inlineStr">
        <is>
          <t>CRNAS SERVAN</t>
        </is>
      </c>
      <c r="D244" s="12" t="inlineStr">
        <is>
          <t>A2609-0245</t>
        </is>
      </c>
      <c r="E244" s="9" t="inlineStr">
        <is>
          <t>14/09</t>
        </is>
      </c>
      <c r="F244" s="9" t="inlineStr">
        <is>
          <t>LA MINA DE CHAMARTÍN</t>
        </is>
      </c>
      <c r="G244" s="9" t="inlineStr">
        <is>
          <t>SÍ</t>
        </is>
      </c>
      <c r="H244" s="13" t="n">
        <v>52.5</v>
      </c>
      <c r="I244" s="9" t="inlineStr">
        <is>
          <t>OK</t>
        </is>
      </c>
      <c r="J244" s="9" t="n"/>
      <c r="K244" s="14" t="n"/>
      <c r="L244" s="9" t="n"/>
    </row>
    <row r="245" ht="15" customHeight="1">
      <c r="A245" s="9" t="inlineStr">
        <is>
          <t>Scanned-image05-10-2026-121805.pdf</t>
        </is>
      </c>
      <c r="B245" s="9" t="n">
        <v>62</v>
      </c>
      <c r="C245" s="9" t="inlineStr">
        <is>
          <t>PESCADERIA PALACIO</t>
        </is>
      </c>
      <c r="D245" s="12" t="inlineStr">
        <is>
          <t>145600</t>
        </is>
      </c>
      <c r="E245" s="9" t="inlineStr">
        <is>
          <t>17/09</t>
        </is>
      </c>
      <c r="F245" s="9" t="inlineStr">
        <is>
          <t>LA MINA DE CHAMARTÍN</t>
        </is>
      </c>
      <c r="G245" s="9" t="inlineStr">
        <is>
          <t>SÍ</t>
        </is>
      </c>
      <c r="H245" s="13" t="n">
        <v>206.4</v>
      </c>
      <c r="I245" s="9" t="inlineStr">
        <is>
          <t>OK</t>
        </is>
      </c>
      <c r="J245" s="9" t="n"/>
      <c r="K245" s="14" t="n"/>
      <c r="L245" s="9" t="n"/>
    </row>
    <row r="246" ht="15" customHeight="1">
      <c r="A246" s="9" t="inlineStr">
        <is>
          <t>Scanned-image05-10-2026-121805.pdf</t>
        </is>
      </c>
      <c r="B246" s="9" t="n">
        <v>63</v>
      </c>
      <c r="C246" s="9" t="inlineStr">
        <is>
          <t>DISOLTRIGO</t>
        </is>
      </c>
      <c r="D246" s="12" t="inlineStr">
        <is>
          <t>136819</t>
        </is>
      </c>
      <c r="E246" s="9" t="inlineStr">
        <is>
          <t>17/09</t>
        </is>
      </c>
      <c r="F246" s="9" t="inlineStr">
        <is>
          <t>LA MINA DE CHAMARTÍN</t>
        </is>
      </c>
      <c r="G246" s="9" t="inlineStr">
        <is>
          <t>SÍ</t>
        </is>
      </c>
      <c r="H246" s="13" t="n">
        <v>193.5</v>
      </c>
      <c r="I246" s="9" t="inlineStr">
        <is>
          <t>OK</t>
        </is>
      </c>
      <c r="J246" s="9" t="n"/>
      <c r="K246" s="14" t="n"/>
      <c r="L246" s="9" t="n"/>
    </row>
    <row r="247" ht="15" customHeight="1">
      <c r="A247" s="9" t="inlineStr">
        <is>
          <t>Scanned-image05-10-2026-121805.pdf</t>
        </is>
      </c>
      <c r="B247" s="9" t="n">
        <v>64</v>
      </c>
      <c r="C247" s="9" t="inlineStr">
        <is>
          <t>PESCARUM</t>
        </is>
      </c>
      <c r="D247" s="12" t="inlineStr">
        <is>
          <t>12/09/2026</t>
        </is>
      </c>
      <c r="E247" s="9" t="inlineStr">
        <is>
          <t>12/09</t>
        </is>
      </c>
      <c r="F247" s="9" t="inlineStr">
        <is>
          <t>LA MINA DE CHAMARTÍN</t>
        </is>
      </c>
      <c r="G247" s="9" t="inlineStr">
        <is>
          <t>SÍ</t>
        </is>
      </c>
      <c r="H247" s="13" t="n">
        <v>303.5</v>
      </c>
      <c r="I247" s="9" t="inlineStr">
        <is>
          <t>OK CON INCIDENCIA</t>
        </is>
      </c>
      <c r="J247" s="9" t="inlineStr">
        <is>
          <t>53</t>
        </is>
      </c>
      <c r="K247" s="14" t="inlineStr">
        <is>
          <t>Lectura dudosa</t>
        </is>
      </c>
      <c r="L247" s="9" t="inlineStr">
        <is>
          <t>Las líneas suman 303,50 (+10% = 333,85, que está escrito y tachado); encima han escrito 336,05 (2,20 € más). Se toma 303,50</t>
        </is>
      </c>
    </row>
    <row r="248" ht="15" customHeight="1">
      <c r="A248" s="9" t="inlineStr">
        <is>
          <t>Scanned-image05-10-2026-121805.pdf</t>
        </is>
      </c>
      <c r="B248" s="9" t="n">
        <v>65</v>
      </c>
      <c r="C248" s="9" t="inlineStr">
        <is>
          <t>PESCARUM</t>
        </is>
      </c>
      <c r="D248" s="12" t="inlineStr">
        <is>
          <t>11/09/2026</t>
        </is>
      </c>
      <c r="E248" s="9" t="inlineStr">
        <is>
          <t>11/09</t>
        </is>
      </c>
      <c r="F248" s="9" t="inlineStr">
        <is>
          <t>LA MINA DE CHAMARTÍN</t>
        </is>
      </c>
      <c r="G248" s="9" t="inlineStr">
        <is>
          <t>SÍ</t>
        </is>
      </c>
      <c r="H248" s="13" t="n">
        <v>166.1</v>
      </c>
      <c r="I248" s="9" t="inlineStr">
        <is>
          <t>OK</t>
        </is>
      </c>
      <c r="J248" s="9" t="n"/>
      <c r="K248" s="14" t="n"/>
      <c r="L248" s="9" t="n"/>
    </row>
    <row r="249" ht="15" customHeight="1">
      <c r="A249" s="9" t="inlineStr">
        <is>
          <t>Scanned-image05-10-2026-121805.pdf</t>
        </is>
      </c>
      <c r="B249" s="9" t="n">
        <v>66</v>
      </c>
      <c r="C249" s="9" t="inlineStr">
        <is>
          <t>PESCARUM</t>
        </is>
      </c>
      <c r="D249" s="12" t="inlineStr">
        <is>
          <t>10/09/2026</t>
        </is>
      </c>
      <c r="E249" s="9" t="inlineStr">
        <is>
          <t>10/09</t>
        </is>
      </c>
      <c r="F249" s="9" t="inlineStr">
        <is>
          <t>LA MINA DE CHAMARTÍN</t>
        </is>
      </c>
      <c r="G249" s="9" t="inlineStr">
        <is>
          <t>SÍ</t>
        </is>
      </c>
      <c r="H249" s="13" t="n">
        <v>530.37</v>
      </c>
      <c r="I249" s="9" t="inlineStr">
        <is>
          <t>OK</t>
        </is>
      </c>
      <c r="J249" s="9" t="n"/>
      <c r="K249" s="14" t="n"/>
      <c r="L249" s="9" t="n"/>
    </row>
    <row r="250" ht="15" customHeight="1">
      <c r="A250" s="9" t="inlineStr">
        <is>
          <t>Scanned-image05-10-2026-121805.pdf</t>
        </is>
      </c>
      <c r="B250" s="9" t="n">
        <v>67</v>
      </c>
      <c r="C250" s="9" t="inlineStr">
        <is>
          <t>PESCARUM</t>
        </is>
      </c>
      <c r="D250" s="12" t="inlineStr">
        <is>
          <t>09/09/2026</t>
        </is>
      </c>
      <c r="E250" s="9" t="inlineStr">
        <is>
          <t>09/09</t>
        </is>
      </c>
      <c r="F250" s="9" t="inlineStr">
        <is>
          <t>LA MINA DE CHAMARTÍN</t>
        </is>
      </c>
      <c r="G250" s="9" t="inlineStr">
        <is>
          <t>SÍ</t>
        </is>
      </c>
      <c r="H250" s="13" t="n">
        <v>541.47</v>
      </c>
      <c r="I250" s="9" t="inlineStr">
        <is>
          <t>OK</t>
        </is>
      </c>
      <c r="J250" s="9" t="n"/>
      <c r="K250" s="14" t="n"/>
      <c r="L250" s="9" t="n"/>
    </row>
    <row r="251" ht="15" customHeight="1">
      <c r="A251" s="9" t="inlineStr">
        <is>
          <t>Scanned-image05-10-2026-121805.pdf</t>
        </is>
      </c>
      <c r="B251" s="9" t="n">
        <v>68</v>
      </c>
      <c r="C251" s="9" t="inlineStr">
        <is>
          <t>PESCARUM</t>
        </is>
      </c>
      <c r="D251" s="12" t="inlineStr">
        <is>
          <t>08/09/2026</t>
        </is>
      </c>
      <c r="E251" s="9" t="inlineStr">
        <is>
          <t>08/09</t>
        </is>
      </c>
      <c r="F251" s="9" t="inlineStr">
        <is>
          <t>LA MINA DE CHAMARTÍN</t>
        </is>
      </c>
      <c r="G251" s="9" t="inlineStr">
        <is>
          <t>SÍ</t>
        </is>
      </c>
      <c r="H251" s="13" t="n">
        <v>787.39</v>
      </c>
      <c r="I251" s="9" t="inlineStr">
        <is>
          <t>OK</t>
        </is>
      </c>
      <c r="J251" s="9" t="n"/>
      <c r="K251" s="14" t="n"/>
      <c r="L251" s="9" t="n"/>
    </row>
    <row r="252" ht="15" customHeight="1">
      <c r="A252" s="9" t="inlineStr">
        <is>
          <t>Scanned-image05-10-2026-121805.pdf</t>
        </is>
      </c>
      <c r="B252" s="9" t="n">
        <v>69</v>
      </c>
      <c r="C252" s="9" t="inlineStr">
        <is>
          <t>ENRIQUE CAMPS</t>
        </is>
      </c>
      <c r="D252" s="12" t="inlineStr">
        <is>
          <t>A26/2345</t>
        </is>
      </c>
      <c r="E252" s="9" t="inlineStr">
        <is>
          <t>11/09</t>
        </is>
      </c>
      <c r="F252" s="9" t="inlineStr">
        <is>
          <t>LA MINA DE CHAMARTÍN</t>
        </is>
      </c>
      <c r="G252" s="9" t="inlineStr">
        <is>
          <t>SÍ</t>
        </is>
      </c>
      <c r="H252" s="13" t="n">
        <v>144</v>
      </c>
      <c r="I252" s="9" t="inlineStr">
        <is>
          <t>OK</t>
        </is>
      </c>
      <c r="J252" s="9" t="n"/>
      <c r="K252" s="14" t="n"/>
      <c r="L252" s="9" t="n"/>
    </row>
    <row r="253" ht="15" customHeight="1">
      <c r="A253" s="9" t="inlineStr">
        <is>
          <t>Scanned-image05-10-2026-121805.pdf</t>
        </is>
      </c>
      <c r="B253" s="9" t="n">
        <v>70</v>
      </c>
      <c r="C253" s="9" t="inlineStr">
        <is>
          <t>ENRIQUE CAMPS</t>
        </is>
      </c>
      <c r="D253" s="12" t="inlineStr">
        <is>
          <t>A26/2286</t>
        </is>
      </c>
      <c r="E253" s="9" t="inlineStr">
        <is>
          <t>08/09</t>
        </is>
      </c>
      <c r="F253" s="9" t="inlineStr">
        <is>
          <t>LA MINA DE CHAMARTÍN</t>
        </is>
      </c>
      <c r="G253" s="9" t="inlineStr">
        <is>
          <t>SÍ</t>
        </is>
      </c>
      <c r="H253" s="13" t="n">
        <v>253</v>
      </c>
      <c r="I253" s="9" t="inlineStr">
        <is>
          <t>OK</t>
        </is>
      </c>
      <c r="J253" s="9" t="n"/>
      <c r="K253" s="14" t="n"/>
      <c r="L253" s="9" t="n"/>
    </row>
    <row r="254" ht="15" customHeight="1">
      <c r="A254" s="9" t="inlineStr">
        <is>
          <t>Scanned-image05-10-2026-121805.pdf</t>
        </is>
      </c>
      <c r="B254" s="9" t="n">
        <v>71</v>
      </c>
      <c r="C254" s="9" t="inlineStr">
        <is>
          <t>CRUSTAPESCA</t>
        </is>
      </c>
      <c r="D254" s="12" t="inlineStr">
        <is>
          <t>12091</t>
        </is>
      </c>
      <c r="E254" s="9" t="inlineStr">
        <is>
          <t>12/09</t>
        </is>
      </c>
      <c r="F254" s="9" t="inlineStr">
        <is>
          <t>LA MINA DE CHAMARTÍN</t>
        </is>
      </c>
      <c r="G254" s="9" t="inlineStr">
        <is>
          <t>SÍ</t>
        </is>
      </c>
      <c r="H254" s="13" t="n">
        <v>156</v>
      </c>
      <c r="I254" s="9" t="inlineStr">
        <is>
          <t>OK</t>
        </is>
      </c>
      <c r="J254" s="9" t="n"/>
      <c r="K254" s="14" t="n"/>
      <c r="L254" s="9" t="n"/>
    </row>
    <row r="255" ht="15" customHeight="1">
      <c r="A255" s="9" t="inlineStr">
        <is>
          <t>Scanned-image05-10-2026-121805.pdf</t>
        </is>
      </c>
      <c r="B255" s="9" t="n">
        <v>72</v>
      </c>
      <c r="C255" s="9" t="inlineStr">
        <is>
          <t>CRUSTAPESCA</t>
        </is>
      </c>
      <c r="D255" s="12" t="inlineStr">
        <is>
          <t>110911</t>
        </is>
      </c>
      <c r="E255" s="9" t="inlineStr">
        <is>
          <t>11/09</t>
        </is>
      </c>
      <c r="F255" s="9" t="inlineStr">
        <is>
          <t>LA MINA DE CHAMARTÍN</t>
        </is>
      </c>
      <c r="G255" s="9" t="inlineStr">
        <is>
          <t>SÍ</t>
        </is>
      </c>
      <c r="H255" s="13" t="n">
        <v>78</v>
      </c>
      <c r="I255" s="9" t="inlineStr">
        <is>
          <t>OK</t>
        </is>
      </c>
      <c r="J255" s="9" t="n"/>
      <c r="K255" s="14" t="n"/>
      <c r="L255" s="9" t="n"/>
    </row>
    <row r="256" ht="15" customHeight="1">
      <c r="A256" s="9" t="inlineStr">
        <is>
          <t>Scanned-image05-10-2026-121805.pdf</t>
        </is>
      </c>
      <c r="B256" s="9" t="n">
        <v>73</v>
      </c>
      <c r="C256" s="9" t="inlineStr">
        <is>
          <t>CRUSTAPESCA</t>
        </is>
      </c>
      <c r="D256" s="12" t="inlineStr">
        <is>
          <t>7069</t>
        </is>
      </c>
      <c r="E256" s="9" t="inlineStr">
        <is>
          <t>08/09</t>
        </is>
      </c>
      <c r="F256" s="9" t="inlineStr">
        <is>
          <t>LA MINA DE CHAMARTÍN</t>
        </is>
      </c>
      <c r="G256" s="9" t="inlineStr">
        <is>
          <t>SÍ</t>
        </is>
      </c>
      <c r="H256" s="13" t="n">
        <v>78</v>
      </c>
      <c r="I256" s="9" t="inlineStr">
        <is>
          <t>OK</t>
        </is>
      </c>
      <c r="J256" s="9" t="n"/>
      <c r="K256" s="14" t="n"/>
      <c r="L256" s="9" t="n"/>
    </row>
    <row r="257" ht="15" customHeight="1">
      <c r="A257" s="9" t="inlineStr">
        <is>
          <t>Scanned-image05-10-2026-121805.pdf</t>
        </is>
      </c>
      <c r="B257" s="9" t="n">
        <v>74</v>
      </c>
      <c r="C257" s="9" t="inlineStr">
        <is>
          <t>PEÑALASTALLAS</t>
        </is>
      </c>
      <c r="D257" s="12" t="inlineStr">
        <is>
          <t>12484</t>
        </is>
      </c>
      <c r="E257" s="9" t="inlineStr">
        <is>
          <t>12/09</t>
        </is>
      </c>
      <c r="F257" s="9" t="inlineStr">
        <is>
          <t>LA MINA DE CHAMARTÍN</t>
        </is>
      </c>
      <c r="G257" s="9" t="inlineStr">
        <is>
          <t>SÍ</t>
        </is>
      </c>
      <c r="H257" s="13" t="n">
        <v>210.29</v>
      </c>
      <c r="I257" s="9" t="inlineStr">
        <is>
          <t>OK</t>
        </is>
      </c>
      <c r="J257" s="9" t="n"/>
      <c r="K257" s="14" t="n"/>
      <c r="L257" s="9" t="n"/>
    </row>
    <row r="258" ht="15" customHeight="1">
      <c r="A258" s="9" t="inlineStr">
        <is>
          <t>Scanned-image05-10-2026-121805.pdf</t>
        </is>
      </c>
      <c r="B258" s="9" t="n">
        <v>75</v>
      </c>
      <c r="C258" s="9" t="inlineStr">
        <is>
          <t>PEÑALASTALLAS</t>
        </is>
      </c>
      <c r="D258" s="12" t="inlineStr">
        <is>
          <t>12460</t>
        </is>
      </c>
      <c r="E258" s="9" t="inlineStr">
        <is>
          <t>09/09</t>
        </is>
      </c>
      <c r="F258" s="9" t="inlineStr">
        <is>
          <t>LA MINA DE CHAMARTÍN</t>
        </is>
      </c>
      <c r="G258" s="9" t="inlineStr">
        <is>
          <t>SÍ</t>
        </is>
      </c>
      <c r="H258" s="13" t="n">
        <v>203.17</v>
      </c>
      <c r="I258" s="9" t="inlineStr">
        <is>
          <t>OK</t>
        </is>
      </c>
      <c r="J258" s="9" t="n"/>
      <c r="K258" s="14" t="n"/>
      <c r="L258" s="9" t="n"/>
    </row>
    <row r="259" ht="15" customHeight="1">
      <c r="A259" s="9" t="inlineStr">
        <is>
          <t>Scanned-image05-10-2026-121805.pdf</t>
        </is>
      </c>
      <c r="B259" s="9" t="n">
        <v>76</v>
      </c>
      <c r="C259" s="9" t="inlineStr">
        <is>
          <t>ESCRIBANO SANZ</t>
        </is>
      </c>
      <c r="D259" s="12" t="inlineStr">
        <is>
          <t>0746</t>
        </is>
      </c>
      <c r="E259" s="9" t="inlineStr">
        <is>
          <t>09/09</t>
        </is>
      </c>
      <c r="F259" s="9" t="inlineStr">
        <is>
          <t>LA MINA DE CHAMARTÍN</t>
        </is>
      </c>
      <c r="G259" s="9" t="inlineStr">
        <is>
          <t>SÍ</t>
        </is>
      </c>
      <c r="H259" s="13" t="n">
        <v>74.90000000000001</v>
      </c>
      <c r="I259" s="9" t="inlineStr">
        <is>
          <t>OK</t>
        </is>
      </c>
      <c r="J259" s="9" t="n"/>
      <c r="K259" s="14" t="n"/>
      <c r="L259" s="9" t="n"/>
    </row>
    <row r="260" ht="15" customHeight="1">
      <c r="A260" s="9" t="inlineStr">
        <is>
          <t>Scanned-image05-10-2026-121805.pdf</t>
        </is>
      </c>
      <c r="B260" s="9" t="n">
        <v>77</v>
      </c>
      <c r="C260" s="9" t="inlineStr">
        <is>
          <t>CRNAS SERVAN</t>
        </is>
      </c>
      <c r="D260" s="12" t="inlineStr">
        <is>
          <t>A2609-0177</t>
        </is>
      </c>
      <c r="E260" s="9" t="inlineStr">
        <is>
          <t>10/09</t>
        </is>
      </c>
      <c r="F260" s="9" t="inlineStr">
        <is>
          <t>LA MINA DE CHAMARTÍN</t>
        </is>
      </c>
      <c r="G260" s="9" t="inlineStr">
        <is>
          <t>SÍ</t>
        </is>
      </c>
      <c r="H260" s="13" t="n">
        <v>115.4</v>
      </c>
      <c r="I260" s="9" t="inlineStr">
        <is>
          <t>OK</t>
        </is>
      </c>
      <c r="J260" s="9" t="n"/>
      <c r="K260" s="14" t="n"/>
      <c r="L260" s="9" t="n"/>
    </row>
    <row r="261" ht="15" customHeight="1">
      <c r="A261" s="9" t="inlineStr">
        <is>
          <t>Scanned-image05-10-2026-121805.pdf</t>
        </is>
      </c>
      <c r="B261" s="9" t="n">
        <v>78</v>
      </c>
      <c r="C261" s="9" t="inlineStr">
        <is>
          <t>CRNAS SERVAN</t>
        </is>
      </c>
      <c r="D261" s="12" t="inlineStr">
        <is>
          <t>A2609-0146</t>
        </is>
      </c>
      <c r="E261" s="9" t="inlineStr">
        <is>
          <t>08/09</t>
        </is>
      </c>
      <c r="F261" s="9" t="inlineStr">
        <is>
          <t>LA MINA DE CHAMARTÍN</t>
        </is>
      </c>
      <c r="G261" s="9" t="inlineStr">
        <is>
          <t>SÍ</t>
        </is>
      </c>
      <c r="H261" s="13" t="n">
        <v>81.84</v>
      </c>
      <c r="I261" s="9" t="inlineStr">
        <is>
          <t>OK</t>
        </is>
      </c>
      <c r="J261" s="9" t="n"/>
      <c r="K261" s="14" t="n"/>
      <c r="L261" s="9" t="n"/>
    </row>
    <row r="262" ht="15" customHeight="1">
      <c r="A262" s="9" t="inlineStr">
        <is>
          <t>Scanned-image05-10-2026-121805.pdf</t>
        </is>
      </c>
      <c r="B262" s="9" t="n">
        <v>79</v>
      </c>
      <c r="C262" s="9" t="inlineStr">
        <is>
          <t>CRNAS SERVAN</t>
        </is>
      </c>
      <c r="D262" s="12" t="inlineStr">
        <is>
          <t>A2609-0112</t>
        </is>
      </c>
      <c r="E262" s="9" t="inlineStr">
        <is>
          <t>07/09</t>
        </is>
      </c>
      <c r="F262" s="9" t="inlineStr">
        <is>
          <t>LA MINA DE CHAMARTÍN</t>
        </is>
      </c>
      <c r="G262" s="9" t="inlineStr">
        <is>
          <t>SÍ</t>
        </is>
      </c>
      <c r="H262" s="13" t="n">
        <v>30.6</v>
      </c>
      <c r="I262" s="9" t="inlineStr">
        <is>
          <t>OK</t>
        </is>
      </c>
      <c r="J262" s="9" t="n"/>
      <c r="K262" s="14" t="n"/>
      <c r="L262" s="9" t="n"/>
    </row>
    <row r="263" ht="15" customHeight="1">
      <c r="A263" s="9" t="inlineStr">
        <is>
          <t>Scanned-image05-10-2026-121805.pdf</t>
        </is>
      </c>
      <c r="B263" s="9" t="n">
        <v>80</v>
      </c>
      <c r="C263" s="9" t="inlineStr">
        <is>
          <t>MAXXIMO (MOLLETES)</t>
        </is>
      </c>
      <c r="D263" s="12" t="inlineStr">
        <is>
          <t>s/n (08/09)</t>
        </is>
      </c>
      <c r="E263" s="9" t="inlineStr">
        <is>
          <t>08/09</t>
        </is>
      </c>
      <c r="F263" s="9" t="inlineStr">
        <is>
          <t>LA MINA DE CHAMARTÍN</t>
        </is>
      </c>
      <c r="G263" s="9" t="inlineStr">
        <is>
          <t>SÍ</t>
        </is>
      </c>
      <c r="H263" s="13" t="n">
        <v>81</v>
      </c>
      <c r="I263" s="9" t="inlineStr">
        <is>
          <t>OK CON INCIDENCIA</t>
        </is>
      </c>
      <c r="J263" s="9" t="inlineStr">
        <is>
          <t>49</t>
        </is>
      </c>
      <c r="K263" s="14" t="inlineStr">
        <is>
          <t>Sin datos del proveedor</t>
        </is>
      </c>
      <c r="L263" s="9" t="inlineStr">
        <is>
          <t>Talonario genérico sin NIF, con "Maxximo" escrito a mano arriba, a "Taberna La Mina": 75 molletes, total 84,24 € (= 81,00 + 4%). Solo figura el total; base y precio (1,08) calculados</t>
        </is>
      </c>
    </row>
    <row r="264" ht="15" customHeight="1">
      <c r="A264" s="9" t="inlineStr">
        <is>
          <t>Scanned-image05-10-2026-121805.pdf</t>
        </is>
      </c>
      <c r="B264" s="9" t="n">
        <v>81</v>
      </c>
      <c r="C264" s="9" t="inlineStr">
        <is>
          <t>DISOLTRIGO</t>
        </is>
      </c>
      <c r="D264" s="12" t="inlineStr">
        <is>
          <t>136553</t>
        </is>
      </c>
      <c r="E264" s="9" t="inlineStr">
        <is>
          <t>10/09</t>
        </is>
      </c>
      <c r="F264" s="9" t="inlineStr">
        <is>
          <t>LA MINA DE CHAMARTÍN</t>
        </is>
      </c>
      <c r="G264" s="9" t="inlineStr">
        <is>
          <t>SÍ</t>
        </is>
      </c>
      <c r="H264" s="13" t="n">
        <v>318</v>
      </c>
      <c r="I264" s="9" t="inlineStr">
        <is>
          <t>OK</t>
        </is>
      </c>
      <c r="J264" s="9" t="n"/>
      <c r="K264" s="14" t="n"/>
      <c r="L264" s="9" t="n"/>
    </row>
    <row r="265" ht="15" customHeight="1">
      <c r="A265" s="9" t="inlineStr">
        <is>
          <t>Scanned-image05-10-2026-121805.pdf</t>
        </is>
      </c>
      <c r="B265" s="9" t="n">
        <v>82</v>
      </c>
      <c r="C265" s="9" t="inlineStr">
        <is>
          <t>PESCADERIA PALACIO</t>
        </is>
      </c>
      <c r="D265" s="12" t="inlineStr">
        <is>
          <t>144801</t>
        </is>
      </c>
      <c r="E265" s="9" t="inlineStr">
        <is>
          <t>09/09</t>
        </is>
      </c>
      <c r="F265" s="9" t="inlineStr">
        <is>
          <t>LA MINA DE CHAMARTÍN</t>
        </is>
      </c>
      <c r="G265" s="9" t="inlineStr">
        <is>
          <t>SÍ</t>
        </is>
      </c>
      <c r="H265" s="13" t="n">
        <v>261.6</v>
      </c>
      <c r="I265" s="9" t="inlineStr">
        <is>
          <t>OK</t>
        </is>
      </c>
      <c r="J265" s="9" t="n"/>
      <c r="K265" s="14" t="n"/>
      <c r="L265" s="9" t="n"/>
    </row>
    <row r="266" ht="15" customHeight="1">
      <c r="A266" s="9" t="inlineStr">
        <is>
          <t>Scanned-image05-10-2026-121805.pdf</t>
        </is>
      </c>
      <c r="B266" s="9" t="n">
        <v>83</v>
      </c>
      <c r="C266" s="9" t="inlineStr">
        <is>
          <t>TOMATERIA DE CEA</t>
        </is>
      </c>
      <c r="D266" s="12" t="inlineStr">
        <is>
          <t>12/09/2026</t>
        </is>
      </c>
      <c r="E266" s="9" t="inlineStr">
        <is>
          <t>12/09</t>
        </is>
      </c>
      <c r="F266" s="9" t="inlineStr">
        <is>
          <t>LA MINA DE CHAMARTÍN</t>
        </is>
      </c>
      <c r="G266" s="9" t="inlineStr">
        <is>
          <t>SÍ</t>
        </is>
      </c>
      <c r="H266" s="13" t="n">
        <v>42.9</v>
      </c>
      <c r="I266" s="9" t="inlineStr">
        <is>
          <t>OK CON INCIDENCIA</t>
        </is>
      </c>
      <c r="J266" s="9" t="inlineStr">
        <is>
          <t>59</t>
        </is>
      </c>
      <c r="K266" s="14" t="inlineStr">
        <is>
          <t>Lectura dudosa</t>
        </is>
      </c>
      <c r="L266" s="9" t="inlineStr">
        <is>
          <t>Cantidad corregida a mano (6,600)</t>
        </is>
      </c>
    </row>
    <row r="267" ht="15" customHeight="1">
      <c r="A267" s="9" t="inlineStr">
        <is>
          <t>Scanned-image05-10-2026-121805.pdf</t>
        </is>
      </c>
      <c r="B267" s="9" t="n">
        <v>84</v>
      </c>
      <c r="C267" s="9" t="inlineStr">
        <is>
          <t>TOMATERIA DE CEA</t>
        </is>
      </c>
      <c r="D267" s="12" t="inlineStr">
        <is>
          <t>11/09/2026</t>
        </is>
      </c>
      <c r="E267" s="9" t="inlineStr">
        <is>
          <t>11/09</t>
        </is>
      </c>
      <c r="F267" s="9" t="inlineStr">
        <is>
          <t>LA MINA DE CHAMARTÍN</t>
        </is>
      </c>
      <c r="G267" s="9" t="inlineStr">
        <is>
          <t>SÍ</t>
        </is>
      </c>
      <c r="H267" s="13" t="n">
        <v>40.3</v>
      </c>
      <c r="I267" s="9" t="inlineStr">
        <is>
          <t>OK</t>
        </is>
      </c>
      <c r="J267" s="9" t="n"/>
      <c r="K267" s="14" t="n"/>
      <c r="L267" s="9" t="n"/>
    </row>
    <row r="268" ht="15" customHeight="1">
      <c r="A268" s="9" t="inlineStr">
        <is>
          <t>Scanned-image05-10-2026-121805.pdf</t>
        </is>
      </c>
      <c r="B268" s="9" t="n">
        <v>85</v>
      </c>
      <c r="C268" s="9" t="inlineStr">
        <is>
          <t>TOMATERIA DE CEA</t>
        </is>
      </c>
      <c r="D268" s="12" t="inlineStr">
        <is>
          <t>10/09/2026</t>
        </is>
      </c>
      <c r="E268" s="9" t="inlineStr">
        <is>
          <t>10/09</t>
        </is>
      </c>
      <c r="F268" s="9" t="inlineStr">
        <is>
          <t>LA MINA DE CHAMARTÍN</t>
        </is>
      </c>
      <c r="G268" s="9" t="inlineStr">
        <is>
          <t>SÍ</t>
        </is>
      </c>
      <c r="H268" s="13" t="n">
        <v>40.3</v>
      </c>
      <c r="I268" s="9" t="inlineStr">
        <is>
          <t>OK</t>
        </is>
      </c>
      <c r="J268" s="9" t="n"/>
      <c r="K268" s="14" t="n"/>
      <c r="L268" s="9" t="n"/>
    </row>
    <row r="269" ht="15" customHeight="1">
      <c r="A269" s="9" t="inlineStr">
        <is>
          <t>Scanned-image05-10-2026-121805.pdf</t>
        </is>
      </c>
      <c r="B269" s="9" t="n">
        <v>86</v>
      </c>
      <c r="C269" s="9" t="inlineStr">
        <is>
          <t>TOMATERIA DE CEA</t>
        </is>
      </c>
      <c r="D269" s="12" t="inlineStr">
        <is>
          <t>08/09/2026</t>
        </is>
      </c>
      <c r="E269" s="9" t="inlineStr">
        <is>
          <t>08/09</t>
        </is>
      </c>
      <c r="F269" s="9" t="inlineStr">
        <is>
          <t>LA MINA DE CHAMARTÍN</t>
        </is>
      </c>
      <c r="G269" s="9" t="inlineStr">
        <is>
          <t>SÍ</t>
        </is>
      </c>
      <c r="H269" s="13" t="n">
        <v>45.5</v>
      </c>
      <c r="I269" s="9" t="inlineStr">
        <is>
          <t>OK CON INCIDENCIA</t>
        </is>
      </c>
      <c r="J269" s="9" t="inlineStr">
        <is>
          <t>59</t>
        </is>
      </c>
      <c r="K269" s="14" t="inlineStr">
        <is>
          <t>Lectura dudosa</t>
        </is>
      </c>
      <c r="L269" s="9" t="inlineStr">
        <is>
          <t>Cantidad tachada (por importe, 7 kg). Hay una 2ª línea tachada a 8 € sin importe, no cobrada</t>
        </is>
      </c>
    </row>
    <row r="270" ht="15" customHeight="1">
      <c r="A270" s="9" t="inlineStr">
        <is>
          <t>Scanned-image05-10-2026-121805.pdf</t>
        </is>
      </c>
      <c r="B270" s="9" t="n">
        <v>87</v>
      </c>
      <c r="C270" s="9" t="inlineStr">
        <is>
          <t>ENRIQUE CAMPS</t>
        </is>
      </c>
      <c r="D270" s="12" t="inlineStr">
        <is>
          <t>A26/2248</t>
        </is>
      </c>
      <c r="E270" s="9" t="inlineStr">
        <is>
          <t>04/09</t>
        </is>
      </c>
      <c r="F270" s="9" t="inlineStr">
        <is>
          <t>LA MINA DE CHAMARTÍN</t>
        </is>
      </c>
      <c r="G270" s="9" t="inlineStr">
        <is>
          <t>SÍ</t>
        </is>
      </c>
      <c r="H270" s="13" t="n">
        <v>72</v>
      </c>
      <c r="I270" s="9" t="inlineStr">
        <is>
          <t>OK</t>
        </is>
      </c>
      <c r="J270" s="9" t="n"/>
      <c r="K270" s="14" t="n"/>
      <c r="L270" s="9" t="n"/>
    </row>
    <row r="271" ht="15" customHeight="1">
      <c r="A271" s="9" t="inlineStr">
        <is>
          <t>Scanned-image05-10-2026-121805.pdf</t>
        </is>
      </c>
      <c r="B271" s="9" t="n">
        <v>88</v>
      </c>
      <c r="C271" s="9" t="inlineStr">
        <is>
          <t>ENRIQUE CAMPS</t>
        </is>
      </c>
      <c r="D271" s="12" t="inlineStr">
        <is>
          <t>A26/2196</t>
        </is>
      </c>
      <c r="E271" s="9" t="inlineStr">
        <is>
          <t>01/09</t>
        </is>
      </c>
      <c r="F271" s="9" t="inlineStr">
        <is>
          <t>LA MINA DE CHAMARTÍN</t>
        </is>
      </c>
      <c r="G271" s="9" t="inlineStr">
        <is>
          <t>SÍ</t>
        </is>
      </c>
      <c r="H271" s="13" t="n">
        <v>72</v>
      </c>
      <c r="I271" s="9" t="inlineStr">
        <is>
          <t>OK</t>
        </is>
      </c>
      <c r="J271" s="9" t="n"/>
      <c r="K271" s="14" t="n"/>
      <c r="L271" s="9" t="n"/>
    </row>
    <row r="272" ht="15" customHeight="1">
      <c r="A272" s="9" t="inlineStr">
        <is>
          <t>Scanned-image05-10-2026-121805.pdf</t>
        </is>
      </c>
      <c r="B272" s="9" t="n">
        <v>89</v>
      </c>
      <c r="C272" s="9" t="inlineStr">
        <is>
          <t>PESCADERIA PALACIO</t>
        </is>
      </c>
      <c r="D272" s="12" t="inlineStr">
        <is>
          <t>144434</t>
        </is>
      </c>
      <c r="E272" s="9" t="inlineStr">
        <is>
          <t>04/09</t>
        </is>
      </c>
      <c r="F272" s="9" t="inlineStr">
        <is>
          <t>LA MINA DE CHAMARTÍN</t>
        </is>
      </c>
      <c r="G272" s="9" t="inlineStr">
        <is>
          <t>SÍ</t>
        </is>
      </c>
      <c r="H272" s="13" t="n">
        <v>297.6</v>
      </c>
      <c r="I272" s="9" t="inlineStr">
        <is>
          <t>OK</t>
        </is>
      </c>
      <c r="J272" s="9" t="n"/>
      <c r="K272" s="14" t="n"/>
      <c r="L272" s="9" t="n"/>
    </row>
    <row r="273" ht="15" customHeight="1">
      <c r="A273" s="9" t="inlineStr">
        <is>
          <t>Scanned-image05-10-2026-121805.pdf</t>
        </is>
      </c>
      <c r="B273" s="9" t="n">
        <v>90</v>
      </c>
      <c r="C273" s="9" t="inlineStr">
        <is>
          <t>PESCADERIA PALACIO</t>
        </is>
      </c>
      <c r="D273" s="12" t="inlineStr">
        <is>
          <t>144041</t>
        </is>
      </c>
      <c r="E273" s="9" t="inlineStr">
        <is>
          <t>01/09</t>
        </is>
      </c>
      <c r="F273" s="9" t="inlineStr">
        <is>
          <t>LA MINA DE CHAMARTÍN</t>
        </is>
      </c>
      <c r="G273" s="9" t="inlineStr">
        <is>
          <t>SÍ</t>
        </is>
      </c>
      <c r="H273" s="13" t="n">
        <v>192</v>
      </c>
      <c r="I273" s="9" t="inlineStr">
        <is>
          <t>OK</t>
        </is>
      </c>
      <c r="J273" s="9" t="n"/>
      <c r="K273" s="14" t="n"/>
      <c r="L273" s="9" t="n"/>
    </row>
    <row r="274" ht="15" customHeight="1">
      <c r="A274" s="9" t="inlineStr">
        <is>
          <t>Scanned-image05-10-2026-121805.pdf</t>
        </is>
      </c>
      <c r="B274" s="9" t="n">
        <v>91</v>
      </c>
      <c r="C274" s="9" t="inlineStr">
        <is>
          <t>CRNAS SERVAN</t>
        </is>
      </c>
      <c r="D274" s="12" t="inlineStr">
        <is>
          <t>A2609-0097</t>
        </is>
      </c>
      <c r="E274" s="9" t="inlineStr">
        <is>
          <t>05/09</t>
        </is>
      </c>
      <c r="F274" s="9" t="inlineStr">
        <is>
          <t>LA MINA DE CHAMARTÍN</t>
        </is>
      </c>
      <c r="G274" s="9" t="inlineStr">
        <is>
          <t>SÍ</t>
        </is>
      </c>
      <c r="H274" s="13" t="n">
        <v>113.22</v>
      </c>
      <c r="I274" s="9" t="inlineStr">
        <is>
          <t>OK</t>
        </is>
      </c>
      <c r="J274" s="9" t="n"/>
      <c r="K274" s="14" t="n"/>
      <c r="L274" s="9" t="n"/>
    </row>
    <row r="275" ht="15" customHeight="1">
      <c r="A275" s="9" t="inlineStr">
        <is>
          <t>Scanned-image05-10-2026-121805.pdf</t>
        </is>
      </c>
      <c r="B275" s="9" t="n">
        <v>92</v>
      </c>
      <c r="C275" s="9" t="inlineStr">
        <is>
          <t>CRNAS SERVAN</t>
        </is>
      </c>
      <c r="D275" s="12" t="inlineStr">
        <is>
          <t>A2609-0052</t>
        </is>
      </c>
      <c r="E275" s="9" t="inlineStr">
        <is>
          <t>03/09</t>
        </is>
      </c>
      <c r="F275" s="9" t="inlineStr">
        <is>
          <t>LA MINA DE CHAMARTÍN</t>
        </is>
      </c>
      <c r="G275" s="9" t="inlineStr">
        <is>
          <t>SÍ</t>
        </is>
      </c>
      <c r="H275" s="13" t="n">
        <v>71.81999999999999</v>
      </c>
      <c r="I275" s="9" t="inlineStr">
        <is>
          <t>OK</t>
        </is>
      </c>
      <c r="J275" s="9" t="n"/>
      <c r="K275" s="14" t="n"/>
      <c r="L275" s="9" t="n"/>
    </row>
    <row r="276" ht="15" customHeight="1">
      <c r="A276" s="9" t="inlineStr">
        <is>
          <t>Scanned-image05-10-2026-121805.pdf</t>
        </is>
      </c>
      <c r="B276" s="9" t="n">
        <v>93</v>
      </c>
      <c r="C276" s="9" t="inlineStr">
        <is>
          <t>PEÑALASTALLAS</t>
        </is>
      </c>
      <c r="D276" s="12" t="inlineStr">
        <is>
          <t>12416</t>
        </is>
      </c>
      <c r="E276" s="9" t="inlineStr">
        <is>
          <t>05/09</t>
        </is>
      </c>
      <c r="F276" s="9" t="inlineStr">
        <is>
          <t>LA MINA DE CHAMARTÍN</t>
        </is>
      </c>
      <c r="G276" s="9" t="inlineStr">
        <is>
          <t>SÍ</t>
        </is>
      </c>
      <c r="H276" s="13" t="n">
        <v>246.23</v>
      </c>
      <c r="I276" s="9" t="inlineStr">
        <is>
          <t>OK</t>
        </is>
      </c>
      <c r="J276" s="9" t="n"/>
      <c r="K276" s="14" t="n"/>
      <c r="L276" s="9" t="n"/>
    </row>
    <row r="277" ht="15" customHeight="1">
      <c r="A277" s="9" t="inlineStr">
        <is>
          <t>Scanned-image05-10-2026-121805.pdf</t>
        </is>
      </c>
      <c r="B277" s="9" t="n">
        <v>94</v>
      </c>
      <c r="C277" s="9" t="inlineStr">
        <is>
          <t>ESCRIBANO SANZ</t>
        </is>
      </c>
      <c r="D277" s="12" t="inlineStr">
        <is>
          <t>0665</t>
        </is>
      </c>
      <c r="E277" s="9" t="inlineStr">
        <is>
          <t>01/09</t>
        </is>
      </c>
      <c r="F277" s="9" t="inlineStr">
        <is>
          <t>LA MINA DE CHAMARTÍN</t>
        </is>
      </c>
      <c r="G277" s="9" t="inlineStr">
        <is>
          <t>SÍ</t>
        </is>
      </c>
      <c r="H277" s="13" t="n">
        <v>173.5</v>
      </c>
      <c r="I277" s="9" t="inlineStr">
        <is>
          <t>OK CON INCIDENCIA</t>
        </is>
      </c>
      <c r="J277" s="9" t="inlineStr">
        <is>
          <t>67</t>
        </is>
      </c>
      <c r="K277" s="14" t="inlineStr">
        <is>
          <t>Nota manuscrita</t>
        </is>
      </c>
      <c r="L277" s="9" t="inlineStr">
        <is>
          <t>Día leído como 1 (trazo poco claro)</t>
        </is>
      </c>
    </row>
    <row r="278" ht="15" customHeight="1">
      <c r="A278" s="9" t="inlineStr">
        <is>
          <t>Scanned-image05-10-2026-121805.pdf</t>
        </is>
      </c>
      <c r="B278" s="9" t="n">
        <v>95</v>
      </c>
      <c r="C278" s="9" t="inlineStr">
        <is>
          <t>PEÑALASTALLAS</t>
        </is>
      </c>
      <c r="D278" s="12" t="inlineStr">
        <is>
          <t>12377</t>
        </is>
      </c>
      <c r="E278" s="9" t="inlineStr">
        <is>
          <t>02/09</t>
        </is>
      </c>
      <c r="F278" s="9" t="inlineStr">
        <is>
          <t>LA MINA DE CHAMARTÍN</t>
        </is>
      </c>
      <c r="G278" s="9" t="inlineStr">
        <is>
          <t>SÍ</t>
        </is>
      </c>
      <c r="H278" s="13" t="n">
        <v>301.64</v>
      </c>
      <c r="I278" s="9" t="inlineStr">
        <is>
          <t>OK</t>
        </is>
      </c>
      <c r="J278" s="9" t="n"/>
      <c r="K278" s="14" t="n"/>
      <c r="L278" s="9" t="inlineStr">
        <is>
          <t>En la misma página asoma el borde de otro albarán manuscrito (ver siguiente)</t>
        </is>
      </c>
    </row>
    <row r="279" ht="15" customHeight="1">
      <c r="A279" s="9" t="inlineStr">
        <is>
          <t>Scanned-image05-10-2026-121805.pdf</t>
        </is>
      </c>
      <c r="B279" s="9" t="n">
        <v>95</v>
      </c>
      <c r="C279" s="9" t="inlineStr">
        <is>
          <t>PESCARUM</t>
        </is>
      </c>
      <c r="D279" s="12" t="inlineStr">
        <is>
          <t>s/f (tapado)</t>
        </is>
      </c>
      <c r="E279" s="9" t="inlineStr">
        <is>
          <t>s/f (¿05/09?)</t>
        </is>
      </c>
      <c r="F279" s="9" t="inlineStr">
        <is>
          <t>LA MINA DE CHAMARTÍN</t>
        </is>
      </c>
      <c r="G279" s="9" t="inlineStr">
        <is>
          <t>SÍ</t>
        </is>
      </c>
      <c r="H279" s="13" t="n">
        <v>833.3</v>
      </c>
      <c r="I279" s="9" t="inlineStr">
        <is>
          <t>OK CON INCIDENCIA</t>
        </is>
      </c>
      <c r="J279" s="9" t="inlineStr">
        <is>
          <t>39</t>
        </is>
      </c>
      <c r="K279" s="14" t="inlineStr">
        <is>
          <t>Albarán tapado en el escaneo</t>
        </is>
      </c>
      <c r="L279" s="9" t="inlineStr">
        <is>
          <t>Albarán manuscrito escaneado debajo del de Peñalastallas 12377; solo se ve el pie: una línea a 35 = 38,50, subtotal 833,30 y total 916,6x. No se ven proveedor, fecha ni productos. Por el formato y los precios es de Pescarum y falta justo el del 05/09</t>
        </is>
      </c>
    </row>
    <row r="280" ht="15" customHeight="1">
      <c r="A280" s="9" t="inlineStr">
        <is>
          <t>Scanned-image05-10-2026-121805.pdf</t>
        </is>
      </c>
      <c r="B280" s="9" t="n">
        <v>96</v>
      </c>
      <c r="C280" s="9" t="inlineStr">
        <is>
          <t>PESCARUM</t>
        </is>
      </c>
      <c r="D280" s="12" t="inlineStr">
        <is>
          <t>04/09/2026</t>
        </is>
      </c>
      <c r="E280" s="9" t="inlineStr">
        <is>
          <t>04/09</t>
        </is>
      </c>
      <c r="F280" s="9" t="inlineStr">
        <is>
          <t>LA MINA DE CHAMARTÍN</t>
        </is>
      </c>
      <c r="G280" s="9" t="inlineStr">
        <is>
          <t>SÍ</t>
        </is>
      </c>
      <c r="H280" s="13" t="n">
        <v>831.05</v>
      </c>
      <c r="I280" s="9" t="inlineStr">
        <is>
          <t>OK CON INCIDENCIA</t>
        </is>
      </c>
      <c r="J280" s="9" t="inlineStr">
        <is>
          <t>53</t>
        </is>
      </c>
      <c r="K280" s="14" t="inlineStr">
        <is>
          <t>Lectura dudosa</t>
        </is>
      </c>
      <c r="L280" s="9" t="inlineStr">
        <is>
          <t>Pulpo: la cantidad parece 9,96 pero el importe (274,50) corresponde a 9,00 kg; se toma 9,00</t>
        </is>
      </c>
    </row>
    <row r="281" ht="15" customHeight="1">
      <c r="A281" s="9" t="inlineStr">
        <is>
          <t>Scanned-image05-10-2026-121805.pdf</t>
        </is>
      </c>
      <c r="B281" s="9" t="n">
        <v>97</v>
      </c>
      <c r="C281" s="9" t="inlineStr">
        <is>
          <t>PESCARUM</t>
        </is>
      </c>
      <c r="D281" s="12" t="inlineStr">
        <is>
          <t>03/09/2026</t>
        </is>
      </c>
      <c r="E281" s="9" t="inlineStr">
        <is>
          <t>03/09</t>
        </is>
      </c>
      <c r="F281" s="9" t="inlineStr">
        <is>
          <t>LA MINA DE CHAMARTÍN</t>
        </is>
      </c>
      <c r="G281" s="9" t="inlineStr">
        <is>
          <t>SÍ</t>
        </is>
      </c>
      <c r="H281" s="13" t="n">
        <v>341.6</v>
      </c>
      <c r="I281" s="9" t="inlineStr">
        <is>
          <t>OK</t>
        </is>
      </c>
      <c r="J281" s="9" t="n"/>
      <c r="K281" s="14" t="n"/>
      <c r="L281" s="9" t="n"/>
    </row>
    <row r="282" ht="15" customHeight="1">
      <c r="A282" s="9" t="inlineStr">
        <is>
          <t>Scanned-image05-10-2026-121805.pdf</t>
        </is>
      </c>
      <c r="B282" s="9" t="n">
        <v>98</v>
      </c>
      <c r="C282" s="9" t="inlineStr">
        <is>
          <t>PESCARUM</t>
        </is>
      </c>
      <c r="D282" s="12" t="inlineStr">
        <is>
          <t>02/09/2026</t>
        </is>
      </c>
      <c r="E282" s="9" t="inlineStr">
        <is>
          <t>02/09</t>
        </is>
      </c>
      <c r="F282" s="9" t="inlineStr">
        <is>
          <t>LA MINA DE CHAMARTÍN</t>
        </is>
      </c>
      <c r="G282" s="9" t="inlineStr">
        <is>
          <t>SÍ</t>
        </is>
      </c>
      <c r="H282" s="13" t="n">
        <v>60</v>
      </c>
      <c r="I282" s="9" t="inlineStr">
        <is>
          <t>OK</t>
        </is>
      </c>
      <c r="J282" s="9" t="n"/>
      <c r="K282" s="14" t="n"/>
      <c r="L282" s="9" t="n"/>
    </row>
    <row r="283" ht="15" customHeight="1">
      <c r="A283" s="9" t="inlineStr">
        <is>
          <t>Scanned-image05-10-2026-121805.pdf</t>
        </is>
      </c>
      <c r="B283" s="9" t="n">
        <v>99</v>
      </c>
      <c r="C283" s="9" t="inlineStr">
        <is>
          <t>PESCARUM</t>
        </is>
      </c>
      <c r="D283" s="12" t="inlineStr">
        <is>
          <t>01/09/2026</t>
        </is>
      </c>
      <c r="E283" s="9" t="inlineStr">
        <is>
          <t>01/09</t>
        </is>
      </c>
      <c r="F283" s="9" t="inlineStr">
        <is>
          <t>LA MINA DE CHAMARTÍN</t>
        </is>
      </c>
      <c r="G283" s="9" t="inlineStr">
        <is>
          <t>SÍ</t>
        </is>
      </c>
      <c r="H283" s="13" t="n">
        <v>602.48</v>
      </c>
      <c r="I283" s="9" t="inlineStr">
        <is>
          <t>OK CON INCIDENCIA</t>
        </is>
      </c>
      <c r="J283" s="9" t="inlineStr">
        <is>
          <t>43</t>
        </is>
      </c>
      <c r="K283" s="14" t="inlineStr">
        <is>
          <t>Producto cobrado y no entregado</t>
        </is>
      </c>
      <c r="L283" s="9" t="inlineStr">
        <is>
          <t>En la línea de cocochas (2 x 60 = 120 €) pone a mano "FALTA, MAÑANA": cobradas y no entregadas ese día</t>
        </is>
      </c>
    </row>
    <row r="284" ht="15" customHeight="1">
      <c r="A284" s="9" t="inlineStr">
        <is>
          <t>Scanned-image05-10-2026-121805.pdf</t>
        </is>
      </c>
      <c r="B284" s="9" t="n">
        <v>100</v>
      </c>
      <c r="C284" s="9" t="inlineStr">
        <is>
          <t>TOMATERIA DE CEA</t>
        </is>
      </c>
      <c r="D284" s="12" t="inlineStr">
        <is>
          <t>05/09/2026</t>
        </is>
      </c>
      <c r="E284" s="9" t="inlineStr">
        <is>
          <t>05/09</t>
        </is>
      </c>
      <c r="F284" s="9" t="inlineStr">
        <is>
          <t>LA MINA DE CHAMARTÍN</t>
        </is>
      </c>
      <c r="G284" s="9" t="inlineStr">
        <is>
          <t>SÍ</t>
        </is>
      </c>
      <c r="H284" s="13" t="n">
        <v>40.95</v>
      </c>
      <c r="I284" s="9" t="inlineStr">
        <is>
          <t>OK</t>
        </is>
      </c>
      <c r="J284" s="9" t="n"/>
      <c r="K284" s="14" t="n"/>
      <c r="L284" s="9" t="n"/>
    </row>
    <row r="285" ht="15" customHeight="1">
      <c r="A285" s="9" t="inlineStr">
        <is>
          <t>Scanned-image05-10-2026-121805.pdf</t>
        </is>
      </c>
      <c r="B285" s="9" t="n">
        <v>101</v>
      </c>
      <c r="C285" s="9" t="inlineStr">
        <is>
          <t>TOMATERIA DE CEA</t>
        </is>
      </c>
      <c r="D285" s="12" t="inlineStr">
        <is>
          <t>04/09/2026</t>
        </is>
      </c>
      <c r="E285" s="9" t="inlineStr">
        <is>
          <t>04/09</t>
        </is>
      </c>
      <c r="F285" s="9" t="inlineStr">
        <is>
          <t>LA MINA DE CHAMARTÍN</t>
        </is>
      </c>
      <c r="G285" s="9" t="inlineStr">
        <is>
          <t>SÍ</t>
        </is>
      </c>
      <c r="H285" s="13" t="n">
        <v>52.65</v>
      </c>
      <c r="I285" s="9" t="inlineStr">
        <is>
          <t>OK</t>
        </is>
      </c>
      <c r="J285" s="9" t="n"/>
      <c r="K285" s="14" t="n"/>
      <c r="L285" s="9" t="n"/>
    </row>
    <row r="286" ht="15" customHeight="1">
      <c r="A286" s="9" t="inlineStr">
        <is>
          <t>Scanned-image05-10-2026-121805.pdf</t>
        </is>
      </c>
      <c r="B286" s="9" t="n">
        <v>102</v>
      </c>
      <c r="C286" s="9" t="inlineStr">
        <is>
          <t>TOMATERIA DE CEA</t>
        </is>
      </c>
      <c r="D286" s="12" t="inlineStr">
        <is>
          <t>01/09/2026</t>
        </is>
      </c>
      <c r="E286" s="9" t="inlineStr">
        <is>
          <t>01/09</t>
        </is>
      </c>
      <c r="F286" s="9" t="inlineStr">
        <is>
          <t>LA MINA DE CHAMARTÍN</t>
        </is>
      </c>
      <c r="G286" s="9" t="inlineStr">
        <is>
          <t>SÍ</t>
        </is>
      </c>
      <c r="H286" s="13" t="n">
        <v>39.65</v>
      </c>
      <c r="I286" s="9" t="inlineStr">
        <is>
          <t>OK</t>
        </is>
      </c>
      <c r="J286" s="9" t="n"/>
      <c r="K286" s="14" t="n"/>
      <c r="L286" s="9" t="n"/>
    </row>
    <row r="287" ht="15" customHeight="1">
      <c r="A287" s="9" t="inlineStr">
        <is>
          <t>Scanned-image05-10-2026-121805.pdf</t>
        </is>
      </c>
      <c r="B287" s="9" t="n">
        <v>103</v>
      </c>
      <c r="C287" s="9" t="inlineStr">
        <is>
          <t>DISOLTRIGO</t>
        </is>
      </c>
      <c r="D287" s="12" t="inlineStr">
        <is>
          <t>136230</t>
        </is>
      </c>
      <c r="E287" s="9" t="inlineStr">
        <is>
          <t>03/09</t>
        </is>
      </c>
      <c r="F287" s="9" t="inlineStr">
        <is>
          <t>LA MINA DE CHAMARTÍN</t>
        </is>
      </c>
      <c r="G287" s="9" t="inlineStr">
        <is>
          <t>SÍ</t>
        </is>
      </c>
      <c r="H287" s="13" t="n">
        <v>276.5</v>
      </c>
      <c r="I287" s="9" t="inlineStr">
        <is>
          <t>OK</t>
        </is>
      </c>
      <c r="J287" s="9" t="n"/>
      <c r="K287" s="14" t="n"/>
      <c r="L287" s="9" t="n"/>
    </row>
    <row r="288" ht="15" customHeight="1">
      <c r="A288" s="9" t="inlineStr">
        <is>
          <t>Scanned-image05-10-2026-122506.pdf</t>
        </is>
      </c>
      <c r="B288" s="9" t="n">
        <v>1</v>
      </c>
      <c r="C288" s="9" t="inlineStr">
        <is>
          <t>MANUEL AMBRES</t>
        </is>
      </c>
      <c r="D288" s="12" t="inlineStr">
        <is>
          <t>26/13640</t>
        </is>
      </c>
      <c r="E288" s="9" t="inlineStr">
        <is>
          <t>23/09</t>
        </is>
      </c>
      <c r="F288" s="9" t="inlineStr">
        <is>
          <t>LA MINA DE CHAMARTÍN</t>
        </is>
      </c>
      <c r="G288" s="9" t="inlineStr">
        <is>
          <t>SÍ</t>
        </is>
      </c>
      <c r="H288" s="13" t="n">
        <v>147</v>
      </c>
      <c r="I288" s="9" t="inlineStr">
        <is>
          <t>OK</t>
        </is>
      </c>
      <c r="J288" s="9" t="n"/>
      <c r="K288" s="14" t="n"/>
      <c r="L288" s="9" t="n"/>
    </row>
    <row r="289" ht="15" customHeight="1">
      <c r="A289" s="9" t="inlineStr">
        <is>
          <t>Scanned-image05-10-2026-122506.pdf</t>
        </is>
      </c>
      <c r="B289" s="9" t="n">
        <v>2</v>
      </c>
      <c r="C289" s="9" t="inlineStr">
        <is>
          <t>MANUEL AMBRES</t>
        </is>
      </c>
      <c r="D289" s="12" t="inlineStr">
        <is>
          <t>26/13329</t>
        </is>
      </c>
      <c r="E289" s="9" t="inlineStr">
        <is>
          <t>17/09</t>
        </is>
      </c>
      <c r="F289" s="9" t="inlineStr">
        <is>
          <t>LA MINA DE CHAMARTÍN</t>
        </is>
      </c>
      <c r="G289" s="9" t="inlineStr">
        <is>
          <t>SÍ</t>
        </is>
      </c>
      <c r="H289" s="13" t="n">
        <v>556</v>
      </c>
      <c r="I289" s="9" t="inlineStr">
        <is>
          <t>OK</t>
        </is>
      </c>
      <c r="J289" s="9" t="n"/>
      <c r="K289" s="14" t="n"/>
      <c r="L289" s="9" t="n"/>
    </row>
    <row r="290" ht="15" customHeight="1">
      <c r="A290" s="9" t="inlineStr">
        <is>
          <t>Scanned-image05-10-2026-122506.pdf</t>
        </is>
      </c>
      <c r="B290" s="9" t="n">
        <v>3</v>
      </c>
      <c r="C290" s="9" t="inlineStr">
        <is>
          <t>MANUEL AMBRES</t>
        </is>
      </c>
      <c r="D290" s="12" t="inlineStr">
        <is>
          <t>26/13079</t>
        </is>
      </c>
      <c r="E290" s="9" t="inlineStr">
        <is>
          <t>14/09</t>
        </is>
      </c>
      <c r="F290" s="9" t="inlineStr">
        <is>
          <t>LA MINA DE CHAMARTÍN</t>
        </is>
      </c>
      <c r="G290" s="9" t="inlineStr">
        <is>
          <t>SÍ</t>
        </is>
      </c>
      <c r="H290" s="13" t="n">
        <v>320</v>
      </c>
      <c r="I290" s="9" t="inlineStr">
        <is>
          <t>OK</t>
        </is>
      </c>
      <c r="J290" s="9" t="n"/>
      <c r="K290" s="14" t="n"/>
      <c r="L290" s="9" t="n"/>
    </row>
    <row r="291" ht="15" customHeight="1">
      <c r="A291" s="9" t="inlineStr">
        <is>
          <t>Scanned-image05-10-2026-122506.pdf</t>
        </is>
      </c>
      <c r="B291" s="9" t="n">
        <v>4</v>
      </c>
      <c r="C291" s="9" t="inlineStr">
        <is>
          <t>MANUEL AMBRES</t>
        </is>
      </c>
      <c r="D291" s="12" t="inlineStr">
        <is>
          <t>26/12916</t>
        </is>
      </c>
      <c r="E291" s="9" t="inlineStr">
        <is>
          <t>10/09</t>
        </is>
      </c>
      <c r="F291" s="9" t="inlineStr">
        <is>
          <t>LA MINA DE CHAMARTÍN</t>
        </is>
      </c>
      <c r="G291" s="9" t="inlineStr">
        <is>
          <t>SÍ</t>
        </is>
      </c>
      <c r="H291" s="13" t="n">
        <v>417</v>
      </c>
      <c r="I291" s="9" t="inlineStr">
        <is>
          <t>OK</t>
        </is>
      </c>
      <c r="J291" s="9" t="n"/>
      <c r="K291" s="14" t="n"/>
      <c r="L291" s="9" t="n"/>
    </row>
    <row r="292" ht="15" customHeight="1">
      <c r="A292" s="9" t="inlineStr">
        <is>
          <t>Scanned-image05-10-2026-122506.pdf</t>
        </is>
      </c>
      <c r="B292" s="9" t="n">
        <v>5</v>
      </c>
      <c r="C292" s="9" t="inlineStr">
        <is>
          <t>MANUEL AMBRES</t>
        </is>
      </c>
      <c r="D292" s="12" t="inlineStr">
        <is>
          <t>26/12750</t>
        </is>
      </c>
      <c r="E292" s="9" t="inlineStr">
        <is>
          <t>07/09</t>
        </is>
      </c>
      <c r="F292" s="9" t="inlineStr">
        <is>
          <t>LA MINA DE CHAMARTÍN</t>
        </is>
      </c>
      <c r="G292" s="9" t="inlineStr">
        <is>
          <t>SÍ</t>
        </is>
      </c>
      <c r="H292" s="13" t="n">
        <v>147</v>
      </c>
      <c r="I292" s="9" t="inlineStr">
        <is>
          <t>OK</t>
        </is>
      </c>
      <c r="J292" s="9" t="n"/>
      <c r="K292" s="14" t="n"/>
      <c r="L292" s="9" t="n"/>
    </row>
    <row r="293" ht="15" customHeight="1">
      <c r="A293" s="9" t="inlineStr">
        <is>
          <t>Scanned-image05-10-2026-122506.pdf</t>
        </is>
      </c>
      <c r="B293" s="9" t="n">
        <v>6</v>
      </c>
      <c r="C293" s="9" t="inlineStr">
        <is>
          <t>MANUEL AMBRES</t>
        </is>
      </c>
      <c r="D293" s="12" t="inlineStr">
        <is>
          <t>26/12307</t>
        </is>
      </c>
      <c r="E293" s="9" t="inlineStr">
        <is>
          <t>01/09</t>
        </is>
      </c>
      <c r="F293" s="9" t="inlineStr">
        <is>
          <t>LA MINA DE CHAMARTÍN</t>
        </is>
      </c>
      <c r="G293" s="9" t="inlineStr">
        <is>
          <t>SÍ</t>
        </is>
      </c>
      <c r="H293" s="13" t="n">
        <v>278</v>
      </c>
      <c r="I293" s="9" t="inlineStr">
        <is>
          <t>OK</t>
        </is>
      </c>
      <c r="J293" s="9" t="n"/>
      <c r="K293" s="14" t="n"/>
      <c r="L293" s="9" t="n"/>
    </row>
    <row r="294" ht="15" customHeight="1">
      <c r="A294" s="9" t="inlineStr">
        <is>
          <t>Scanned-image05-10-2026-124247.pdf</t>
        </is>
      </c>
      <c r="B294" s="9" t="n">
        <v>1</v>
      </c>
      <c r="C294" s="9" t="inlineStr">
        <is>
          <t>LEVADURA MADRE</t>
        </is>
      </c>
      <c r="D294" s="12" t="inlineStr">
        <is>
          <t>T-229 8714</t>
        </is>
      </c>
      <c r="E294" s="9" t="inlineStr">
        <is>
          <t>24/09</t>
        </is>
      </c>
      <c r="F294" s="9" t="inlineStr">
        <is>
          <t>LA MINA DE CHAMARTÍN</t>
        </is>
      </c>
      <c r="G294" s="9" t="inlineStr">
        <is>
          <t>SÍ</t>
        </is>
      </c>
      <c r="H294" s="13" t="n">
        <v>14.42</v>
      </c>
      <c r="I294" s="9" t="inlineStr">
        <is>
          <t>OK CON INCIDENCIA</t>
        </is>
      </c>
      <c r="J294" s="9" t="inlineStr">
        <is>
          <t>57</t>
        </is>
      </c>
      <c r="K294" s="14" t="inlineStr">
        <is>
          <t>Ticket con datos tapados</t>
        </is>
      </c>
      <c r="L294" s="9" t="inlineStr">
        <is>
          <t>Ticket proforma con IVA incluido; fecha tapada (inferida por el nº)</t>
        </is>
      </c>
    </row>
    <row r="295" ht="15" customHeight="1">
      <c r="A295" s="9" t="inlineStr">
        <is>
          <t>Scanned-image05-10-2026-124247.pdf</t>
        </is>
      </c>
      <c r="B295" s="9" t="n">
        <v>1</v>
      </c>
      <c r="C295" s="9" t="inlineStr">
        <is>
          <t>LEVADURA MADRE</t>
        </is>
      </c>
      <c r="D295" s="12" t="inlineStr">
        <is>
          <t>T-229 8722</t>
        </is>
      </c>
      <c r="E295" s="9" t="inlineStr">
        <is>
          <t>25/09</t>
        </is>
      </c>
      <c r="F295" s="9" t="inlineStr">
        <is>
          <t>LA MINA DE CHAMARTÍN</t>
        </is>
      </c>
      <c r="G295" s="9" t="inlineStr">
        <is>
          <t>SÍ</t>
        </is>
      </c>
      <c r="H295" s="13" t="n">
        <v>14.42</v>
      </c>
      <c r="I295" s="9" t="inlineStr">
        <is>
          <t>OK CON INCIDENCIA</t>
        </is>
      </c>
      <c r="J295" s="9" t="inlineStr">
        <is>
          <t>57</t>
        </is>
      </c>
      <c r="K295" s="14" t="inlineStr">
        <is>
          <t>Ticket con datos tapados</t>
        </is>
      </c>
      <c r="L295" s="9" t="inlineStr">
        <is>
          <t>Ticket proforma con IVA incluido; día tapado (inferido por el nº)</t>
        </is>
      </c>
    </row>
    <row r="296" ht="15" customHeight="1">
      <c r="A296" s="9" t="inlineStr">
        <is>
          <t>Scanned-image05-10-2026-124247.pdf</t>
        </is>
      </c>
      <c r="B296" s="9" t="n">
        <v>1</v>
      </c>
      <c r="C296" s="9" t="inlineStr">
        <is>
          <t>LEVADURA MADRE</t>
        </is>
      </c>
      <c r="D296" s="12" t="inlineStr">
        <is>
          <t>T-229 8762</t>
        </is>
      </c>
      <c r="E296" s="9" t="inlineStr">
        <is>
          <t>28/09</t>
        </is>
      </c>
      <c r="F296" s="9" t="inlineStr">
        <is>
          <t>LA MINA DE CHAMARTÍN</t>
        </is>
      </c>
      <c r="G296" s="9" t="inlineStr">
        <is>
          <t>SÍ</t>
        </is>
      </c>
      <c r="H296" s="13" t="n">
        <v>14.42</v>
      </c>
      <c r="I296" s="9" t="inlineStr">
        <is>
          <t>OK</t>
        </is>
      </c>
      <c r="J296" s="9" t="n"/>
      <c r="K296" s="14" t="n"/>
      <c r="L296" s="9" t="inlineStr">
        <is>
          <t>Ticket proforma con IVA incluido</t>
        </is>
      </c>
    </row>
    <row r="297" ht="15" customHeight="1">
      <c r="A297" s="9" t="inlineStr">
        <is>
          <t>Scanned-image05-10-2026-124247.pdf</t>
        </is>
      </c>
      <c r="B297" s="9" t="n">
        <v>2</v>
      </c>
      <c r="C297" s="9" t="inlineStr">
        <is>
          <t>LEVADURA MADRE</t>
        </is>
      </c>
      <c r="D297" s="12" t="inlineStr">
        <is>
          <t>T-229 8696</t>
        </is>
      </c>
      <c r="E297" s="9" t="inlineStr">
        <is>
          <t>23/09</t>
        </is>
      </c>
      <c r="F297" s="9" t="inlineStr">
        <is>
          <t>LA MINA DE CHAMARTÍN</t>
        </is>
      </c>
      <c r="G297" s="9" t="inlineStr">
        <is>
          <t>SÍ</t>
        </is>
      </c>
      <c r="H297" s="13" t="n">
        <v>19.23</v>
      </c>
      <c r="I297" s="9" t="inlineStr">
        <is>
          <t>OK</t>
        </is>
      </c>
      <c r="J297" s="9" t="n"/>
      <c r="K297" s="14" t="n"/>
      <c r="L297" s="9" t="inlineStr">
        <is>
          <t>Ticket proforma con IVA incluido</t>
        </is>
      </c>
    </row>
    <row r="298" ht="15" customHeight="1">
      <c r="A298" s="9" t="inlineStr">
        <is>
          <t>Scanned-image05-10-2026-124247.pdf</t>
        </is>
      </c>
      <c r="B298" s="9" t="n">
        <v>2</v>
      </c>
      <c r="C298" s="9" t="inlineStr">
        <is>
          <t>LEVADURA MADRE</t>
        </is>
      </c>
      <c r="D298" s="12" t="inlineStr">
        <is>
          <t>T-229 8738</t>
        </is>
      </c>
      <c r="E298" s="9" t="inlineStr">
        <is>
          <t>26/09</t>
        </is>
      </c>
      <c r="F298" s="9" t="inlineStr">
        <is>
          <t>LA MINA DE CHAMARTÍN</t>
        </is>
      </c>
      <c r="G298" s="9" t="inlineStr">
        <is>
          <t>SÍ</t>
        </is>
      </c>
      <c r="H298" s="13" t="n">
        <v>19.23</v>
      </c>
      <c r="I298" s="9" t="inlineStr">
        <is>
          <t>OK</t>
        </is>
      </c>
      <c r="J298" s="9" t="n"/>
      <c r="K298" s="14" t="n"/>
      <c r="L298" s="9" t="inlineStr">
        <is>
          <t>Ticket proforma con IVA incluido</t>
        </is>
      </c>
    </row>
    <row r="299" ht="15" customHeight="1">
      <c r="A299" s="9" t="inlineStr">
        <is>
          <t>Scanned-image05-10-2026-124247.pdf</t>
        </is>
      </c>
      <c r="B299" s="9" t="n">
        <v>2</v>
      </c>
      <c r="C299" s="9" t="inlineStr">
        <is>
          <t>LEVADURA MADRE</t>
        </is>
      </c>
      <c r="D299" s="12" t="inlineStr">
        <is>
          <t>T-229 8685</t>
        </is>
      </c>
      <c r="E299" s="9" t="inlineStr">
        <is>
          <t>22/09</t>
        </is>
      </c>
      <c r="F299" s="9" t="inlineStr">
        <is>
          <t>LA MINA DE CHAMARTÍN</t>
        </is>
      </c>
      <c r="G299" s="9" t="inlineStr">
        <is>
          <t>SÍ</t>
        </is>
      </c>
      <c r="H299" s="13" t="n">
        <v>19.23</v>
      </c>
      <c r="I299" s="9" t="inlineStr">
        <is>
          <t>OK</t>
        </is>
      </c>
      <c r="J299" s="9" t="n"/>
      <c r="K299" s="14" t="n"/>
      <c r="L299" s="9" t="inlineStr">
        <is>
          <t>Ticket proforma con IVA incluido</t>
        </is>
      </c>
    </row>
    <row r="300" ht="15" customHeight="1">
      <c r="A300" s="9" t="inlineStr">
        <is>
          <t>Scanned-image05-10-2026-124247.pdf</t>
        </is>
      </c>
      <c r="B300" s="9" t="n">
        <v>3</v>
      </c>
      <c r="C300" s="9" t="inlineStr">
        <is>
          <t>LEVADURA MADRE</t>
        </is>
      </c>
      <c r="D300" s="12" t="inlineStr">
        <is>
          <t>T-229 8670</t>
        </is>
      </c>
      <c r="E300" s="9" t="inlineStr">
        <is>
          <t>20/09</t>
        </is>
      </c>
      <c r="F300" s="9" t="inlineStr">
        <is>
          <t>LA MINA DE CHAMARTÍN</t>
        </is>
      </c>
      <c r="G300" s="9" t="inlineStr">
        <is>
          <t>SÍ</t>
        </is>
      </c>
      <c r="H300" s="13" t="n">
        <v>14.42</v>
      </c>
      <c r="I300" s="9" t="inlineStr">
        <is>
          <t>OK</t>
        </is>
      </c>
      <c r="J300" s="9" t="n"/>
      <c r="K300" s="14" t="n"/>
      <c r="L300" s="9" t="inlineStr">
        <is>
          <t>Ticket proforma con IVA incluido</t>
        </is>
      </c>
    </row>
    <row r="301" ht="15" customHeight="1">
      <c r="A301" s="9" t="inlineStr">
        <is>
          <t>Scanned-image05-10-2026-124247.pdf</t>
        </is>
      </c>
      <c r="B301" s="9" t="n">
        <v>3</v>
      </c>
      <c r="C301" s="9" t="inlineStr">
        <is>
          <t>LEVADURA MADRE</t>
        </is>
      </c>
      <c r="D301" s="12" t="inlineStr">
        <is>
          <t>T-229 867? (21/09)</t>
        </is>
      </c>
      <c r="E301" s="9" t="inlineStr">
        <is>
          <t>21/09</t>
        </is>
      </c>
      <c r="F301" s="9" t="inlineStr">
        <is>
          <t>LA MINA DE CHAMARTÍN</t>
        </is>
      </c>
      <c r="G301" s="9" t="inlineStr">
        <is>
          <t>SÍ</t>
        </is>
      </c>
      <c r="H301" s="13" t="n">
        <v>9.619999999999999</v>
      </c>
      <c r="I301" s="9" t="inlineStr">
        <is>
          <t>OK CON INCIDENCIA</t>
        </is>
      </c>
      <c r="J301" s="9" t="inlineStr">
        <is>
          <t>57</t>
        </is>
      </c>
      <c r="K301" s="14" t="inlineStr">
        <is>
          <t>Ticket con datos tapados</t>
        </is>
      </c>
      <c r="L301" s="9" t="inlineStr">
        <is>
          <t>Ticket proforma con IVA incluido; nº tapado por el sello</t>
        </is>
      </c>
    </row>
    <row r="302" ht="15" customHeight="1">
      <c r="A302" s="9" t="inlineStr">
        <is>
          <t>Scanned-image05-10-2026-124247.pdf</t>
        </is>
      </c>
      <c r="B302" s="9" t="n">
        <v>3</v>
      </c>
      <c r="C302" s="9" t="inlineStr">
        <is>
          <t>LEVADURA MADRE</t>
        </is>
      </c>
      <c r="D302" s="12" t="inlineStr">
        <is>
          <t>T-229 8749</t>
        </is>
      </c>
      <c r="E302" s="9" t="inlineStr">
        <is>
          <t>27/09</t>
        </is>
      </c>
      <c r="F302" s="9" t="inlineStr">
        <is>
          <t>LA MINA DE CHAMARTÍN</t>
        </is>
      </c>
      <c r="G302" s="9" t="inlineStr">
        <is>
          <t>SÍ</t>
        </is>
      </c>
      <c r="H302" s="13" t="n">
        <v>19.23</v>
      </c>
      <c r="I302" s="9" t="inlineStr">
        <is>
          <t>OK</t>
        </is>
      </c>
      <c r="J302" s="9" t="n"/>
      <c r="K302" s="14" t="n"/>
      <c r="L302" s="9" t="inlineStr">
        <is>
          <t>Ticket proforma con IVA incluido</t>
        </is>
      </c>
    </row>
    <row r="303" ht="15" customHeight="1">
      <c r="A303" s="9" t="inlineStr">
        <is>
          <t>Scanned-image05-10-2026-124247.pdf</t>
        </is>
      </c>
      <c r="B303" s="9" t="n">
        <v>4</v>
      </c>
      <c r="C303" s="9" t="inlineStr">
        <is>
          <t>LEVADURA MADRE</t>
        </is>
      </c>
      <c r="D303" s="12" t="inlineStr">
        <is>
          <t>T-229 8644</t>
        </is>
      </c>
      <c r="E303" s="9" t="inlineStr">
        <is>
          <t>18/09</t>
        </is>
      </c>
      <c r="F303" s="9" t="inlineStr">
        <is>
          <t>LA MINA DE CHAMARTÍN</t>
        </is>
      </c>
      <c r="G303" s="9" t="inlineStr">
        <is>
          <t>SÍ</t>
        </is>
      </c>
      <c r="H303" s="13" t="n">
        <v>19.23</v>
      </c>
      <c r="I303" s="9" t="inlineStr">
        <is>
          <t>OK</t>
        </is>
      </c>
      <c r="J303" s="9" t="n"/>
      <c r="K303" s="14" t="n"/>
      <c r="L303" s="9" t="inlineStr">
        <is>
          <t>Ticket proforma con IVA incluido</t>
        </is>
      </c>
    </row>
    <row r="304" ht="15" customHeight="1">
      <c r="A304" s="9" t="inlineStr">
        <is>
          <t>Scanned-image05-10-2026-124247.pdf</t>
        </is>
      </c>
      <c r="B304" s="9" t="n">
        <v>4</v>
      </c>
      <c r="C304" s="9" t="inlineStr">
        <is>
          <t>LEVADURA MADRE</t>
        </is>
      </c>
      <c r="D304" s="12" t="inlineStr">
        <is>
          <t>T-229 8658</t>
        </is>
      </c>
      <c r="E304" s="9" t="inlineStr">
        <is>
          <t>19/09</t>
        </is>
      </c>
      <c r="F304" s="9" t="inlineStr">
        <is>
          <t>LA MINA DE CHAMARTÍN</t>
        </is>
      </c>
      <c r="G304" s="9" t="inlineStr">
        <is>
          <t>SÍ</t>
        </is>
      </c>
      <c r="H304" s="13" t="n">
        <v>28.85</v>
      </c>
      <c r="I304" s="9" t="inlineStr">
        <is>
          <t>OK CON INCIDENCIA</t>
        </is>
      </c>
      <c r="J304" s="9" t="inlineStr">
        <is>
          <t>57</t>
        </is>
      </c>
      <c r="K304" s="14" t="inlineStr">
        <is>
          <t>Ticket con datos tapados</t>
        </is>
      </c>
      <c r="L304" s="9" t="inlineStr">
        <is>
          <t>Ticket proforma con IVA incluido; fecha tapada (inferida por el nº)</t>
        </is>
      </c>
    </row>
    <row r="305" ht="15" customHeight="1">
      <c r="A305" s="9" t="inlineStr">
        <is>
          <t>Scanned-image05-10-2026-124247.pdf</t>
        </is>
      </c>
      <c r="B305" s="9" t="n">
        <v>4</v>
      </c>
      <c r="C305" s="9" t="inlineStr">
        <is>
          <t>LEVADURA MADRE</t>
        </is>
      </c>
      <c r="D305" s="12" t="inlineStr">
        <is>
          <t>T-229 86?4 (17/09)</t>
        </is>
      </c>
      <c r="E305" s="9" t="inlineStr">
        <is>
          <t>17/09</t>
        </is>
      </c>
      <c r="F305" s="9" t="inlineStr">
        <is>
          <t>LA MINA DE CHAMARTÍN</t>
        </is>
      </c>
      <c r="G305" s="9" t="inlineStr">
        <is>
          <t>SÍ</t>
        </is>
      </c>
      <c r="H305" s="13" t="n">
        <v>14.42</v>
      </c>
      <c r="I305" s="9" t="inlineStr">
        <is>
          <t>OK CON INCIDENCIA</t>
        </is>
      </c>
      <c r="J305" s="9" t="inlineStr">
        <is>
          <t>57</t>
        </is>
      </c>
      <c r="K305" s="14" t="inlineStr">
        <is>
          <t>Ticket con datos tapados</t>
        </is>
      </c>
      <c r="L305" s="9" t="inlineStr">
        <is>
          <t>Ticket proforma con IVA incluido; nº y fecha tapados en parte (se lee 8644, que es el del día 18; fecha inferida)</t>
        </is>
      </c>
    </row>
    <row r="306" ht="15" customHeight="1">
      <c r="A306" s="9" t="inlineStr">
        <is>
          <t>Scanned-image05-10-2026-124247.pdf</t>
        </is>
      </c>
      <c r="B306" s="9" t="n">
        <v>5</v>
      </c>
      <c r="C306" s="9" t="inlineStr">
        <is>
          <t>LEVADURA MADRE</t>
        </is>
      </c>
      <c r="D306" s="12" t="inlineStr">
        <is>
          <t>T-229 8629</t>
        </is>
      </c>
      <c r="E306" s="9" t="inlineStr">
        <is>
          <t>16/09</t>
        </is>
      </c>
      <c r="F306" s="9" t="inlineStr">
        <is>
          <t>LA MINA DE CHAMARTÍN</t>
        </is>
      </c>
      <c r="G306" s="9" t="inlineStr">
        <is>
          <t>SÍ</t>
        </is>
      </c>
      <c r="H306" s="13" t="n">
        <v>19.23</v>
      </c>
      <c r="I306" s="9" t="inlineStr">
        <is>
          <t>OK</t>
        </is>
      </c>
      <c r="J306" s="9" t="n"/>
      <c r="K306" s="14" t="n"/>
      <c r="L306" s="9" t="inlineStr">
        <is>
          <t>Ticket proforma con IVA incluido</t>
        </is>
      </c>
    </row>
    <row r="307" ht="15" customHeight="1">
      <c r="A307" s="9" t="inlineStr">
        <is>
          <t>Scanned-image05-10-2026-124247.pdf</t>
        </is>
      </c>
      <c r="B307" s="9" t="n">
        <v>5</v>
      </c>
      <c r="C307" s="9" t="inlineStr">
        <is>
          <t>LEVADURA MADRE</t>
        </is>
      </c>
      <c r="D307" s="12" t="inlineStr">
        <is>
          <t>T-229 8618</t>
        </is>
      </c>
      <c r="E307" s="9" t="inlineStr">
        <is>
          <t>15/09</t>
        </is>
      </c>
      <c r="F307" s="9" t="inlineStr">
        <is>
          <t>LA MINA DE CHAMARTÍN</t>
        </is>
      </c>
      <c r="G307" s="9" t="inlineStr">
        <is>
          <t>SÍ</t>
        </is>
      </c>
      <c r="H307" s="13" t="n">
        <v>14.42</v>
      </c>
      <c r="I307" s="9" t="inlineStr">
        <is>
          <t>OK</t>
        </is>
      </c>
      <c r="J307" s="9" t="n"/>
      <c r="K307" s="14" t="n"/>
      <c r="L307" s="9" t="inlineStr">
        <is>
          <t>Ticket proforma con IVA incluido</t>
        </is>
      </c>
    </row>
    <row r="308" ht="15" customHeight="1">
      <c r="A308" s="9" t="inlineStr">
        <is>
          <t>Scanned-image05-10-2026-124247.pdf</t>
        </is>
      </c>
      <c r="B308" s="9" t="n">
        <v>5</v>
      </c>
      <c r="C308" s="9" t="inlineStr">
        <is>
          <t>LEVADURA MADRE</t>
        </is>
      </c>
      <c r="D308" s="12" t="inlineStr">
        <is>
          <t>T-229 8603</t>
        </is>
      </c>
      <c r="E308" s="9" t="inlineStr">
        <is>
          <t>14/09</t>
        </is>
      </c>
      <c r="F308" s="9" t="inlineStr">
        <is>
          <t>LA MINA DE CHAMARTÍN</t>
        </is>
      </c>
      <c r="G308" s="9" t="inlineStr">
        <is>
          <t>SÍ</t>
        </is>
      </c>
      <c r="H308" s="13" t="n">
        <v>9.619999999999999</v>
      </c>
      <c r="I308" s="9" t="inlineStr">
        <is>
          <t>OK CON INCIDENCIA</t>
        </is>
      </c>
      <c r="J308" s="9" t="inlineStr">
        <is>
          <t>57</t>
        </is>
      </c>
      <c r="K308" s="14" t="inlineStr">
        <is>
          <t>Ticket con datos tapados</t>
        </is>
      </c>
      <c r="L308" s="9" t="inlineStr">
        <is>
          <t>Ticket proforma con IVA incluido; fecha tapada (inferida por el nº)</t>
        </is>
      </c>
    </row>
    <row r="309" ht="15" customHeight="1">
      <c r="A309" s="9" t="inlineStr">
        <is>
          <t>Scanned-image05-10-2026-124247.pdf</t>
        </is>
      </c>
      <c r="B309" s="9" t="n">
        <v>6</v>
      </c>
      <c r="C309" s="9" t="inlineStr">
        <is>
          <t>LEVADURA MADRE</t>
        </is>
      </c>
      <c r="D309" s="12" t="inlineStr">
        <is>
          <t>T-229 8597</t>
        </is>
      </c>
      <c r="E309" s="9" t="inlineStr">
        <is>
          <t>13/09</t>
        </is>
      </c>
      <c r="F309" s="9" t="inlineStr">
        <is>
          <t>LA MINA DE CHAMARTÍN</t>
        </is>
      </c>
      <c r="G309" s="9" t="inlineStr">
        <is>
          <t>SÍ</t>
        </is>
      </c>
      <c r="H309" s="13" t="n">
        <v>19.23</v>
      </c>
      <c r="I309" s="9" t="inlineStr">
        <is>
          <t>OK</t>
        </is>
      </c>
      <c r="J309" s="9" t="n"/>
      <c r="K309" s="14" t="n"/>
      <c r="L309" s="9" t="inlineStr">
        <is>
          <t>Ticket proforma con IVA incluido</t>
        </is>
      </c>
    </row>
    <row r="310" ht="15" customHeight="1">
      <c r="A310" s="9" t="inlineStr">
        <is>
          <t>Scanned-image05-10-2026-124247.pdf</t>
        </is>
      </c>
      <c r="B310" s="9" t="n">
        <v>6</v>
      </c>
      <c r="C310" s="9" t="inlineStr">
        <is>
          <t>LEVADURA MADRE</t>
        </is>
      </c>
      <c r="D310" s="12" t="inlineStr">
        <is>
          <t>T-229 8586</t>
        </is>
      </c>
      <c r="E310" s="9" t="inlineStr">
        <is>
          <t>12/09</t>
        </is>
      </c>
      <c r="F310" s="9" t="inlineStr">
        <is>
          <t>LA MINA DE CHAMARTÍN</t>
        </is>
      </c>
      <c r="G310" s="9" t="inlineStr">
        <is>
          <t>SÍ</t>
        </is>
      </c>
      <c r="H310" s="13" t="n">
        <v>19.23</v>
      </c>
      <c r="I310" s="9" t="inlineStr">
        <is>
          <t>OK CON INCIDENCIA</t>
        </is>
      </c>
      <c r="J310" s="9" t="inlineStr">
        <is>
          <t>57</t>
        </is>
      </c>
      <c r="K310" s="14" t="inlineStr">
        <is>
          <t>Ticket con datos tapados</t>
        </is>
      </c>
      <c r="L310" s="9" t="inlineStr">
        <is>
          <t>Ticket proforma con IVA incluido; día tapado (inferido por el nº)</t>
        </is>
      </c>
    </row>
    <row r="311" ht="15" customHeight="1">
      <c r="A311" s="9" t="inlineStr">
        <is>
          <t>Scanned-image05-10-2026-124247.pdf</t>
        </is>
      </c>
      <c r="B311" s="9" t="n">
        <v>6</v>
      </c>
      <c r="C311" s="9" t="inlineStr">
        <is>
          <t>LEVADURA MADRE</t>
        </is>
      </c>
      <c r="D311" s="12" t="inlineStr">
        <is>
          <t>T-229 8568</t>
        </is>
      </c>
      <c r="E311" s="9" t="inlineStr">
        <is>
          <t>11/09</t>
        </is>
      </c>
      <c r="F311" s="9" t="inlineStr">
        <is>
          <t>LA MINA DE CHAMARTÍN</t>
        </is>
      </c>
      <c r="G311" s="9" t="inlineStr">
        <is>
          <t>SÍ</t>
        </is>
      </c>
      <c r="H311" s="13" t="n">
        <v>19.23</v>
      </c>
      <c r="I311" s="9" t="inlineStr">
        <is>
          <t>OK CON INCIDENCIA</t>
        </is>
      </c>
      <c r="J311" s="9" t="inlineStr">
        <is>
          <t>57</t>
        </is>
      </c>
      <c r="K311" s="14" t="inlineStr">
        <is>
          <t>Ticket con datos tapados</t>
        </is>
      </c>
      <c r="L311" s="9" t="inlineStr">
        <is>
          <t>Ticket proforma con IVA incluido; fecha tapada (inferida por el nº)</t>
        </is>
      </c>
    </row>
    <row r="312" ht="15" customHeight="1">
      <c r="A312" s="9" t="inlineStr">
        <is>
          <t>Scanned-image05-10-2026-124247.pdf</t>
        </is>
      </c>
      <c r="B312" s="9" t="n">
        <v>7</v>
      </c>
      <c r="C312" s="9" t="inlineStr">
        <is>
          <t>LEVADURA MADRE</t>
        </is>
      </c>
      <c r="D312" s="12" t="inlineStr">
        <is>
          <t>T-229 8560</t>
        </is>
      </c>
      <c r="E312" s="9" t="inlineStr">
        <is>
          <t>10/09</t>
        </is>
      </c>
      <c r="F312" s="9" t="inlineStr">
        <is>
          <t>LA MINA DE CHAMARTÍN</t>
        </is>
      </c>
      <c r="G312" s="9" t="inlineStr">
        <is>
          <t>SÍ</t>
        </is>
      </c>
      <c r="H312" s="13" t="n">
        <v>14.42</v>
      </c>
      <c r="I312" s="9" t="inlineStr">
        <is>
          <t>OK</t>
        </is>
      </c>
      <c r="J312" s="9" t="n"/>
      <c r="K312" s="14" t="n"/>
      <c r="L312" s="9" t="inlineStr">
        <is>
          <t>Ticket proforma con IVA incluido</t>
        </is>
      </c>
    </row>
    <row r="313" ht="15" customHeight="1">
      <c r="A313" s="9" t="inlineStr">
        <is>
          <t>Scanned-image05-10-2026-124247.pdf</t>
        </is>
      </c>
      <c r="B313" s="9" t="n">
        <v>7</v>
      </c>
      <c r="C313" s="9" t="inlineStr">
        <is>
          <t>LEVADURA MADRE</t>
        </is>
      </c>
      <c r="D313" s="12" t="inlineStr">
        <is>
          <t>T-229 8548</t>
        </is>
      </c>
      <c r="E313" s="9" t="inlineStr">
        <is>
          <t>09/09</t>
        </is>
      </c>
      <c r="F313" s="9" t="inlineStr">
        <is>
          <t>LA MINA DE CHAMARTÍN</t>
        </is>
      </c>
      <c r="G313" s="9" t="inlineStr">
        <is>
          <t>SÍ</t>
        </is>
      </c>
      <c r="H313" s="13" t="n">
        <v>9.619999999999999</v>
      </c>
      <c r="I313" s="9" t="inlineStr">
        <is>
          <t>OK</t>
        </is>
      </c>
      <c r="J313" s="9" t="n"/>
      <c r="K313" s="14" t="n"/>
      <c r="L313" s="9" t="inlineStr">
        <is>
          <t>Ticket proforma con IVA incluido</t>
        </is>
      </c>
    </row>
    <row r="314" ht="15" customHeight="1">
      <c r="A314" s="9" t="inlineStr">
        <is>
          <t>Scanned-image05-10-2026-124247.pdf</t>
        </is>
      </c>
      <c r="B314" s="9" t="n">
        <v>7</v>
      </c>
      <c r="C314" s="9" t="inlineStr">
        <is>
          <t>LEVADURA MADRE</t>
        </is>
      </c>
      <c r="D314" s="12" t="inlineStr">
        <is>
          <t>T-229 8536</t>
        </is>
      </c>
      <c r="E314" s="9" t="inlineStr">
        <is>
          <t>08/09</t>
        </is>
      </c>
      <c r="F314" s="9" t="inlineStr">
        <is>
          <t>LA MINA DE CHAMARTÍN</t>
        </is>
      </c>
      <c r="G314" s="9" t="inlineStr">
        <is>
          <t>SÍ</t>
        </is>
      </c>
      <c r="H314" s="13" t="n">
        <v>38.46</v>
      </c>
      <c r="I314" s="9" t="inlineStr">
        <is>
          <t>OK CON INCIDENCIA</t>
        </is>
      </c>
      <c r="J314" s="9" t="inlineStr">
        <is>
          <t>57</t>
        </is>
      </c>
      <c r="K314" s="14" t="inlineStr">
        <is>
          <t>Ticket con datos tapados</t>
        </is>
      </c>
      <c r="L314" s="9" t="inlineStr">
        <is>
          <t>Ticket proforma con IVA incluido; fecha tapada (inferida por el nº)</t>
        </is>
      </c>
    </row>
    <row r="315" ht="15" customHeight="1">
      <c r="A315" s="9" t="inlineStr">
        <is>
          <t>Scanned-image05-10-2026-124247.pdf</t>
        </is>
      </c>
      <c r="B315" s="9" t="n">
        <v>8</v>
      </c>
      <c r="C315" s="9" t="inlineStr">
        <is>
          <t>LEVADURA MADRE</t>
        </is>
      </c>
      <c r="D315" s="12" t="inlineStr">
        <is>
          <t>T-229 8783</t>
        </is>
      </c>
      <c r="E315" s="9" t="inlineStr">
        <is>
          <t>30/09</t>
        </is>
      </c>
      <c r="F315" s="9" t="inlineStr">
        <is>
          <t>LA MINA DE CHAMARTÍN</t>
        </is>
      </c>
      <c r="G315" s="9" t="inlineStr">
        <is>
          <t>SÍ</t>
        </is>
      </c>
      <c r="H315" s="13" t="n">
        <v>14.42</v>
      </c>
      <c r="I315" s="9" t="inlineStr">
        <is>
          <t>OK CON INCIDENCIA</t>
        </is>
      </c>
      <c r="J315" s="9" t="inlineStr">
        <is>
          <t>57</t>
        </is>
      </c>
      <c r="K315" s="14" t="inlineStr">
        <is>
          <t>Ticket con datos tapados</t>
        </is>
      </c>
      <c r="L315" s="9" t="inlineStr">
        <is>
          <t>Ticket proforma con IVA incluido; marcado DUPLICADO</t>
        </is>
      </c>
    </row>
    <row r="316" ht="15" customHeight="1">
      <c r="A316" s="9" t="inlineStr">
        <is>
          <t>Scanned-image05-10-2026-124247.pdf</t>
        </is>
      </c>
      <c r="B316" s="9" t="n">
        <v>8</v>
      </c>
      <c r="C316" s="9" t="inlineStr">
        <is>
          <t>LEVADURA MADRE</t>
        </is>
      </c>
      <c r="D316" s="12" t="inlineStr">
        <is>
          <t>T-229 8774</t>
        </is>
      </c>
      <c r="E316" s="9" t="inlineStr">
        <is>
          <t>29/09</t>
        </is>
      </c>
      <c r="F316" s="9" t="inlineStr">
        <is>
          <t>LA MINA DE CHAMARTÍN</t>
        </is>
      </c>
      <c r="G316" s="9" t="inlineStr">
        <is>
          <t>SÍ</t>
        </is>
      </c>
      <c r="H316" s="13" t="n">
        <v>14.42</v>
      </c>
      <c r="I316" s="9" t="inlineStr">
        <is>
          <t>OK</t>
        </is>
      </c>
      <c r="J316" s="9" t="n"/>
      <c r="K316" s="14" t="n"/>
      <c r="L316" s="9" t="inlineStr">
        <is>
          <t>Ticket proforma con IVA incluido</t>
        </is>
      </c>
    </row>
    <row r="317" ht="15" customHeight="1">
      <c r="A317" s="9" t="inlineStr">
        <is>
          <t>Scanned-image05-10-2026-124247.pdf</t>
        </is>
      </c>
      <c r="B317" s="9" t="n">
        <v>8</v>
      </c>
      <c r="C317" s="9" t="inlineStr">
        <is>
          <t>MONVA</t>
        </is>
      </c>
      <c r="D317" s="12" t="inlineStr">
        <is>
          <t>AL/5260771</t>
        </is>
      </c>
      <c r="E317" s="9" t="inlineStr">
        <is>
          <t>23/09</t>
        </is>
      </c>
      <c r="F317" s="9" t="inlineStr">
        <is>
          <t>LA MINA DE CHAMARTÍN</t>
        </is>
      </c>
      <c r="G317" s="9" t="inlineStr">
        <is>
          <t>SÍ</t>
        </is>
      </c>
      <c r="H317" s="13" t="n">
        <v>114</v>
      </c>
      <c r="I317" s="9" t="inlineStr">
        <is>
          <t>OK</t>
        </is>
      </c>
      <c r="J317" s="9" t="n"/>
      <c r="K317" s="14" t="n"/>
      <c r="L317" s="9" t="inlineStr">
        <is>
          <t>Ticket de entrega pegado junto a los de pan</t>
        </is>
      </c>
    </row>
    <row r="318" ht="15" customHeight="1">
      <c r="A318" s="9" t="inlineStr">
        <is>
          <t>Scanned-image05-10-2026-124247.pdf</t>
        </is>
      </c>
      <c r="B318" s="9" t="n">
        <v>9</v>
      </c>
      <c r="C318" s="9" t="inlineStr">
        <is>
          <t>VOLDIS</t>
        </is>
      </c>
      <c r="D318" s="12" t="inlineStr">
        <is>
          <t>AP26-032005</t>
        </is>
      </c>
      <c r="E318" s="9" t="inlineStr">
        <is>
          <t>22/09</t>
        </is>
      </c>
      <c r="F318" s="9" t="inlineStr">
        <is>
          <t>LA MINA DE CHAMARTÍN</t>
        </is>
      </c>
      <c r="G318" s="9" t="inlineStr">
        <is>
          <t>SÍ</t>
        </is>
      </c>
      <c r="H318" s="13" t="n">
        <v>631.88</v>
      </c>
      <c r="I318" s="9" t="inlineStr">
        <is>
          <t>OK CON INCIDENCIA</t>
        </is>
      </c>
      <c r="J318" s="9" t="inlineStr">
        <is>
          <t>52</t>
        </is>
      </c>
      <c r="K318" s="14" t="inlineStr">
        <is>
          <t>Envases / abono</t>
        </is>
      </c>
      <c r="L318" s="9" t="inlineStr">
        <is>
          <t>Ticket térmico tenue. Bases del desglose de IVA (251,41 al 10% y 380,47 al 21%) cuadran con el total; el detalle leído suma 0,09 € menos al 10%. Los envases de Solan (200 botellas y 10 cajas) vienen cargados</t>
        </is>
      </c>
    </row>
    <row r="319" ht="15" customHeight="1">
      <c r="A319" s="9" t="inlineStr">
        <is>
          <t>Scanned-image05-10-2026-124247.pdf</t>
        </is>
      </c>
      <c r="B319" s="9" t="n">
        <v>9</v>
      </c>
      <c r="C319" s="9" t="inlineStr">
        <is>
          <t>VOLDIS</t>
        </is>
      </c>
      <c r="D319" s="12" t="inlineStr">
        <is>
          <t>AP26-0326?? (25/09)</t>
        </is>
      </c>
      <c r="E319" s="9" t="inlineStr">
        <is>
          <t>25/09</t>
        </is>
      </c>
      <c r="F319" s="9" t="inlineStr">
        <is>
          <t>LA MINA DE CHAMARTÍN</t>
        </is>
      </c>
      <c r="G319" s="9" t="inlineStr">
        <is>
          <t>SÍ</t>
        </is>
      </c>
      <c r="H319" s="13" t="n">
        <v>1009.05</v>
      </c>
      <c r="I319" s="9" t="inlineStr">
        <is>
          <t>OK CON INCIDENCIA</t>
        </is>
      </c>
      <c r="J319" s="9" t="inlineStr">
        <is>
          <t>40</t>
        </is>
      </c>
      <c r="K319" s="14" t="inlineStr">
        <is>
          <t>Ticket ilegible</t>
        </is>
      </c>
      <c r="L319" s="9" t="inlineStr">
        <is>
          <t>Ticket térmico tapado por una tira a lo largo; solo se leen bases (144,78 al 10% y 864,27 al 21%) y total. 21 artículos, con muchos envases</t>
        </is>
      </c>
    </row>
    <row r="320" ht="15" customHeight="1">
      <c r="A320" s="9" t="inlineStr">
        <is>
          <t>Scanned-image05-10-2026-124247.pdf</t>
        </is>
      </c>
      <c r="B320" s="9" t="n">
        <v>9</v>
      </c>
      <c r="C320" s="9" t="inlineStr">
        <is>
          <t>MONVA</t>
        </is>
      </c>
      <c r="D320" s="12" t="inlineStr">
        <is>
          <t>AL/5260707</t>
        </is>
      </c>
      <c r="E320" s="9" t="inlineStr">
        <is>
          <t>01/09</t>
        </is>
      </c>
      <c r="F320" s="9" t="inlineStr">
        <is>
          <t>LA MINA DE CHAMARTÍN</t>
        </is>
      </c>
      <c r="G320" s="9" t="inlineStr">
        <is>
          <t>SÍ</t>
        </is>
      </c>
      <c r="H320" s="13" t="n">
        <v>114</v>
      </c>
      <c r="I320" s="9" t="inlineStr">
        <is>
          <t>OK</t>
        </is>
      </c>
      <c r="J320" s="9" t="n"/>
      <c r="K320" s="14" t="n"/>
      <c r="L320" s="9" t="n"/>
    </row>
    <row r="321" ht="15" customHeight="1">
      <c r="A321" s="9" t="inlineStr">
        <is>
          <t>Scanned-image05-10-2026-124247.pdf</t>
        </is>
      </c>
      <c r="B321" s="9" t="n">
        <v>10</v>
      </c>
      <c r="C321" s="9" t="inlineStr">
        <is>
          <t>VOLDIS</t>
        </is>
      </c>
      <c r="D321" s="12" t="inlineStr">
        <is>
          <t>AP26-030095</t>
        </is>
      </c>
      <c r="E321" s="9" t="inlineStr">
        <is>
          <t>08/09</t>
        </is>
      </c>
      <c r="F321" s="9" t="inlineStr">
        <is>
          <t>LA MINA DE CHAMARTÍN</t>
        </is>
      </c>
      <c r="G321" s="9" t="inlineStr">
        <is>
          <t>SÍ</t>
        </is>
      </c>
      <c r="H321" s="13" t="n">
        <v>1249.77</v>
      </c>
      <c r="I321" s="9" t="inlineStr">
        <is>
          <t>OK CON INCIDENCIA</t>
        </is>
      </c>
      <c r="J321" s="9" t="inlineStr">
        <is>
          <t>40</t>
        </is>
      </c>
      <c r="K321" s="14" t="inlineStr">
        <is>
          <t>Ticket ilegible</t>
        </is>
      </c>
      <c r="L321" s="9" t="inlineStr">
        <is>
          <t>Los importes de línea quedan tapados por otro ticket; se leen bases (164,26 al 10% y 1.085,51 al 21%) y total (14 artículos). Lleva escrito "EXCEL AGORA"</t>
        </is>
      </c>
    </row>
    <row r="322" ht="15" customHeight="1">
      <c r="A322" s="9" t="inlineStr">
        <is>
          <t>Scanned-image05-10-2026-124247.pdf</t>
        </is>
      </c>
      <c r="B322" s="9" t="n">
        <v>10</v>
      </c>
      <c r="C322" s="9" t="inlineStr">
        <is>
          <t>VOLDIS</t>
        </is>
      </c>
      <c r="D322" s="12" t="inlineStr">
        <is>
          <t>AP26-030577</t>
        </is>
      </c>
      <c r="E322" s="9" t="inlineStr">
        <is>
          <t>11/09</t>
        </is>
      </c>
      <c r="F322" s="9" t="inlineStr">
        <is>
          <t>LA MINA DE CHAMARTÍN</t>
        </is>
      </c>
      <c r="G322" s="9" t="inlineStr">
        <is>
          <t>SÍ</t>
        </is>
      </c>
      <c r="H322" s="13" t="n">
        <v>486.27</v>
      </c>
      <c r="I322" s="9" t="inlineStr">
        <is>
          <t>OK CON INCIDENCIA</t>
        </is>
      </c>
      <c r="J322" s="9" t="inlineStr">
        <is>
          <t>52</t>
        </is>
      </c>
      <c r="K322" s="14" t="inlineStr">
        <is>
          <t>Envases / abono</t>
        </is>
      </c>
      <c r="L322" s="9" t="inlineStr">
        <is>
          <t>Devuelven envases Schweppes (-168 botellas, -6 cajas)</t>
        </is>
      </c>
    </row>
    <row r="323" ht="15" customHeight="1">
      <c r="A323" s="9" t="inlineStr">
        <is>
          <t>Scanned-image05-10-2026-124247.pdf</t>
        </is>
      </c>
      <c r="B323" s="9" t="n">
        <v>10</v>
      </c>
      <c r="C323" s="9" t="inlineStr">
        <is>
          <t>VOLDIS</t>
        </is>
      </c>
      <c r="D323" s="12" t="inlineStr">
        <is>
          <t>AP26-030879</t>
        </is>
      </c>
      <c r="E323" s="9" t="inlineStr">
        <is>
          <t>15/09</t>
        </is>
      </c>
      <c r="F323" s="9" t="inlineStr">
        <is>
          <t>LA MINA DE CHAMARTÍN</t>
        </is>
      </c>
      <c r="G323" s="9" t="inlineStr">
        <is>
          <t>SÍ</t>
        </is>
      </c>
      <c r="H323" s="13" t="n">
        <v>878.09</v>
      </c>
      <c r="I323" s="9" t="inlineStr">
        <is>
          <t>OK</t>
        </is>
      </c>
      <c r="J323" s="9" t="n"/>
      <c r="K323" s="14" t="n"/>
      <c r="L323" s="9" t="n"/>
    </row>
    <row r="324" ht="15" customHeight="1">
      <c r="A324" s="9" t="inlineStr">
        <is>
          <t>Scanned-image05-10-2026-124247.pdf</t>
        </is>
      </c>
      <c r="B324" s="9" t="n">
        <v>10</v>
      </c>
      <c r="C324" s="9" t="inlineStr">
        <is>
          <t>VOLDIS</t>
        </is>
      </c>
      <c r="D324" s="12" t="inlineStr">
        <is>
          <t>AP26-03159? (18/09)</t>
        </is>
      </c>
      <c r="E324" s="9" t="inlineStr">
        <is>
          <t>18/09</t>
        </is>
      </c>
      <c r="F324" s="9" t="inlineStr">
        <is>
          <t>LA MINA DE CHAMARTÍN</t>
        </is>
      </c>
      <c r="G324" s="9" t="inlineStr">
        <is>
          <t>SÍ</t>
        </is>
      </c>
      <c r="H324" s="13" t="n">
        <v>1118.56</v>
      </c>
      <c r="I324" s="9" t="inlineStr">
        <is>
          <t>OK CON INCIDENCIA</t>
        </is>
      </c>
      <c r="J324" s="9" t="inlineStr">
        <is>
          <t>40</t>
        </is>
      </c>
      <c r="K324" s="14" t="inlineStr">
        <is>
          <t>Ticket ilegible</t>
        </is>
      </c>
      <c r="L324" s="9" t="inlineStr">
        <is>
          <t>Los importes de línea quedan fuera del borde del escaneo; se leen bases (194,17 al 10% y 924,39 al 21%) y total (12 artículos)</t>
        </is>
      </c>
    </row>
    <row r="325" ht="15" customHeight="1">
      <c r="A325" s="9" t="inlineStr">
        <is>
          <t>Scanned-image05-10-2026-124247.pdf</t>
        </is>
      </c>
      <c r="B325" s="9" t="n">
        <v>11</v>
      </c>
      <c r="C325" s="9" t="inlineStr">
        <is>
          <t>VOLDIS</t>
        </is>
      </c>
      <c r="D325" s="12" t="inlineStr">
        <is>
          <t>AP26-030112</t>
        </is>
      </c>
      <c r="E325" s="9" t="inlineStr">
        <is>
          <t>08/09</t>
        </is>
      </c>
      <c r="F325" s="9" t="inlineStr">
        <is>
          <t>LA MINA DE CHAMARTÍN</t>
        </is>
      </c>
      <c r="G325" s="9" t="inlineStr">
        <is>
          <t>SÍ</t>
        </is>
      </c>
      <c r="H325" s="13" t="n">
        <v>98.44</v>
      </c>
      <c r="I325" s="9" t="inlineStr">
        <is>
          <t>OK</t>
        </is>
      </c>
      <c r="J325" s="9" t="n"/>
      <c r="K325" s="14" t="n"/>
      <c r="L325" s="9" t="n"/>
    </row>
    <row r="326" ht="15" customHeight="1">
      <c r="A326" s="9" t="inlineStr">
        <is>
          <t>Scanned-image05-10-2026-124247.pdf</t>
        </is>
      </c>
      <c r="B326" s="9" t="n">
        <v>11</v>
      </c>
      <c r="C326" s="9" t="inlineStr">
        <is>
          <t>VOLDIS</t>
        </is>
      </c>
      <c r="D326" s="12" t="inlineStr">
        <is>
          <t>AP26-030104 (ABONO)</t>
        </is>
      </c>
      <c r="E326" s="9" t="inlineStr">
        <is>
          <t>08/09</t>
        </is>
      </c>
      <c r="F326" s="9" t="inlineStr">
        <is>
          <t>LA MINA DE CHAMARTÍN</t>
        </is>
      </c>
      <c r="G326" s="9" t="inlineStr">
        <is>
          <t>SÍ</t>
        </is>
      </c>
      <c r="H326" s="13" t="n">
        <v>-30</v>
      </c>
      <c r="I326" s="9" t="inlineStr">
        <is>
          <t>OK CON INCIDENCIA</t>
        </is>
      </c>
      <c r="J326" s="9" t="inlineStr">
        <is>
          <t>52</t>
        </is>
      </c>
      <c r="K326" s="14" t="inlineStr">
        <is>
          <t>Envases / abono</t>
        </is>
      </c>
      <c r="L326" s="9" t="inlineStr">
        <is>
          <t>Devolución de 1 envase de barril de 50L (-30,00 € + IVA)</t>
        </is>
      </c>
    </row>
  </sheetData>
  <autoFilter ref="A1:L326"/>
  <conditionalFormatting sqref="I2:I326">
    <cfRule type="cellIs" priority="1" operator="equal" dxfId="0">
      <formula>"OK CON INCIDENCIA"</formula>
    </cfRule>
    <cfRule type="expression" priority="2" dxfId="1">
      <formula>LEFT($I2,2)="OK"</formula>
    </cfRule>
    <cfRule type="expression" priority="3" dxfId="2">
      <formula>LEFT($I2,2)="NO"</formula>
    </cfRule>
    <cfRule type="expression" priority="4" dxfId="3">
      <formula>LEFT($I2,1)="¡"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2026-10-05T19:44:37Z</dcterms:created>
  <dcterms:modified xmlns:dcterms="http://purl.org/dc/terms/" xmlns:xsi="http://www.w3.org/2001/XMLSchema-instance" xsi:type="dcterms:W3CDTF">2026-10-05T19:44:37Z</dcterms:modified>
</cp:coreProperties>
</file>
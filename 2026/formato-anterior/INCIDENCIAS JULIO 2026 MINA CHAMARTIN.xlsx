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CIAS" sheetId="1" state="visible" r:id="rId1"/>
  </sheets>
  <definedNames>
    <definedName name="_xlnm._FilterDatabase" localSheetId="0" hidden="1">'INCIDENCIAS'!$B$4:$L$71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#,##0.00 &quot;€&quot;"/>
    <numFmt numFmtId="167" formatCode="0.0%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/>
    </xf>
    <xf numFmtId="167" fontId="0" fillId="0" borderId="1" applyAlignment="1" pivotButton="0" quotePrefix="0" xfId="0">
      <alignment vertical="top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ont>
        <b val="1"/>
        <color rgb="00C00000"/>
      </font>
    </dxf>
    <dxf>
      <font>
        <b val="1"/>
        <color rgb="007030A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7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20" customWidth="1" min="3" max="3"/>
    <col width="16" customWidth="1" min="4" max="4"/>
    <col width="38" customWidth="1" min="5" max="5"/>
    <col width="28" customWidth="1" min="6" max="6"/>
    <col width="12" customWidth="1" min="7" max="7"/>
    <col width="12" customWidth="1" min="8" max="8"/>
    <col width="12" customWidth="1" min="9" max="9"/>
    <col width="11" customWidth="1" min="10" max="10"/>
    <col width="60" customWidth="1" min="11" max="11"/>
    <col width="16" customWidth="1" min="12" max="12"/>
  </cols>
  <sheetData>
    <row r="2">
      <c r="B2" s="1" t="inlineStr">
        <is>
          <t>INCIDENCIAS ALBARANES · LA MINA DE CHAMARTÍN 2 · JULIO 2026</t>
        </is>
      </c>
    </row>
    <row r="4" ht="30" customHeight="1">
      <c r="B4" s="2" t="inlineStr">
        <is>
          <t>FECHA</t>
        </is>
      </c>
      <c r="C4" s="2" t="inlineStr">
        <is>
          <t>PROVEEDOR</t>
        </is>
      </c>
      <c r="D4" s="2" t="inlineStr">
        <is>
          <t>Nº ALBARÁN</t>
        </is>
      </c>
      <c r="E4" s="2" t="inlineStr">
        <is>
          <t>PRODUCTO</t>
        </is>
      </c>
      <c r="F4" s="2" t="inlineStr">
        <is>
          <t>TIPO</t>
        </is>
      </c>
      <c r="G4" s="2" t="inlineStr">
        <is>
          <t>PRECIO ANTERIOR</t>
        </is>
      </c>
      <c r="H4" s="2" t="inlineStr">
        <is>
          <t>PRECIO ACTUAL</t>
        </is>
      </c>
      <c r="I4" s="2" t="inlineStr">
        <is>
          <t>DIFERENCIA</t>
        </is>
      </c>
      <c r="J4" s="2" t="inlineStr">
        <is>
          <t>% VARIACIÓN</t>
        </is>
      </c>
      <c r="K4" s="2" t="inlineStr">
        <is>
          <t>DETALLE</t>
        </is>
      </c>
      <c r="L4" s="2" t="inlineStr">
        <is>
          <t>ESTADO</t>
        </is>
      </c>
    </row>
    <row r="5">
      <c r="B5" s="3" t="n">
        <v>46206</v>
      </c>
      <c r="C5" s="4" t="inlineStr">
        <is>
          <t>DELIPAN</t>
        </is>
      </c>
      <c r="D5" s="4" t="inlineStr">
        <is>
          <t>A2/8248</t>
        </is>
      </c>
      <c r="E5" s="5" t="inlineStr">
        <is>
          <t>DELIFLAUTA 17 PERRITO 90 UD</t>
        </is>
      </c>
      <c r="F5" s="5" t="inlineStr">
        <is>
          <t>SUBIDA PRECIO</t>
        </is>
      </c>
      <c r="G5" s="6" t="n">
        <v>17.34</v>
      </c>
      <c r="H5" s="6" t="n">
        <v>17.73</v>
      </c>
      <c r="I5" s="6">
        <f>IF(AND(ISNUMBER(G5),ISNUMBER(H5)),H5-G5,"")</f>
        <v/>
      </c>
      <c r="J5" s="7">
        <f>IF(AND(ISNUMBER(G5),ISNUMBER(H5)),(H5-G5)/G5,"")</f>
        <v/>
      </c>
      <c r="K5" s="5" t="inlineStr">
        <is>
          <t>Precio junio 17,34 €. Se mantiene a 17,73 todo julio</t>
        </is>
      </c>
      <c r="L5" s="4" t="inlineStr">
        <is>
          <t>PENDIENTE</t>
        </is>
      </c>
    </row>
    <row r="6">
      <c r="B6" s="3" t="n">
        <v>46206</v>
      </c>
      <c r="C6" s="4" t="inlineStr">
        <is>
          <t>DELIPAN</t>
        </is>
      </c>
      <c r="D6" s="4" t="inlineStr">
        <is>
          <t>A2/8248</t>
        </is>
      </c>
      <c r="E6" s="5" t="inlineStr">
        <is>
          <t>PICOS SIN GLUTEN 20GR 25 UNID</t>
        </is>
      </c>
      <c r="F6" s="5" t="inlineStr">
        <is>
          <t>SUBIDA PRECIO</t>
        </is>
      </c>
      <c r="G6" s="6" t="n">
        <v>10.44</v>
      </c>
      <c r="H6" s="6" t="n">
        <v>11.29</v>
      </c>
      <c r="I6" s="6">
        <f>IF(AND(ISNUMBER(G6),ISNUMBER(H6)),H6-G6,"")</f>
        <v/>
      </c>
      <c r="J6" s="7">
        <f>IF(AND(ISNUMBER(G6),ISNUMBER(H6)),(H6-G6)/G6,"")</f>
        <v/>
      </c>
      <c r="K6" s="5" t="inlineStr">
        <is>
          <t>Precio junio 10,44 €</t>
        </is>
      </c>
      <c r="L6" s="4" t="inlineStr">
        <is>
          <t>PENDIENTE</t>
        </is>
      </c>
    </row>
    <row r="7">
      <c r="B7" s="3" t="n">
        <v>46206</v>
      </c>
      <c r="C7" s="4" t="inlineStr">
        <is>
          <t>DELIPAN</t>
        </is>
      </c>
      <c r="D7" s="4" t="inlineStr">
        <is>
          <t>A2/8248</t>
        </is>
      </c>
      <c r="E7" s="5" t="inlineStr">
        <is>
          <t>PICOS ARTESANOS 500 GR</t>
        </is>
      </c>
      <c r="F7" s="5" t="inlineStr">
        <is>
          <t>SUBIDA PRECIO</t>
        </is>
      </c>
      <c r="G7" s="6" t="n">
        <v>10.97</v>
      </c>
      <c r="H7" s="6" t="n">
        <v>11.48</v>
      </c>
      <c r="I7" s="6">
        <f>IF(AND(ISNUMBER(G7),ISNUMBER(H7)),H7-G7,"")</f>
        <v/>
      </c>
      <c r="J7" s="7">
        <f>IF(AND(ISNUMBER(G7),ISNUMBER(H7)),(H7-G7)/G7,"")</f>
        <v/>
      </c>
      <c r="K7" s="5" t="inlineStr">
        <is>
          <t>Precio junio 10,97 €</t>
        </is>
      </c>
      <c r="L7" s="4" t="inlineStr">
        <is>
          <t>PENDIENTE</t>
        </is>
      </c>
    </row>
    <row r="8">
      <c r="B8" s="3" t="n">
        <v>46205</v>
      </c>
      <c r="C8" s="4" t="inlineStr">
        <is>
          <t>AGMASFOOD</t>
        </is>
      </c>
      <c r="D8" s="4" t="inlineStr">
        <is>
          <t>26 5876</t>
        </is>
      </c>
      <c r="E8" s="5" t="inlineStr">
        <is>
          <t>LOMO NEGRO SIN COLA LIMPIO ALMADRABA</t>
        </is>
      </c>
      <c r="F8" s="5" t="inlineStr">
        <is>
          <t>SUBIDA PRECIO</t>
        </is>
      </c>
      <c r="G8" s="6" t="n">
        <v>37.9</v>
      </c>
      <c r="H8" s="6" t="n">
        <v>39.05</v>
      </c>
      <c r="I8" s="6">
        <f>IF(AND(ISNUMBER(G8),ISNUMBER(H8)),H8-G8,"")</f>
        <v/>
      </c>
      <c r="J8" s="7">
        <f>IF(AND(ISNUMBER(G8),ISNUMBER(H8)),(H8-G8)/G8,"")</f>
        <v/>
      </c>
      <c r="K8" s="5" t="inlineStr">
        <is>
          <t>Precio junio 37,90 €/kg</t>
        </is>
      </c>
      <c r="L8" s="4" t="inlineStr">
        <is>
          <t>PENDIENTE</t>
        </is>
      </c>
    </row>
    <row r="9">
      <c r="B9" s="3" t="n">
        <v>46206</v>
      </c>
      <c r="C9" s="4" t="inlineStr">
        <is>
          <t>AGMASFOOD</t>
        </is>
      </c>
      <c r="D9" s="4" t="inlineStr">
        <is>
          <t>26 5951</t>
        </is>
      </c>
      <c r="E9" s="5" t="inlineStr">
        <is>
          <t>GAMBA ROJA ALISTADA 15-20P</t>
        </is>
      </c>
      <c r="F9" s="5" t="inlineStr">
        <is>
          <t>BAJADA PRECIO</t>
        </is>
      </c>
      <c r="G9" s="6" t="n">
        <v>87</v>
      </c>
      <c r="H9" s="6" t="n">
        <v>79</v>
      </c>
      <c r="I9" s="6">
        <f>IF(AND(ISNUMBER(G9),ISNUMBER(H9)),H9-G9,"")</f>
        <v/>
      </c>
      <c r="J9" s="7">
        <f>IF(AND(ISNUMBER(G9),ISNUMBER(H9)),(H9-G9)/G9,"")</f>
        <v/>
      </c>
      <c r="K9" s="5" t="inlineStr">
        <is>
          <t>Junio entre 86 y 87 €/kg; el 03/07 a 79 €</t>
        </is>
      </c>
      <c r="L9" s="4" t="inlineStr">
        <is>
          <t>PENDIENTE</t>
        </is>
      </c>
    </row>
    <row r="10">
      <c r="B10" s="3" t="n">
        <v>46226</v>
      </c>
      <c r="C10" s="4" t="inlineStr">
        <is>
          <t>AGMASFOOD</t>
        </is>
      </c>
      <c r="D10" s="4" t="inlineStr">
        <is>
          <t>26 6503</t>
        </is>
      </c>
      <c r="E10" s="5" t="inlineStr">
        <is>
          <t>GAMBA ROJA ALISTADA 15-20P</t>
        </is>
      </c>
      <c r="F10" s="5" t="inlineStr">
        <is>
          <t>SUBIDA PRECIO</t>
        </is>
      </c>
      <c r="G10" s="6" t="n">
        <v>79</v>
      </c>
      <c r="H10" s="6" t="n">
        <v>84</v>
      </c>
      <c r="I10" s="6">
        <f>IF(AND(ISNUMBER(G10),ISNUMBER(H10)),H10-G10,"")</f>
        <v/>
      </c>
      <c r="J10" s="7">
        <f>IF(AND(ISNUMBER(G10),ISNUMBER(H10)),(H10-G10)/G10,"")</f>
        <v/>
      </c>
      <c r="K10" s="5" t="inlineStr">
        <is>
          <t>Sube de 79 (03/07) a 84 €/kg desde el 23/07 (albs. 26 6503, 26 6530, 26 6629)</t>
        </is>
      </c>
      <c r="L10" s="4" t="inlineStr">
        <is>
          <t>PENDIENTE</t>
        </is>
      </c>
    </row>
    <row r="11">
      <c r="B11" s="3" t="n">
        <v>46204</v>
      </c>
      <c r="C11" s="4" t="inlineStr">
        <is>
          <t>CONS. Y SALAZ.</t>
        </is>
      </c>
      <c r="D11" s="4" t="inlineStr">
        <is>
          <t>26A00831</t>
        </is>
      </c>
      <c r="E11" s="5" t="inlineStr">
        <is>
          <t>ANCHOAS CANTABRICO GRAN RESERVA HL-270</t>
        </is>
      </c>
      <c r="F11" s="5" t="inlineStr">
        <is>
          <t>SUBIDA PRECIO</t>
        </is>
      </c>
      <c r="G11" s="6" t="n">
        <v>27.46</v>
      </c>
      <c r="H11" s="6" t="n">
        <v>28.66</v>
      </c>
      <c r="I11" s="6">
        <f>IF(AND(ISNUMBER(G11),ISNUMBER(H11)),H11-G11,"")</f>
        <v/>
      </c>
      <c r="J11" s="7">
        <f>IF(AND(ISNUMBER(G11),ISNUMBER(H11)),(H11-G11)/G11,"")</f>
        <v/>
      </c>
      <c r="K11" s="5" t="inlineStr">
        <is>
          <t>Precio junio 27,46 €</t>
        </is>
      </c>
      <c r="L11" s="4" t="inlineStr">
        <is>
          <t>PENDIENTE</t>
        </is>
      </c>
    </row>
    <row r="12">
      <c r="B12" s="3" t="n">
        <v>46220</v>
      </c>
      <c r="C12" s="4" t="inlineStr">
        <is>
          <t>CONS. Y SALAZ.</t>
        </is>
      </c>
      <c r="D12" s="4" t="inlineStr">
        <is>
          <t>26A00916</t>
        </is>
      </c>
      <c r="E12" s="5" t="inlineStr">
        <is>
          <t>ANCHOAS CANTABRICO RO-550 ETIQUETA ROJA</t>
        </is>
      </c>
      <c r="F12" s="5" t="inlineStr">
        <is>
          <t>SUBIDA PRECIO</t>
        </is>
      </c>
      <c r="G12" s="6" t="n">
        <v>18.96</v>
      </c>
      <c r="H12" s="6" t="n">
        <v>20.6</v>
      </c>
      <c r="I12" s="6">
        <f>IF(AND(ISNUMBER(G12),ISNUMBER(H12)),H12-G12,"")</f>
        <v/>
      </c>
      <c r="J12" s="7">
        <f>IF(AND(ISNUMBER(G12),ISNUMBER(H12)),(H12-G12)/G12,"")</f>
        <v/>
      </c>
      <c r="K12" s="5" t="inlineStr">
        <is>
          <t>Precio junio 18,96 €</t>
        </is>
      </c>
      <c r="L12" s="4" t="inlineStr">
        <is>
          <t>PENDIENTE</t>
        </is>
      </c>
    </row>
    <row r="13">
      <c r="B13" s="3" t="n">
        <v>46206</v>
      </c>
      <c r="C13" s="4" t="inlineStr">
        <is>
          <t>CARNICAS MEAT</t>
        </is>
      </c>
      <c r="D13" s="4" t="inlineStr">
        <is>
          <t>A1/188</t>
        </is>
      </c>
      <c r="E13" s="5" t="inlineStr">
        <is>
          <t>SOLOMILLO VACA</t>
        </is>
      </c>
      <c r="F13" s="5" t="inlineStr">
        <is>
          <t>PRECIO DISTINTO EN EL MES</t>
        </is>
      </c>
      <c r="G13" s="6" t="n">
        <v>35</v>
      </c>
      <c r="H13" s="6" t="n">
        <v>34.55</v>
      </c>
      <c r="I13" s="6">
        <f>IF(AND(ISNUMBER(G13),ISNUMBER(H13)),H13-G13,"")</f>
        <v/>
      </c>
      <c r="J13" s="7">
        <f>IF(AND(ISNUMBER(G13),ISNUMBER(H13)),(H13-G13)/G13,"")</f>
        <v/>
      </c>
      <c r="K13" s="5" t="inlineStr">
        <is>
          <t>A 35 €/kg el 03/07 y 16/07 (A1/188, A1/202); a 34,55 el 25/07 (A1/209) y en otro albarán de Adri. En A1/209 la línea pone 223,85 € y 6,48 kg x 34,55 = 223,88 € (3 cént.)</t>
        </is>
      </c>
      <c r="L13" s="4" t="inlineStr">
        <is>
          <t>PENDIENTE</t>
        </is>
      </c>
    </row>
    <row r="14">
      <c r="B14" s="3" t="n">
        <v>46204</v>
      </c>
      <c r="C14" s="4" t="inlineStr">
        <is>
          <t>I LOVE POTATO</t>
        </is>
      </c>
      <c r="D14" s="4" t="inlineStr">
        <is>
          <t>404</t>
        </is>
      </c>
      <c r="E14" s="5" t="inlineStr">
        <is>
          <t>SACO AGRIA NUEVA ALICANTE</t>
        </is>
      </c>
      <c r="F14" s="5" t="inlineStr">
        <is>
          <t>PRECIO DISTINTO EN EL MES</t>
        </is>
      </c>
      <c r="G14" s="6" t="n">
        <v>0.95</v>
      </c>
      <c r="H14" s="6" t="n">
        <v>0.88</v>
      </c>
      <c r="I14" s="6">
        <f>IF(AND(ISNUMBER(G14),ISNUMBER(H14)),H14-G14,"")</f>
        <v/>
      </c>
      <c r="J14" s="7">
        <f>IF(AND(ISNUMBER(G14),ISNUMBER(H14)),(H14-G14)/G14,"")</f>
        <v/>
      </c>
      <c r="K14" s="5" t="inlineStr">
        <is>
          <t>Julio: 0,95 (01/07), 0,89 (14-17/07) y 0,88 €/kg (desde 18/07)</t>
        </is>
      </c>
      <c r="L14" s="4" t="inlineStr">
        <is>
          <t>PENDIENTE</t>
        </is>
      </c>
    </row>
    <row r="15">
      <c r="B15" s="3" t="n">
        <v>46217</v>
      </c>
      <c r="C15" s="4" t="inlineStr">
        <is>
          <t>I LOVE POTATO</t>
        </is>
      </c>
      <c r="D15" s="4" t="inlineStr">
        <is>
          <t>499</t>
        </is>
      </c>
      <c r="E15" s="5" t="inlineStr">
        <is>
          <t>SACO MONALISA</t>
        </is>
      </c>
      <c r="F15" s="5" t="inlineStr">
        <is>
          <t>DATO DUDOSO</t>
        </is>
      </c>
      <c r="G15" s="6" t="n">
        <v>0.93</v>
      </c>
      <c r="H15" s="6" t="n">
        <v>0.83</v>
      </c>
      <c r="I15" s="6">
        <f>IF(AND(ISNUMBER(G15),ISNUMBER(H15)),H15-G15,"")</f>
        <v/>
      </c>
      <c r="J15" s="7">
        <f>IF(AND(ISNUMBER(G15),ISNUMBER(H15)),(H15-G15)/G15,"")</f>
        <v/>
      </c>
      <c r="K15" s="5" t="inlineStr">
        <is>
          <t>Pone "2 SACO MONALISA" pero solo 30 kg y a 0,83 €/kg (resto del mes 0,93 €/kg por saco de 25 kg)</t>
        </is>
      </c>
      <c r="L15" s="4" t="inlineStr">
        <is>
          <t>PENDIENTE</t>
        </is>
      </c>
    </row>
    <row r="16">
      <c r="B16" s="3" t="n">
        <v>46205</v>
      </c>
      <c r="C16" s="4" t="inlineStr">
        <is>
          <t>JOSE ROMERO PLAZA</t>
        </is>
      </c>
      <c r="D16" s="4" t="inlineStr">
        <is>
          <t>114</t>
        </is>
      </c>
      <c r="E16" s="5" t="inlineStr">
        <is>
          <t>BOQUERON GORDO</t>
        </is>
      </c>
      <c r="F16" s="5" t="inlineStr">
        <is>
          <t>PRECIO DISTINTO EN EL MES</t>
        </is>
      </c>
      <c r="G16" s="6" t="n">
        <v>9.5</v>
      </c>
      <c r="H16" s="6" t="n">
        <v>12</v>
      </c>
      <c r="I16" s="6">
        <f>IF(AND(ISNUMBER(G16),ISNUMBER(H16)),H16-G16,"")</f>
        <v/>
      </c>
      <c r="J16" s="7">
        <f>IF(AND(ISNUMBER(G16),ISNUMBER(H16)),(H16-G16)/G16,"")</f>
        <v/>
      </c>
      <c r="K16" s="5" t="inlineStr">
        <is>
          <t>En julio a 9,50 / 10 / 11 / 12 €/kg según albarán</t>
        </is>
      </c>
      <c r="L16" s="4" t="inlineStr">
        <is>
          <t>PENDIENTE</t>
        </is>
      </c>
    </row>
    <row r="17">
      <c r="B17" s="3" t="n">
        <v>46228</v>
      </c>
      <c r="C17" s="4" t="inlineStr">
        <is>
          <t>JOSE ROMERO PLAZA</t>
        </is>
      </c>
      <c r="D17" s="4" t="inlineStr">
        <is>
          <t>145</t>
        </is>
      </c>
      <c r="E17" s="5" t="inlineStr">
        <is>
          <t>PARROCHAS</t>
        </is>
      </c>
      <c r="F17" s="5" t="inlineStr">
        <is>
          <t>SUBIDA PRECIO</t>
        </is>
      </c>
      <c r="G17" s="6" t="n">
        <v>7</v>
      </c>
      <c r="H17" s="6" t="n">
        <v>7.8</v>
      </c>
      <c r="I17" s="6">
        <f>IF(AND(ISNUMBER(G17),ISNUMBER(H17)),H17-G17,"")</f>
        <v/>
      </c>
      <c r="J17" s="7">
        <f>IF(AND(ISNUMBER(G17),ISNUMBER(H17)),(H17-G17)/G17,"")</f>
        <v/>
      </c>
      <c r="K17" s="5" t="inlineStr">
        <is>
          <t>Sube de 7 a 7,80 €/kg desde el 25/07 (albs. 145, 146, 150)</t>
        </is>
      </c>
      <c r="L17" s="4" t="inlineStr">
        <is>
          <t>PENDIENTE</t>
        </is>
      </c>
    </row>
    <row r="18">
      <c r="B18" s="3" t="n">
        <v>46232</v>
      </c>
      <c r="C18" s="4" t="inlineStr">
        <is>
          <t>JOSE ROMERO PLAZA</t>
        </is>
      </c>
      <c r="D18" s="4" t="inlineStr">
        <is>
          <t>149</t>
        </is>
      </c>
      <c r="E18" s="5" t="inlineStr">
        <is>
          <t>BOQUERON GORDO</t>
        </is>
      </c>
      <c r="F18" s="5" t="inlineStr">
        <is>
          <t>POSIBLE ERROR DE PRECIO</t>
        </is>
      </c>
      <c r="G18" s="6" t="n">
        <v>11</v>
      </c>
      <c r="H18" s="6" t="n">
        <v>46.2</v>
      </c>
      <c r="I18" s="6">
        <f>IF(AND(ISNUMBER(G18),ISNUMBER(H18)),H18-G18,"")</f>
        <v/>
      </c>
      <c r="J18" s="7">
        <f>IF(AND(ISNUMBER(G18),ISNUMBER(H18)),(H18-G18)/G18,"")</f>
        <v/>
      </c>
      <c r="K18" s="5" t="inlineStr">
        <is>
          <t>Segunda línea: 1 kg de boquerón a 46,20 € (resto a 11 €). Total albarán 87,12 €. Pedir aclaración/abono</t>
        </is>
      </c>
      <c r="L18" s="4" t="inlineStr">
        <is>
          <t>PENDIENTE</t>
        </is>
      </c>
    </row>
    <row r="19">
      <c r="B19" s="3" t="n">
        <v>46223</v>
      </c>
      <c r="C19" s="4" t="inlineStr">
        <is>
          <t>JOSE PEÑA</t>
        </is>
      </c>
      <c r="D19" s="4" t="inlineStr">
        <is>
          <t>2026-260494</t>
        </is>
      </c>
      <c r="E19" s="5" t="inlineStr">
        <is>
          <t>VENTRESCA ATUN CLARO OLIVA RO1030</t>
        </is>
      </c>
      <c r="F19" s="5" t="inlineStr">
        <is>
          <t>SUBIDA PRECIO</t>
        </is>
      </c>
      <c r="G19" s="6" t="n">
        <v>23.99</v>
      </c>
      <c r="H19" s="6" t="n">
        <v>24.95</v>
      </c>
      <c r="I19" s="6">
        <f>IF(AND(ISNUMBER(G19),ISNUMBER(H19)),H19-G19,"")</f>
        <v/>
      </c>
      <c r="J19" s="7">
        <f>IF(AND(ISNUMBER(G19),ISNUMBER(H19)),(H19-G19)/G19,"")</f>
        <v/>
      </c>
      <c r="K19" s="5" t="inlineStr">
        <is>
          <t>Precio junio 23,99 € por lata</t>
        </is>
      </c>
      <c r="L19" s="4" t="inlineStr">
        <is>
          <t>PENDIENTE</t>
        </is>
      </c>
    </row>
    <row r="20">
      <c r="B20" s="3" t="n">
        <v>46225</v>
      </c>
      <c r="C20" s="4" t="inlineStr">
        <is>
          <t>DON BOCARTE</t>
        </is>
      </c>
      <c r="D20" s="4" t="inlineStr">
        <is>
          <t>5016</t>
        </is>
      </c>
      <c r="E20" s="5" t="inlineStr">
        <is>
          <t>DON BOCARTE MEDIO PULPO 360-400 gr</t>
        </is>
      </c>
      <c r="F20" s="5" t="inlineStr">
        <is>
          <t>BAJADA PRECIO</t>
        </is>
      </c>
      <c r="G20" s="6" t="n">
        <v>30.38</v>
      </c>
      <c r="H20" s="6" t="n">
        <v>27</v>
      </c>
      <c r="I20" s="6">
        <f>IF(AND(ISNUMBER(G20),ISNUMBER(H20)),H20-G20,"")</f>
        <v/>
      </c>
      <c r="J20" s="7">
        <f>IF(AND(ISNUMBER(G20),ISNUMBER(H20)),(H20-G20)/G20,"")</f>
        <v/>
      </c>
      <c r="K20" s="5" t="inlineStr">
        <is>
          <t>Junio 30,38 €; julio 27,00 € (albs. 4604 y 5016)</t>
        </is>
      </c>
      <c r="L20" s="4" t="inlineStr">
        <is>
          <t>PENDIENTE</t>
        </is>
      </c>
    </row>
    <row r="21">
      <c r="B21" s="3" t="n">
        <v>46204</v>
      </c>
      <c r="C21" s="4" t="inlineStr">
        <is>
          <t>MAGOASE</t>
        </is>
      </c>
      <c r="D21" s="4" t="inlineStr">
        <is>
          <t>16850</t>
        </is>
      </c>
      <c r="E21" s="5" t="inlineStr">
        <is>
          <t>BID. GIRASOL 25L / GUADALIMAR 5L</t>
        </is>
      </c>
      <c r="F21" s="5" t="inlineStr">
        <is>
          <t>DATO ILEGIBLE</t>
        </is>
      </c>
      <c r="G21" s="6" t="n"/>
      <c r="H21" s="6" t="n"/>
      <c r="I21" s="6">
        <f>IF(AND(ISNUMBER(G21),ISNUMBER(H21)),H21-G21,"")</f>
        <v/>
      </c>
      <c r="J21" s="7">
        <f>IF(AND(ISNUMBER(G21),ISNUMBER(H21)),(H21-G21)/G21,"")</f>
        <v/>
      </c>
      <c r="K21" s="5" t="inlineStr">
        <is>
          <t>Columna CAJAS no se lee en el escaneo; se ha puesto 1 caja por línea</t>
        </is>
      </c>
      <c r="L21" s="4" t="inlineStr">
        <is>
          <t>PENDIENTE</t>
        </is>
      </c>
    </row>
    <row r="22">
      <c r="B22" s="3" t="n"/>
      <c r="C22" s="4" t="inlineStr">
        <is>
          <t>MAGOASE</t>
        </is>
      </c>
      <c r="D22" s="4" t="inlineStr">
        <is>
          <t>17635</t>
        </is>
      </c>
      <c r="E22" s="5" t="inlineStr">
        <is>
          <t>GUADALIMAR / LATA LINGOTE (262,95 €)</t>
        </is>
      </c>
      <c r="F22" s="5" t="inlineStr">
        <is>
          <t>REVISAR IVA</t>
        </is>
      </c>
      <c r="G22" s="6" t="n"/>
      <c r="H22" s="6" t="n"/>
      <c r="I22" s="6">
        <f>IF(AND(ISNUMBER(G22),ISNUMBER(H22)),H22-G22,"")</f>
        <v/>
      </c>
      <c r="J22" s="7">
        <f>IF(AND(ISNUMBER(G22),ISNUMBER(H22)),(H22-G22)/G22,"")</f>
        <v/>
      </c>
      <c r="K22" s="5" t="inlineStr">
        <is>
          <t>En el Excel de Adri va al 10 %, pero un albarán con el mismo importe (18418, 262,95 €) es al 4 % (aceite de oliva). Comprobar</t>
        </is>
      </c>
      <c r="L22" s="4" t="inlineStr">
        <is>
          <t>PENDIENTE</t>
        </is>
      </c>
    </row>
    <row r="23">
      <c r="B23" s="3" t="n">
        <v>46205</v>
      </c>
      <c r="C23" s="4" t="inlineStr">
        <is>
          <t>AGROFOOD</t>
        </is>
      </c>
      <c r="D23" s="4" t="inlineStr">
        <is>
          <t>M26/776</t>
        </is>
      </c>
      <c r="E23" s="5" t="inlineStr">
        <is>
          <t>ENTRECOT MORUCHA / MEDALLÓN SOLOMILLO</t>
        </is>
      </c>
      <c r="F23" s="5" t="inlineStr">
        <is>
          <t>DATO DUDOSO</t>
        </is>
      </c>
      <c r="G23" s="6" t="n"/>
      <c r="H23" s="6" t="n"/>
      <c r="I23" s="6">
        <f>IF(AND(ISNUMBER(G23),ISNUMBER(H23)),H23-G23,"")</f>
        <v/>
      </c>
      <c r="J23" s="7">
        <f>IF(AND(ISNUMBER(G23),ISNUMBER(H23)),(H23-G23)/G23,"")</f>
        <v/>
      </c>
      <c r="K23" s="5" t="inlineStr">
        <is>
          <t>Los valores 2 y 1 pueden ser CAJAS o PIEZAS</t>
        </is>
      </c>
      <c r="L23" s="4" t="inlineStr">
        <is>
          <t>PENDIENTE</t>
        </is>
      </c>
    </row>
    <row r="24">
      <c r="B24" s="3" t="n"/>
      <c r="C24" s="4" t="inlineStr">
        <is>
          <t>CONS. Y SALAZ.</t>
        </is>
      </c>
      <c r="D24" s="4" t="inlineStr">
        <is>
          <t>26A00878</t>
        </is>
      </c>
      <c r="E24" s="5" t="inlineStr">
        <is>
          <t>VENTRESCA DE BONITO EXTRA</t>
        </is>
      </c>
      <c r="F24" s="5" t="inlineStr">
        <is>
          <t>REVISAR</t>
        </is>
      </c>
      <c r="G24" s="6" t="n"/>
      <c r="H24" s="6" t="n">
        <v>5.86</v>
      </c>
      <c r="I24" s="6">
        <f>IF(AND(ISNUMBER(G24),ISNUMBER(H24)),H24-G24,"")</f>
        <v/>
      </c>
      <c r="J24" s="7">
        <f>IF(AND(ISNUMBER(G24),ISNUMBER(H24)),(H24-G24)/G24,"")</f>
        <v/>
      </c>
      <c r="K24" s="5" t="inlineStr">
        <is>
          <t>Confirmado en alb. 26A00946: VENTRESCA BONITO EXTRA OL-120 ARROYABE a 5,86 €. Correcto</t>
        </is>
      </c>
      <c r="L24" s="4" t="inlineStr">
        <is>
          <t>SIN INCIDENCIA</t>
        </is>
      </c>
    </row>
    <row r="25">
      <c r="B25" s="3" t="n"/>
      <c r="C25" s="4" t="inlineStr">
        <is>
          <t>TOMATERIA CEA</t>
        </is>
      </c>
      <c r="D25" s="4" t="inlineStr">
        <is>
          <t>08, 09 y 11/07</t>
        </is>
      </c>
      <c r="E25" s="5" t="inlineStr">
        <is>
          <t>RAF IBERICO</t>
        </is>
      </c>
      <c r="F25" s="5" t="inlineStr">
        <is>
          <t>REVISAR IVA</t>
        </is>
      </c>
      <c r="G25" s="6" t="n"/>
      <c r="H25" s="6" t="n"/>
      <c r="I25" s="6">
        <f>IF(AND(ISNUMBER(G25),ISNUMBER(H25)),H25-G25,"")</f>
        <v/>
      </c>
      <c r="J25" s="7">
        <f>IF(AND(ISNUMBER(G25),ISNUMBER(H25)),(H25-G25)/G25,"")</f>
        <v/>
      </c>
      <c r="K25" s="5" t="inlineStr">
        <is>
          <t>Adri los tiene al 10 %; el tomate lleva IVA 4 % (así viene en alb. 931). Comprobar</t>
        </is>
      </c>
      <c r="L25" s="4" t="inlineStr">
        <is>
          <t>PENDIENTE</t>
        </is>
      </c>
    </row>
    <row r="26">
      <c r="B26" s="3" t="n">
        <v>46216</v>
      </c>
      <c r="C26" s="4" t="inlineStr">
        <is>
          <t>DON BOCARTE</t>
        </is>
      </c>
      <c r="D26" s="4" t="inlineStr">
        <is>
          <t>4604</t>
        </is>
      </c>
      <c r="E26" s="5" t="inlineStr">
        <is>
          <t>DON BOCARTE MEDIO PULPO 360-400 gr</t>
        </is>
      </c>
      <c r="F26" s="5" t="inlineStr">
        <is>
          <t>DATO ILEGIBLE</t>
        </is>
      </c>
      <c r="G26" s="6" t="n"/>
      <c r="H26" s="6" t="n">
        <v>27</v>
      </c>
      <c r="I26" s="6">
        <f>IF(AND(ISNUMBER(G26),ISNUMBER(H26)),H26-G26,"")</f>
        <v/>
      </c>
      <c r="J26" s="7">
        <f>IF(AND(ISNUMBER(G26),ISNUMBER(H26)),(H26-G26)/G26,"")</f>
        <v/>
      </c>
      <c r="K26" s="5" t="inlineStr">
        <is>
          <t>Copia muy borrosa: nº (4604/4664) y fecha (1?/07) dudosos. Importe 347,76 + IVA = 382,54 €</t>
        </is>
      </c>
      <c r="L26" s="4" t="inlineStr">
        <is>
          <t>PENDIENTE</t>
        </is>
      </c>
    </row>
    <row r="27">
      <c r="B27" s="3" t="n">
        <v>46225</v>
      </c>
      <c r="C27" s="4" t="inlineStr">
        <is>
          <t>DON BOCARTE</t>
        </is>
      </c>
      <c r="D27" s="4" t="inlineStr">
        <is>
          <t>4848</t>
        </is>
      </c>
      <c r="E27" s="5" t="inlineStr">
        <is>
          <t>DON BOCARTE MEDIO PULPO 360-400 gr</t>
        </is>
      </c>
      <c r="F27" s="5" t="inlineStr">
        <is>
          <t>OTRA EMPRESA - NO INCLUIDO</t>
        </is>
      </c>
      <c r="G27" s="6" t="n"/>
      <c r="H27" s="6" t="n">
        <v>27</v>
      </c>
      <c r="I27" s="6">
        <f>IF(AND(ISNUMBER(G27),ISNUMBER(H27)),H27-G27,"")</f>
        <v/>
      </c>
      <c r="J27" s="7">
        <f>IF(AND(ISNUMBER(G27),ISNUMBER(H27)),(H27-G27)/G27,"")</f>
        <v/>
      </c>
      <c r="K27" s="5" t="inlineStr">
        <is>
          <t>A nombre de ANGOMI PROYECTOS INMOBILIARIAS (NIF B85301034) aunque lleva sello de La Mina Chamartín 2. 6,67 uds, dto 10 %, total 178,29 €. No incluido: confirmar a quién corresponde</t>
        </is>
      </c>
      <c r="L27" s="4" t="inlineStr">
        <is>
          <t>PENDIENTE</t>
        </is>
      </c>
    </row>
    <row r="28">
      <c r="B28" s="3" t="n">
        <v>46232</v>
      </c>
      <c r="C28" s="4" t="inlineStr">
        <is>
          <t>LEIKAN MEAT</t>
        </is>
      </c>
      <c r="D28" s="4" t="inlineStr">
        <is>
          <t>009210</t>
        </is>
      </c>
      <c r="E28" s="5" t="inlineStr">
        <is>
          <t>TAPILLA VACA MADURADA</t>
        </is>
      </c>
      <c r="F28" s="5" t="inlineStr">
        <is>
          <t>OTRO LOCAL (VELÁZQUEZ) - NO INCLUIDO</t>
        </is>
      </c>
      <c r="G28" s="6" t="n"/>
      <c r="H28" s="6" t="n">
        <v>20.5</v>
      </c>
      <c r="I28" s="6">
        <f>IF(AND(ISNUMBER(G28),ISNUMBER(H28)),H28-G28,"")</f>
        <v/>
      </c>
      <c r="J28" s="7">
        <f>IF(AND(ISNUMBER(G28),ISNUMBER(H28)),(H28-G28)/G28,"")</f>
        <v/>
      </c>
      <c r="K28" s="5" t="inlineStr">
        <is>
          <t>Cliente LA MINA DE VELAZQUEZ (B26809988). Total 312,32 €</t>
        </is>
      </c>
      <c r="L28" s="4" t="inlineStr">
        <is>
          <t>PENDIENTE</t>
        </is>
      </c>
    </row>
    <row r="29">
      <c r="B29" s="3" t="n">
        <v>46230</v>
      </c>
      <c r="C29" s="4" t="inlineStr">
        <is>
          <t>LEIKAN MEAT</t>
        </is>
      </c>
      <c r="D29" s="4" t="inlineStr">
        <is>
          <t>009103</t>
        </is>
      </c>
      <c r="E29" s="5" t="inlineStr">
        <is>
          <t>MOLLEJAS / TAPILLA / FILETES / AGUJA AÑOJO</t>
        </is>
      </c>
      <c r="F29" s="5" t="inlineStr">
        <is>
          <t>OTRO LOCAL (VELÁZQUEZ) - NO INCLUIDO</t>
        </is>
      </c>
      <c r="G29" s="6" t="n"/>
      <c r="H29" s="6" t="n"/>
      <c r="I29" s="6">
        <f>IF(AND(ISNUMBER(G29),ISNUMBER(H29)),H29-G29,"")</f>
        <v/>
      </c>
      <c r="J29" s="7">
        <f>IF(AND(ISNUMBER(G29),ISNUMBER(H29)),(H29-G29)/G29,"")</f>
        <v/>
      </c>
      <c r="K29" s="5" t="inlineStr">
        <is>
          <t>Cliente LA MINA DE VELAZQUEZ. Base 576,85 €. Total 634,54 €</t>
        </is>
      </c>
      <c r="L29" s="4" t="inlineStr">
        <is>
          <t>PENDIENTE</t>
        </is>
      </c>
    </row>
    <row r="30">
      <c r="B30" s="3" t="n">
        <v>46234</v>
      </c>
      <c r="C30" s="4" t="inlineStr">
        <is>
          <t>LEIKAN MEAT</t>
        </is>
      </c>
      <c r="D30" s="4" t="inlineStr">
        <is>
          <t>009311</t>
        </is>
      </c>
      <c r="E30" s="5" t="inlineStr">
        <is>
          <t>CHULETA VACA MADURADA / FILETES AÑOJO</t>
        </is>
      </c>
      <c r="F30" s="5" t="inlineStr">
        <is>
          <t>OTRO LOCAL (VELÁZQUEZ) - NO INCLUIDO</t>
        </is>
      </c>
      <c r="G30" s="6" t="n"/>
      <c r="H30" s="6" t="n"/>
      <c r="I30" s="6">
        <f>IF(AND(ISNUMBER(G30),ISNUMBER(H30)),H30-G30,"")</f>
        <v/>
      </c>
      <c r="J30" s="7">
        <f>IF(AND(ISNUMBER(G30),ISNUMBER(H30)),(H30-G30)/G30,"")</f>
        <v/>
      </c>
      <c r="K30" s="5" t="inlineStr">
        <is>
          <t>Cliente LA MINA DE VELAZQUEZ. Base 207,73 €. Total 228,50 €</t>
        </is>
      </c>
      <c r="L30" s="4" t="inlineStr">
        <is>
          <t>PENDIENTE</t>
        </is>
      </c>
    </row>
    <row r="31">
      <c r="B31" s="3" t="n">
        <v>46230</v>
      </c>
      <c r="C31" s="4" t="inlineStr">
        <is>
          <t>MADOSA</t>
        </is>
      </c>
      <c r="D31" s="4" t="inlineStr">
        <is>
          <t>AC 367060</t>
        </is>
      </c>
      <c r="E31" s="5" t="inlineStr">
        <is>
          <t>FRUTA Y VERDURA</t>
        </is>
      </c>
      <c r="F31" s="5" t="inlineStr">
        <is>
          <t>OTRO LOCAL (VELÁZQUEZ) - NO INCLUIDO</t>
        </is>
      </c>
      <c r="G31" s="6" t="n"/>
      <c r="H31" s="6" t="n"/>
      <c r="I31" s="6">
        <f>IF(AND(ISNUMBER(G31),ISNUMBER(H31)),H31-G31,"")</f>
        <v/>
      </c>
      <c r="J31" s="7">
        <f>IF(AND(ISNUMBER(G31),ISNUMBER(H31)),(H31-G31)/G31,"")</f>
        <v/>
      </c>
      <c r="K31" s="5" t="inlineStr">
        <is>
          <t>Cliente LA MINA DE VELAZQUEZ. Total 73,62 €</t>
        </is>
      </c>
      <c r="L31" s="4" t="inlineStr">
        <is>
          <t>PENDIENTE</t>
        </is>
      </c>
    </row>
    <row r="32">
      <c r="B32" s="3" t="n">
        <v>46231</v>
      </c>
      <c r="C32" s="4" t="inlineStr">
        <is>
          <t>MADOSA</t>
        </is>
      </c>
      <c r="D32" s="4" t="inlineStr">
        <is>
          <t>AC 367178</t>
        </is>
      </c>
      <c r="E32" s="5" t="inlineStr">
        <is>
          <t>FRUTA Y VERDURA</t>
        </is>
      </c>
      <c r="F32" s="5" t="inlineStr">
        <is>
          <t>OTRO LOCAL (VELÁZQUEZ) - NO INCLUIDO</t>
        </is>
      </c>
      <c r="G32" s="6" t="n"/>
      <c r="H32" s="6" t="n"/>
      <c r="I32" s="6">
        <f>IF(AND(ISNUMBER(G32),ISNUMBER(H32)),H32-G32,"")</f>
        <v/>
      </c>
      <c r="J32" s="7">
        <f>IF(AND(ISNUMBER(G32),ISNUMBER(H32)),(H32-G32)/G32,"")</f>
        <v/>
      </c>
      <c r="K32" s="5" t="inlineStr">
        <is>
          <t>Cliente LA MINA DE VELAZQUEZ. Total 67,77 €</t>
        </is>
      </c>
      <c r="L32" s="4" t="inlineStr">
        <is>
          <t>PENDIENTE</t>
        </is>
      </c>
    </row>
    <row r="33">
      <c r="B33" s="3" t="n">
        <v>46232</v>
      </c>
      <c r="C33" s="4" t="inlineStr">
        <is>
          <t>MADOSA</t>
        </is>
      </c>
      <c r="D33" s="4" t="inlineStr">
        <is>
          <t>AC 367301</t>
        </is>
      </c>
      <c r="E33" s="5" t="inlineStr">
        <is>
          <t>FRUTA Y VERDURA</t>
        </is>
      </c>
      <c r="F33" s="5" t="inlineStr">
        <is>
          <t>OTRO LOCAL (VELÁZQUEZ) - NO INCLUIDO</t>
        </is>
      </c>
      <c r="G33" s="6" t="n"/>
      <c r="H33" s="6" t="n"/>
      <c r="I33" s="6">
        <f>IF(AND(ISNUMBER(G33),ISNUMBER(H33)),H33-G33,"")</f>
        <v/>
      </c>
      <c r="J33" s="7">
        <f>IF(AND(ISNUMBER(G33),ISNUMBER(H33)),(H33-G33)/G33,"")</f>
        <v/>
      </c>
      <c r="K33" s="5" t="inlineStr">
        <is>
          <t>Cliente LA MINA DE VELAZQUEZ. Total 38,77 €</t>
        </is>
      </c>
      <c r="L33" s="4" t="inlineStr">
        <is>
          <t>PENDIENTE</t>
        </is>
      </c>
    </row>
    <row r="34">
      <c r="B34" s="3" t="n">
        <v>46233</v>
      </c>
      <c r="C34" s="4" t="inlineStr">
        <is>
          <t>MADOSA</t>
        </is>
      </c>
      <c r="D34" s="4" t="inlineStr">
        <is>
          <t>AC 367439</t>
        </is>
      </c>
      <c r="E34" s="5" t="inlineStr">
        <is>
          <t>FRUTA Y VERDURA</t>
        </is>
      </c>
      <c r="F34" s="5" t="inlineStr">
        <is>
          <t>OTRO LOCAL (VELÁZQUEZ) - NO INCLUIDO</t>
        </is>
      </c>
      <c r="G34" s="6" t="n"/>
      <c r="H34" s="6" t="n"/>
      <c r="I34" s="6">
        <f>IF(AND(ISNUMBER(G34),ISNUMBER(H34)),H34-G34,"")</f>
        <v/>
      </c>
      <c r="J34" s="7">
        <f>IF(AND(ISNUMBER(G34),ISNUMBER(H34)),(H34-G34)/G34,"")</f>
        <v/>
      </c>
      <c r="K34" s="5" t="inlineStr">
        <is>
          <t>Cliente LA MINA DE VELAZQUEZ. Total 53,37 €</t>
        </is>
      </c>
      <c r="L34" s="4" t="inlineStr">
        <is>
          <t>PENDIENTE</t>
        </is>
      </c>
    </row>
    <row r="35">
      <c r="B35" s="3" t="n">
        <v>46234</v>
      </c>
      <c r="C35" s="4" t="inlineStr">
        <is>
          <t>MADOSA</t>
        </is>
      </c>
      <c r="D35" s="4" t="inlineStr">
        <is>
          <t>AC 367529</t>
        </is>
      </c>
      <c r="E35" s="5" t="inlineStr">
        <is>
          <t>FRUTA Y VERDURA</t>
        </is>
      </c>
      <c r="F35" s="5" t="inlineStr">
        <is>
          <t>OTRO LOCAL (VELÁZQUEZ) - NO INCLUIDO</t>
        </is>
      </c>
      <c r="G35" s="6" t="n"/>
      <c r="H35" s="6" t="n"/>
      <c r="I35" s="6">
        <f>IF(AND(ISNUMBER(G35),ISNUMBER(H35)),H35-G35,"")</f>
        <v/>
      </c>
      <c r="J35" s="7">
        <f>IF(AND(ISNUMBER(G35),ISNUMBER(H35)),(H35-G35)/G35,"")</f>
        <v/>
      </c>
      <c r="K35" s="5" t="inlineStr">
        <is>
          <t>Cliente LA MINA DE VELAZQUEZ. Total 57,29 €</t>
        </is>
      </c>
      <c r="L35" s="4" t="inlineStr">
        <is>
          <t>PENDIENTE</t>
        </is>
      </c>
    </row>
    <row r="36">
      <c r="B36" s="3" t="n">
        <v>46233</v>
      </c>
      <c r="C36" s="4" t="inlineStr">
        <is>
          <t>AGMASFOOD</t>
        </is>
      </c>
      <c r="D36" s="4" t="inlineStr">
        <is>
          <t>26 6663</t>
        </is>
      </c>
      <c r="E36" s="5" t="inlineStr">
        <is>
          <t>LOMO NEGRO SIN COLA LIMPIO</t>
        </is>
      </c>
      <c r="F36" s="5" t="inlineStr">
        <is>
          <t>OTRO LOCAL (VELÁZQUEZ) - NO INCLUIDO</t>
        </is>
      </c>
      <c r="G36" s="6" t="n"/>
      <c r="H36" s="6" t="n">
        <v>39.05</v>
      </c>
      <c r="I36" s="6">
        <f>IF(AND(ISNUMBER(G36),ISNUMBER(H36)),H36-G36,"")</f>
        <v/>
      </c>
      <c r="J36" s="7">
        <f>IF(AND(ISNUMBER(G36),ISNUMBER(H36)),(H36-G36)/G36,"")</f>
        <v/>
      </c>
      <c r="K36" s="5" t="inlineStr">
        <is>
          <t>Cliente LA MINA DE VELAZQUEZ. 9,40 kg. Total 403,78 €</t>
        </is>
      </c>
      <c r="L36" s="4" t="inlineStr">
        <is>
          <t>PENDIENTE</t>
        </is>
      </c>
    </row>
    <row r="37">
      <c r="B37" s="3" t="n">
        <v>46230</v>
      </c>
      <c r="C37" s="4" t="inlineStr">
        <is>
          <t>DON BOCARTE</t>
        </is>
      </c>
      <c r="D37" s="4" t="inlineStr">
        <is>
          <t>5017</t>
        </is>
      </c>
      <c r="E37" s="5" t="inlineStr">
        <is>
          <t>DON BOCARTE MEDIO PULPO 360-400 gr</t>
        </is>
      </c>
      <c r="F37" s="5" t="inlineStr">
        <is>
          <t>OTRO LOCAL (VELÁZQUEZ) - NO INCLUIDO</t>
        </is>
      </c>
      <c r="G37" s="6" t="n"/>
      <c r="H37" s="6" t="n">
        <v>27</v>
      </c>
      <c r="I37" s="6">
        <f>IF(AND(ISNUMBER(G37),ISNUMBER(H37)),H37-G37,"")</f>
        <v/>
      </c>
      <c r="J37" s="7">
        <f>IF(AND(ISNUMBER(G37),ISNUMBER(H37)),(H37-G37)/G37,"")</f>
        <v/>
      </c>
      <c r="K37" s="5" t="inlineStr">
        <is>
          <t>Cliente LA MINA DE VELAZQUEZ. 26,50 uds. Total 787,05 €</t>
        </is>
      </c>
      <c r="L37" s="4" t="inlineStr">
        <is>
          <t>PENDIENTE</t>
        </is>
      </c>
    </row>
    <row r="38">
      <c r="B38" s="3" t="n">
        <v>46231</v>
      </c>
      <c r="C38" s="4" t="inlineStr">
        <is>
          <t>MAGOASE</t>
        </is>
      </c>
      <c r="D38" s="4" t="inlineStr">
        <is>
          <t>19315</t>
        </is>
      </c>
      <c r="E38" s="5" t="inlineStr">
        <is>
          <t>BID. GIRASOL 25L / GUADALIMAR 5L</t>
        </is>
      </c>
      <c r="F38" s="5" t="inlineStr">
        <is>
          <t>OTRO LOCAL (VELÁZQUEZ) - NO INCLUIDO</t>
        </is>
      </c>
      <c r="G38" s="6" t="n"/>
      <c r="H38" s="6" t="n"/>
      <c r="I38" s="6">
        <f>IF(AND(ISNUMBER(G38),ISNUMBER(H38)),H38-G38,"")</f>
        <v/>
      </c>
      <c r="J38" s="7">
        <f>IF(AND(ISNUMBER(G38),ISNUMBER(H38)),(H38-G38)/G38,"")</f>
        <v/>
      </c>
      <c r="K38" s="5" t="inlineStr">
        <is>
          <t>Cliente LA MINA VELAZQUEZ S.L. Total 173,61 €</t>
        </is>
      </c>
      <c r="L38" s="4" t="inlineStr">
        <is>
          <t>PENDIENTE</t>
        </is>
      </c>
    </row>
    <row r="39">
      <c r="B39" s="3" t="n">
        <v>46226</v>
      </c>
      <c r="C39" s="4" t="inlineStr">
        <is>
          <t>JOSE PEÑA</t>
        </is>
      </c>
      <c r="D39" s="4" t="inlineStr">
        <is>
          <t>2026-260512</t>
        </is>
      </c>
      <c r="E39" s="5" t="inlineStr">
        <is>
          <t>VENTRESCA ATUN CLARO OLIVA RO1030</t>
        </is>
      </c>
      <c r="F39" s="5" t="inlineStr">
        <is>
          <t>OTRO LOCAL (VELÁZQUEZ) - NO INCLUIDO</t>
        </is>
      </c>
      <c r="G39" s="6" t="n"/>
      <c r="H39" s="6" t="n">
        <v>24.95</v>
      </c>
      <c r="I39" s="6">
        <f>IF(AND(ISNUMBER(G39),ISNUMBER(H39)),H39-G39,"")</f>
        <v/>
      </c>
      <c r="J39" s="7">
        <f>IF(AND(ISNUMBER(G39),ISNUMBER(H39)),(H39-G39)/G39,"")</f>
        <v/>
      </c>
      <c r="K39" s="5" t="inlineStr">
        <is>
          <t>Cliente LA MINA DE VELAZQUEZ. 30 latas. Total 823,35 €</t>
        </is>
      </c>
      <c r="L39" s="4" t="inlineStr">
        <is>
          <t>PENDIENTE</t>
        </is>
      </c>
    </row>
    <row r="40">
      <c r="B40" s="3" t="n">
        <v>46233</v>
      </c>
      <c r="C40" s="4" t="inlineStr">
        <is>
          <t>CRUSTAPESCA</t>
        </is>
      </c>
      <c r="D40" s="4" t="inlineStr">
        <is>
          <t>30075</t>
        </is>
      </c>
      <c r="E40" s="5" t="inlineStr">
        <is>
          <t>GAMBA FR M</t>
        </is>
      </c>
      <c r="F40" s="5" t="inlineStr">
        <is>
          <t>OTRO LOCAL (VELÁZQUEZ) - NO INCLUIDO</t>
        </is>
      </c>
      <c r="G40" s="6" t="n"/>
      <c r="H40" s="6" t="n">
        <v>26</v>
      </c>
      <c r="I40" s="6">
        <f>IF(AND(ISNUMBER(G40),ISNUMBER(H40)),H40-G40,"")</f>
        <v/>
      </c>
      <c r="J40" s="7">
        <f>IF(AND(ISNUMBER(G40),ISNUMBER(H40)),(H40-G40)/G40,"")</f>
        <v/>
      </c>
      <c r="K40" s="5" t="inlineStr">
        <is>
          <t>Cliente LA MINA VELAZQUEZ. Total 85,80 €. PDF separado en ALBARANES</t>
        </is>
      </c>
      <c r="L40" s="4" t="inlineStr">
        <is>
          <t>PENDIENTE</t>
        </is>
      </c>
    </row>
    <row r="41">
      <c r="B41" s="3" t="n">
        <v>46232</v>
      </c>
      <c r="C41" s="4" t="inlineStr">
        <is>
          <t>CRUSTAPESCA</t>
        </is>
      </c>
      <c r="D41" s="4" t="inlineStr">
        <is>
          <t>29072</t>
        </is>
      </c>
      <c r="E41" s="5" t="inlineStr">
        <is>
          <t>GAMBA FR M</t>
        </is>
      </c>
      <c r="F41" s="5" t="inlineStr">
        <is>
          <t>OTRO LOCAL (VELÁZQUEZ) - NO INCLUIDO</t>
        </is>
      </c>
      <c r="G41" s="6" t="n"/>
      <c r="H41" s="6" t="n">
        <v>26</v>
      </c>
      <c r="I41" s="6">
        <f>IF(AND(ISNUMBER(G41),ISNUMBER(H41)),H41-G41,"")</f>
        <v/>
      </c>
      <c r="J41" s="7">
        <f>IF(AND(ISNUMBER(G41),ISNUMBER(H41)),(H41-G41)/G41,"")</f>
        <v/>
      </c>
      <c r="K41" s="5" t="inlineStr">
        <is>
          <t>Cliente LA MINA VELAZQUEZ. Total 85,80 €. PDF separado en ALBARANES</t>
        </is>
      </c>
      <c r="L41" s="4" t="inlineStr">
        <is>
          <t>PENDIENTE</t>
        </is>
      </c>
    </row>
    <row r="42">
      <c r="B42" s="3" t="n">
        <v>46234</v>
      </c>
      <c r="C42" s="4" t="inlineStr">
        <is>
          <t>CRUSTAPESCA</t>
        </is>
      </c>
      <c r="D42" s="4" t="inlineStr">
        <is>
          <t>310711</t>
        </is>
      </c>
      <c r="E42" s="5" t="inlineStr">
        <is>
          <t>GAMBA FR M</t>
        </is>
      </c>
      <c r="F42" s="5" t="inlineStr">
        <is>
          <t>OTRO LOCAL (VELÁZQUEZ) - NO INCLUIDO</t>
        </is>
      </c>
      <c r="G42" s="6" t="n"/>
      <c r="H42" s="6" t="n">
        <v>0</v>
      </c>
      <c r="I42" s="6">
        <f>IF(AND(ISNUMBER(G42),ISNUMBER(H42)),H42-G42,"")</f>
        <v/>
      </c>
      <c r="J42" s="7">
        <f>IF(AND(ISNUMBER(G42),ISNUMBER(H42)),(H42-G42)/G42,"")</f>
        <v/>
      </c>
      <c r="K42" s="5" t="inlineStr">
        <is>
          <t>Cliente LA MINA VELAZQUEZ. 1 kg a precio 0 (total 0). PDF separado en ALBARANES</t>
        </is>
      </c>
      <c r="L42" s="4" t="inlineStr">
        <is>
          <t>PENDIENTE</t>
        </is>
      </c>
    </row>
    <row r="43">
      <c r="B43" s="3" t="n">
        <v>46232</v>
      </c>
      <c r="C43" s="4" t="inlineStr">
        <is>
          <t>PESCARUM</t>
        </is>
      </c>
      <c r="D43" s="4" t="inlineStr">
        <is>
          <t>29/07 (Velázquez)</t>
        </is>
      </c>
      <c r="E43" s="5" t="inlineStr">
        <is>
          <t>MARISCO</t>
        </is>
      </c>
      <c r="F43" s="5" t="inlineStr">
        <is>
          <t>OTRO LOCAL (VELÁZQUEZ) - NO INCLUIDO</t>
        </is>
      </c>
      <c r="G43" s="6" t="n"/>
      <c r="H43" s="6" t="n"/>
      <c r="I43" s="6">
        <f>IF(AND(ISNUMBER(G43),ISNUMBER(H43)),H43-G43,"")</f>
        <v/>
      </c>
      <c r="J43" s="7">
        <f>IF(AND(ISNUMBER(G43),ISNUMBER(H43)),(H43-G43)/G43,"")</f>
        <v/>
      </c>
      <c r="K43" s="5" t="inlineStr">
        <is>
          <t>Cliente MINA VELAZQUEZ. Total 182,32 €. PDF separado en ALBARANES</t>
        </is>
      </c>
      <c r="L43" s="4" t="inlineStr">
        <is>
          <t>PENDIENTE</t>
        </is>
      </c>
    </row>
    <row r="44">
      <c r="B44" s="3" t="n">
        <v>46233</v>
      </c>
      <c r="C44" s="4" t="inlineStr">
        <is>
          <t>PESCARUM</t>
        </is>
      </c>
      <c r="D44" s="4" t="inlineStr">
        <is>
          <t>30/07 (La Mina 3)</t>
        </is>
      </c>
      <c r="E44" s="5" t="inlineStr">
        <is>
          <t>CARABINERO / CALAMAR / ROSA / QUISQUILLA</t>
        </is>
      </c>
      <c r="F44" s="5" t="inlineStr">
        <is>
          <t>OTRO LOCAL (VELÁZQUEZ) - NO INCLUIDO</t>
        </is>
      </c>
      <c r="G44" s="6" t="n"/>
      <c r="H44" s="6" t="n"/>
      <c r="I44" s="6">
        <f>IF(AND(ISNUMBER(G44),ISNUMBER(H44)),H44-G44,"")</f>
        <v/>
      </c>
      <c r="J44" s="7">
        <f>IF(AND(ISNUMBER(G44),ISNUMBER(H44)),(H44-G44)/G44,"")</f>
        <v/>
      </c>
      <c r="K44" s="5" t="inlineStr">
        <is>
          <t>Cliente "LA MINA 3" (Velázquez). Total 437,91 €. PDF separado en ALBARANES</t>
        </is>
      </c>
      <c r="L44" s="4" t="inlineStr">
        <is>
          <t>PENDIENTE</t>
        </is>
      </c>
    </row>
    <row r="45">
      <c r="B45" s="3" t="n">
        <v>46234</v>
      </c>
      <c r="C45" s="4" t="inlineStr">
        <is>
          <t>PESCARUM</t>
        </is>
      </c>
      <c r="D45" s="4" t="inlineStr">
        <is>
          <t>31/07 (Velázquez)</t>
        </is>
      </c>
      <c r="E45" s="5" t="inlineStr">
        <is>
          <t>MARISCO</t>
        </is>
      </c>
      <c r="F45" s="5" t="inlineStr">
        <is>
          <t>OTRO LOCAL (VELÁZQUEZ) - NO INCLUIDO</t>
        </is>
      </c>
      <c r="G45" s="6" t="n"/>
      <c r="H45" s="6" t="n"/>
      <c r="I45" s="6">
        <f>IF(AND(ISNUMBER(G45),ISNUMBER(H45)),H45-G45,"")</f>
        <v/>
      </c>
      <c r="J45" s="7">
        <f>IF(AND(ISNUMBER(G45),ISNUMBER(H45)),(H45-G45)/G45,"")</f>
        <v/>
      </c>
      <c r="K45" s="5" t="inlineStr">
        <is>
          <t>Cliente MINA VELAZQUEZ. Total 601,28 €. PDF separado en ALBARANES</t>
        </is>
      </c>
      <c r="L45" s="4" t="inlineStr">
        <is>
          <t>PENDIENTE</t>
        </is>
      </c>
    </row>
    <row r="46">
      <c r="B46" s="3" t="n">
        <v>46232</v>
      </c>
      <c r="C46" s="4" t="inlineStr">
        <is>
          <t>DISOLTRIGO</t>
        </is>
      </c>
      <c r="D46" s="4" t="inlineStr">
        <is>
          <t>135361</t>
        </is>
      </c>
      <c r="E46" s="5" t="inlineStr">
        <is>
          <t>PERLE NOIRE / BOQUERÓN</t>
        </is>
      </c>
      <c r="F46" s="5" t="inlineStr">
        <is>
          <t>OTRO LOCAL (VELÁZQUEZ) - NO INCLUIDO</t>
        </is>
      </c>
      <c r="G46" s="6" t="n"/>
      <c r="H46" s="6" t="n"/>
      <c r="I46" s="6">
        <f>IF(AND(ISNUMBER(G46),ISNUMBER(H46)),H46-G46,"")</f>
        <v/>
      </c>
      <c r="J46" s="7">
        <f>IF(AND(ISNUMBER(G46),ISNUMBER(H46)),(H46-G46)/G46,"")</f>
        <v/>
      </c>
      <c r="K46" s="5" t="inlineStr">
        <is>
          <t>LA MINA DE VELAZQUEZ SL. Total 258,50 €. PDF separado en ALBARANES</t>
        </is>
      </c>
      <c r="L46" s="4" t="inlineStr">
        <is>
          <t>PENDIENTE</t>
        </is>
      </c>
    </row>
    <row r="47">
      <c r="B47" s="3" t="n">
        <v>46233</v>
      </c>
      <c r="C47" s="4" t="inlineStr">
        <is>
          <t>TOMATERIA CEA</t>
        </is>
      </c>
      <c r="D47" s="4" t="inlineStr">
        <is>
          <t>30/07 (Velázquez)</t>
        </is>
      </c>
      <c r="E47" s="5" t="inlineStr">
        <is>
          <t>RAF IBERICO</t>
        </is>
      </c>
      <c r="F47" s="5" t="inlineStr">
        <is>
          <t>OTRO LOCAL (VELÁZQUEZ) - NO INCLUIDO</t>
        </is>
      </c>
      <c r="G47" s="6" t="n"/>
      <c r="H47" s="6" t="n">
        <v>6</v>
      </c>
      <c r="I47" s="6">
        <f>IF(AND(ISNUMBER(G47),ISNUMBER(H47)),H47-G47,"")</f>
        <v/>
      </c>
      <c r="J47" s="7">
        <f>IF(AND(ISNUMBER(G47),ISNUMBER(H47)),(H47-G47)/G47,"")</f>
        <v/>
      </c>
      <c r="K47" s="5" t="inlineStr">
        <is>
          <t>Cliente LA MINA VELAZQUEZ. 6,56 kg, total 40,93 €. PDF separado en ALBARANES</t>
        </is>
      </c>
      <c r="L47" s="4" t="inlineStr">
        <is>
          <t>PENDIENTE</t>
        </is>
      </c>
    </row>
    <row r="48">
      <c r="B48" s="3" t="n">
        <v>46234</v>
      </c>
      <c r="C48" s="4" t="inlineStr">
        <is>
          <t>ENRIQUE CAMPS</t>
        </is>
      </c>
      <c r="D48" s="4" t="inlineStr">
        <is>
          <t>A26/2027</t>
        </is>
      </c>
      <c r="E48" s="5" t="inlineStr">
        <is>
          <t>TARTAS</t>
        </is>
      </c>
      <c r="F48" s="5" t="inlineStr">
        <is>
          <t>OTRO LOCAL (VELÁZQUEZ) - NO INCLUIDO</t>
        </is>
      </c>
      <c r="G48" s="6" t="n"/>
      <c r="H48" s="6" t="n"/>
      <c r="I48" s="6">
        <f>IF(AND(ISNUMBER(G48),ISNUMBER(H48)),H48-G48,"")</f>
        <v/>
      </c>
      <c r="J48" s="7">
        <f>IF(AND(ISNUMBER(G48),ISNUMBER(H48)),(H48-G48)/G48,"")</f>
        <v/>
      </c>
      <c r="K48" s="5" t="inlineStr">
        <is>
          <t>Mina (Velázquez). Total 79,20 €. PDF separado en ALBARANES</t>
        </is>
      </c>
      <c r="L48" s="4" t="inlineStr">
        <is>
          <t>PENDIENTE</t>
        </is>
      </c>
    </row>
    <row r="49">
      <c r="B49" s="3" t="n">
        <v>46234</v>
      </c>
      <c r="C49" s="4" t="inlineStr">
        <is>
          <t>CRNAS SERVAN</t>
        </is>
      </c>
      <c r="D49" s="4" t="inlineStr">
        <is>
          <t>A2607-0518</t>
        </is>
      </c>
      <c r="E49" s="5" t="inlineStr">
        <is>
          <t>PANCETA ADOBADA</t>
        </is>
      </c>
      <c r="F49" s="5" t="inlineStr">
        <is>
          <t>OTRO LOCAL (VELÁZQUEZ) - NO INCLUIDO</t>
        </is>
      </c>
      <c r="G49" s="6" t="n"/>
      <c r="H49" s="6" t="n">
        <v>8.800000000000001</v>
      </c>
      <c r="I49" s="6">
        <f>IF(AND(ISNUMBER(G49),ISNUMBER(H49)),H49-G49,"")</f>
        <v/>
      </c>
      <c r="J49" s="7">
        <f>IF(AND(ISNUMBER(G49),ISNUMBER(H49)),(H49-G49)/G49,"")</f>
        <v/>
      </c>
      <c r="K49" s="5" t="inlineStr">
        <is>
          <t>LA MINA VELAZQUEZ. Total 80,34 €. PDF separado en ALBARANES</t>
        </is>
      </c>
      <c r="L49" s="4" t="inlineStr">
        <is>
          <t>PENDIENTE</t>
        </is>
      </c>
    </row>
    <row r="50">
      <c r="B50" s="3" t="n">
        <v>46234</v>
      </c>
      <c r="C50" s="4" t="inlineStr">
        <is>
          <t>MARTIN CANEDA</t>
        </is>
      </c>
      <c r="D50" s="4" t="inlineStr">
        <is>
          <t>035592</t>
        </is>
      </c>
      <c r="E50" s="5" t="inlineStr">
        <is>
          <t>BERBERECHO</t>
        </is>
      </c>
      <c r="F50" s="5" t="inlineStr">
        <is>
          <t>OTRO LOCAL (VELÁZQUEZ) - NO INCLUIDO</t>
        </is>
      </c>
      <c r="G50" s="6" t="n"/>
      <c r="H50" s="6" t="n">
        <v>24</v>
      </c>
      <c r="I50" s="6">
        <f>IF(AND(ISNUMBER(G50),ISNUMBER(H50)),H50-G50,"")</f>
        <v/>
      </c>
      <c r="J50" s="7">
        <f>IF(AND(ISNUMBER(G50),ISNUMBER(H50)),(H50-G50)/G50,"")</f>
        <v/>
      </c>
      <c r="K50" s="5" t="inlineStr">
        <is>
          <t>LA MINA DE VELAZQUEZ. Fecha escrita 31/08/26 (¿error?). Total 52,80 €. PDF separado en ALBARANES</t>
        </is>
      </c>
      <c r="L50" s="4" t="inlineStr">
        <is>
          <t>PENDIENTE</t>
        </is>
      </c>
    </row>
    <row r="51">
      <c r="B51" s="3" t="n">
        <v>46233</v>
      </c>
      <c r="C51" s="4" t="inlineStr">
        <is>
          <t>MARTIN CANEDA</t>
        </is>
      </c>
      <c r="D51" s="4" t="inlineStr">
        <is>
          <t>035578</t>
        </is>
      </c>
      <c r="E51" s="5" t="inlineStr">
        <is>
          <t>CHOCHAS / MEJILLONES</t>
        </is>
      </c>
      <c r="F51" s="5" t="inlineStr">
        <is>
          <t>OTRO LOCAL (VELÁZQUEZ) - NO INCLUIDO</t>
        </is>
      </c>
      <c r="G51" s="6" t="n"/>
      <c r="H51" s="6" t="n"/>
      <c r="I51" s="6">
        <f>IF(AND(ISNUMBER(G51),ISNUMBER(H51)),H51-G51,"")</f>
        <v/>
      </c>
      <c r="J51" s="7">
        <f>IF(AND(ISNUMBER(G51),ISNUMBER(H51)),(H51-G51)/G51,"")</f>
        <v/>
      </c>
      <c r="K51" s="5" t="inlineStr">
        <is>
          <t>LA MINA DE VELAZQUEZ. Total 97,35 €. PDF separado en ALBARANES</t>
        </is>
      </c>
      <c r="L51" s="4" t="inlineStr">
        <is>
          <t>PENDIENTE</t>
        </is>
      </c>
    </row>
    <row r="52">
      <c r="B52" s="3" t="n">
        <v>46231</v>
      </c>
      <c r="C52" s="4" t="inlineStr">
        <is>
          <t>MARTIN CANEDA</t>
        </is>
      </c>
      <c r="D52" s="4" t="inlineStr">
        <is>
          <t>035561</t>
        </is>
      </c>
      <c r="E52" s="5" t="inlineStr">
        <is>
          <t>BERBERECHO / CHOCHAS / MEJILLONES</t>
        </is>
      </c>
      <c r="F52" s="5" t="inlineStr">
        <is>
          <t>OTRO LOCAL (VELÁZQUEZ) - NO INCLUIDO</t>
        </is>
      </c>
      <c r="G52" s="6" t="n"/>
      <c r="H52" s="6" t="n"/>
      <c r="I52" s="6">
        <f>IF(AND(ISNUMBER(G52),ISNUMBER(H52)),H52-G52,"")</f>
        <v/>
      </c>
      <c r="J52" s="7">
        <f>IF(AND(ISNUMBER(G52),ISNUMBER(H52)),(H52-G52)/G52,"")</f>
        <v/>
      </c>
      <c r="K52" s="5" t="inlineStr">
        <is>
          <t>LA MINA DE VELAZQUEZ. Total 340,45 €. PDF separado en ALBARANES</t>
        </is>
      </c>
      <c r="L52" s="4" t="inlineStr">
        <is>
          <t>PENDIENTE</t>
        </is>
      </c>
    </row>
    <row r="53">
      <c r="B53" s="3" t="n">
        <v>46230</v>
      </c>
      <c r="C53" s="4" t="inlineStr">
        <is>
          <t>MANUEL AMBRES</t>
        </is>
      </c>
      <c r="D53" s="4" t="inlineStr">
        <is>
          <t>Pedido 26/10600</t>
        </is>
      </c>
      <c r="E53" s="5" t="inlineStr">
        <is>
          <t>RACION J. BELLOTA / LOMO BELLOTA</t>
        </is>
      </c>
      <c r="F53" s="5" t="inlineStr">
        <is>
          <t>OTRO LOCAL (VELÁZQUEZ) - NO INCLUIDO</t>
        </is>
      </c>
      <c r="G53" s="6" t="n"/>
      <c r="H53" s="6" t="n">
        <v>13.9</v>
      </c>
      <c r="I53" s="6">
        <f>IF(AND(ISNUMBER(G53),ISNUMBER(H53)),H53-G53,"")</f>
        <v/>
      </c>
      <c r="J53" s="7">
        <f>IF(AND(ISNUMBER(G53),ISNUMBER(H53)),(H53-G53)/G53,"")</f>
        <v/>
      </c>
      <c r="K53" s="5" t="inlineStr">
        <is>
          <t>LA MINA DE VELAZQUEZ. Hoja de pedido sin importes. PDF separado en ALBARANES</t>
        </is>
      </c>
      <c r="L53" s="4" t="inlineStr">
        <is>
          <t>PENDIENTE</t>
        </is>
      </c>
    </row>
    <row r="54">
      <c r="B54" s="3" t="n">
        <v>46231</v>
      </c>
      <c r="C54" s="4" t="inlineStr">
        <is>
          <t>MONVA</t>
        </is>
      </c>
      <c r="D54" s="4" t="inlineStr">
        <is>
          <t>AL/5260628</t>
        </is>
      </c>
      <c r="E54" s="5" t="inlineStr">
        <is>
          <t>GARRAFA AOVE 10 L</t>
        </is>
      </c>
      <c r="F54" s="5" t="inlineStr">
        <is>
          <t>OTRO LOCAL (VELÁZQUEZ) - NO INCLUIDO</t>
        </is>
      </c>
      <c r="G54" s="6" t="n"/>
      <c r="H54" s="6" t="n">
        <v>57</v>
      </c>
      <c r="I54" s="6">
        <f>IF(AND(ISNUMBER(G54),ISNUMBER(H54)),H54-G54,"")</f>
        <v/>
      </c>
      <c r="J54" s="7">
        <f>IF(AND(ISNUMBER(G54),ISNUMBER(H54)),(H54-G54)/G54,"")</f>
        <v/>
      </c>
      <c r="K54" s="5" t="inlineStr">
        <is>
          <t>La Mina de Velázquez. Total 59,28 €. Va en la misma página que AL/5260627 (Chamartín, sí incluido). PDF separado en ALBARANES</t>
        </is>
      </c>
      <c r="L54" s="4" t="inlineStr">
        <is>
          <t>PENDIENTE</t>
        </is>
      </c>
    </row>
    <row r="55">
      <c r="B55" s="3" t="n"/>
      <c r="C55" s="4" t="inlineStr">
        <is>
          <t>CRUSTAPESCA</t>
        </is>
      </c>
      <c r="D55" s="4" t="inlineStr">
        <is>
          <t>S/N (02/05 o 02/06)</t>
        </is>
      </c>
      <c r="E55" s="5" t="inlineStr">
        <is>
          <t>COCAS / GAMBA M</t>
        </is>
      </c>
      <c r="F55" s="5" t="inlineStr">
        <is>
          <t>DATO DUDOSO</t>
        </is>
      </c>
      <c r="G55" s="6" t="n"/>
      <c r="H55" s="6" t="n"/>
      <c r="I55" s="6">
        <f>IF(AND(ISNUMBER(G55),ISNUMBER(H55)),H55-G55,"")</f>
        <v/>
      </c>
      <c r="J55" s="7">
        <f>IF(AND(ISNUMBER(G55),ISNUMBER(H55)),(H55-G55)/G55,"")</f>
        <v/>
      </c>
      <c r="K55" s="5" t="inlineStr">
        <is>
          <t>Fecha "02 mayo 2026" y a mano "ES 2 DE JUNIO": no es de julio. Total 223,50 €. NO INCLUIDO. PDF separado en ALBARANES</t>
        </is>
      </c>
      <c r="L55" s="4" t="inlineStr">
        <is>
          <t>PENDIENTE</t>
        </is>
      </c>
    </row>
    <row r="56">
      <c r="B56" s="3" t="n">
        <v>46225</v>
      </c>
      <c r="C56" s="4" t="inlineStr">
        <is>
          <t>PROVEEDOR DESCONOCIDO</t>
        </is>
      </c>
      <c r="D56" s="4" t="inlineStr">
        <is>
          <t>S/N</t>
        </is>
      </c>
      <c r="E56" s="5" t="inlineStr">
        <is>
          <t>MOLLEJAS</t>
        </is>
      </c>
      <c r="F56" s="5" t="inlineStr">
        <is>
          <t>DATO DUDOSO</t>
        </is>
      </c>
      <c r="G56" s="6" t="n"/>
      <c r="H56" s="6" t="n">
        <v>1.08</v>
      </c>
      <c r="I56" s="6">
        <f>IF(AND(ISNUMBER(G56),ISNUMBER(H56)),H56-G56,"")</f>
        <v/>
      </c>
      <c r="J56" s="7">
        <f>IF(AND(ISNUMBER(G56),ISNUMBER(H56)),(H56-G56)/G56,"")</f>
        <v/>
      </c>
      <c r="K56" s="5" t="inlineStr">
        <is>
          <t>Factura manuscrita para "Taberna La Mina" sin datos de proveedor ni nº: 75 x 1,08 = 81 € + 4 % = 84,24 €. NO INCLUIDA. PDF separado en ALBARANES</t>
        </is>
      </c>
      <c r="L56" s="4" t="inlineStr">
        <is>
          <t>PENDIENTE</t>
        </is>
      </c>
    </row>
    <row r="57">
      <c r="B57" s="3" t="n">
        <v>46228</v>
      </c>
      <c r="C57" s="4" t="inlineStr">
        <is>
          <t>TOMATERIA CEA</t>
        </is>
      </c>
      <c r="D57" s="4" t="inlineStr">
        <is>
          <t>25/07 (manuscrito)</t>
        </is>
      </c>
      <c r="E57" s="5" t="inlineStr">
        <is>
          <t>RAF IBERICO</t>
        </is>
      </c>
      <c r="F57" s="5" t="inlineStr">
        <is>
          <t>REVISAR</t>
        </is>
      </c>
      <c r="G57" s="6" t="n">
        <v>6</v>
      </c>
      <c r="H57" s="6" t="n">
        <v>6</v>
      </c>
      <c r="I57" s="6">
        <f>IF(AND(ISNUMBER(G57),ISNUMBER(H57)),H57-G57,"")</f>
        <v/>
      </c>
      <c r="J57" s="7">
        <f>IF(AND(ISNUMBER(G57),ISNUMBER(H57)),(H57-G57)/G57,"")</f>
        <v/>
      </c>
      <c r="K57" s="5" t="inlineStr">
        <is>
          <t>Posible DUPLICADO del alb. 931 del 25/07 (mismo kilo y precio, 37,44 €). NO INCLUIDO</t>
        </is>
      </c>
      <c r="L57" s="4" t="inlineStr">
        <is>
          <t>PENDIENTE</t>
        </is>
      </c>
    </row>
    <row r="58">
      <c r="B58" s="3" t="n">
        <v>46232</v>
      </c>
      <c r="C58" s="4" t="inlineStr">
        <is>
          <t>JOSE ROMERO PLAZA</t>
        </is>
      </c>
      <c r="D58" s="4" t="inlineStr">
        <is>
          <t>149</t>
        </is>
      </c>
      <c r="E58" s="5" t="inlineStr">
        <is>
          <t>BOQUERON GORDO</t>
        </is>
      </c>
      <c r="F58" s="5" t="inlineStr">
        <is>
          <t>POSIBLE ERROR DE PRECIO</t>
        </is>
      </c>
      <c r="G58" s="6" t="n">
        <v>11</v>
      </c>
      <c r="H58" s="6" t="n">
        <v>46.2</v>
      </c>
      <c r="I58" s="6">
        <f>IF(AND(ISNUMBER(G58),ISNUMBER(H58)),H58-G58,"")</f>
        <v/>
      </c>
      <c r="J58" s="7">
        <f>IF(AND(ISNUMBER(G58),ISNUMBER(H58)),(H58-G58)/G58,"")</f>
        <v/>
      </c>
      <c r="K58" s="5" t="inlineStr">
        <is>
          <t>(ya anotado) Pendiente de aclarar</t>
        </is>
      </c>
      <c r="L58" s="4" t="inlineStr">
        <is>
          <t>PENDIENTE</t>
        </is>
      </c>
    </row>
    <row r="59">
      <c r="B59" s="3" t="n">
        <v>46231</v>
      </c>
      <c r="C59" s="4" t="inlineStr">
        <is>
          <t>MARTIN CANEDA</t>
        </is>
      </c>
      <c r="D59" s="4" t="inlineStr">
        <is>
          <t>035558</t>
        </is>
      </c>
      <c r="E59" s="5" t="inlineStr">
        <is>
          <t>BERBERECHO G.</t>
        </is>
      </c>
      <c r="F59" s="5" t="inlineStr">
        <is>
          <t>BAJADA PRECIO</t>
        </is>
      </c>
      <c r="G59" s="6" t="n">
        <v>25</v>
      </c>
      <c r="H59" s="6" t="n">
        <v>24</v>
      </c>
      <c r="I59" s="6">
        <f>IF(AND(ISNUMBER(G59),ISNUMBER(H59)),H59-G59,"")</f>
        <v/>
      </c>
      <c r="J59" s="7">
        <f>IF(AND(ISNUMBER(G59),ISNUMBER(H59)),(H59-G59)/G59,"")</f>
        <v/>
      </c>
      <c r="K59" s="5" t="inlineStr">
        <is>
          <t>Baja de 25 a 24 € desde el 28/07 (albs. 035558, 035565, 035590)</t>
        </is>
      </c>
      <c r="L59" s="4" t="inlineStr">
        <is>
          <t>PENDIENTE</t>
        </is>
      </c>
    </row>
    <row r="60">
      <c r="B60" s="3" t="n">
        <v>46228</v>
      </c>
      <c r="C60" s="4" t="inlineStr">
        <is>
          <t>MARTIN CANEDA</t>
        </is>
      </c>
      <c r="D60" s="4" t="inlineStr">
        <is>
          <t>035186</t>
        </is>
      </c>
      <c r="E60" s="5" t="inlineStr">
        <is>
          <t>CHOCHAS GDA</t>
        </is>
      </c>
      <c r="F60" s="5" t="inlineStr">
        <is>
          <t>POSIBLE ERROR DE PRECIO</t>
        </is>
      </c>
      <c r="G60" s="6" t="n">
        <v>50</v>
      </c>
      <c r="H60" s="6" t="n">
        <v>0</v>
      </c>
      <c r="I60" s="6">
        <f>IF(AND(ISNUMBER(G60),ISNUMBER(H60)),H60-G60,"")</f>
        <v/>
      </c>
      <c r="J60" s="7">
        <f>IF(AND(ISNUMBER(G60),ISNUMBER(H60)),(H60-G60)/G60,"")</f>
        <v/>
      </c>
      <c r="K60" s="5" t="inlineStr">
        <is>
          <t>2 uds de chochas a precio 0 (total 93,23 €). Confirmar si es regalo o error</t>
        </is>
      </c>
      <c r="L60" s="4" t="inlineStr">
        <is>
          <t>PENDIENTE</t>
        </is>
      </c>
    </row>
    <row r="61">
      <c r="B61" s="3" t="n">
        <v>46206</v>
      </c>
      <c r="C61" s="4" t="inlineStr">
        <is>
          <t>MARTIN CANEDA</t>
        </is>
      </c>
      <c r="D61" s="4" t="inlineStr">
        <is>
          <t>27547</t>
        </is>
      </c>
      <c r="E61" s="5" t="inlineStr">
        <is>
          <t>CAMARÓN / CHOCHAS</t>
        </is>
      </c>
      <c r="F61" s="5" t="inlineStr">
        <is>
          <t>DATO ILEGIBLE</t>
        </is>
      </c>
      <c r="G61" s="6" t="n"/>
      <c r="H61" s="6" t="n"/>
      <c r="I61" s="6">
        <f>IF(AND(ISNUMBER(G61),ISNUMBER(H61)),H61-G61,"")</f>
        <v/>
      </c>
      <c r="J61" s="7">
        <f>IF(AND(ISNUMBER(G61),ISNUMBER(H61)),(H61-G61)/G61,"")</f>
        <v/>
      </c>
      <c r="K61" s="5" t="inlineStr">
        <is>
          <t>Albarán casi ilegible: se ha puesto 0,5 kg camarón a 98 € + 2 chochas a 50 € (149 €). Comprobar</t>
        </is>
      </c>
      <c r="L61" s="4" t="inlineStr">
        <is>
          <t>PENDIENTE</t>
        </is>
      </c>
    </row>
    <row r="62">
      <c r="B62" s="3" t="n">
        <v>46214</v>
      </c>
      <c r="C62" s="4" t="inlineStr">
        <is>
          <t>MARTIN CANEDA</t>
        </is>
      </c>
      <c r="D62" s="4" t="inlineStr">
        <is>
          <t>27662</t>
        </is>
      </c>
      <c r="E62" s="5" t="inlineStr">
        <is>
          <t>BERBERECHO / CHOCHAS</t>
        </is>
      </c>
      <c r="F62" s="5" t="inlineStr">
        <is>
          <t>DATO DUDOSO</t>
        </is>
      </c>
      <c r="G62" s="6" t="n"/>
      <c r="H62" s="6" t="n"/>
      <c r="I62" s="6">
        <f>IF(AND(ISNUMBER(G62),ISNUMBER(H62)),H62-G62,"")</f>
        <v/>
      </c>
      <c r="J62" s="7">
        <f>IF(AND(ISNUMBER(G62),ISNUMBER(H62)),(H62-G62)/G62,"")</f>
        <v/>
      </c>
      <c r="K62" s="5" t="inlineStr">
        <is>
          <t>Fecha poco legible (¿11/07?). Importe 250 € + IVA</t>
        </is>
      </c>
      <c r="L62" s="4" t="inlineStr">
        <is>
          <t>PENDIENTE</t>
        </is>
      </c>
    </row>
    <row r="63">
      <c r="B63" s="3" t="n">
        <v>46224</v>
      </c>
      <c r="C63" s="4" t="inlineStr">
        <is>
          <t>EL ESCRIBANO</t>
        </is>
      </c>
      <c r="D63" s="4" t="inlineStr">
        <is>
          <t>0465</t>
        </is>
      </c>
      <c r="E63" s="5" t="inlineStr">
        <is>
          <t>LOMO BELLOTA 100%</t>
        </is>
      </c>
      <c r="F63" s="5" t="inlineStr">
        <is>
          <t>SUBIDA PRECIO</t>
        </is>
      </c>
      <c r="G63" s="6" t="n">
        <v>48.6</v>
      </c>
      <c r="H63" s="6" t="n">
        <v>51</v>
      </c>
      <c r="I63" s="6">
        <f>IF(AND(ISNUMBER(G63),ISNUMBER(H63)),H63-G63,"")</f>
        <v/>
      </c>
      <c r="J63" s="7">
        <f>IF(AND(ISNUMBER(G63),ISNUMBER(H63)),(H63-G63)/G63,"")</f>
        <v/>
      </c>
      <c r="K63" s="5" t="inlineStr">
        <is>
          <t>Lomo a 51 €/kg (en hoja de Adri 48,60). Salchichón ibérico a 22 €/kg</t>
        </is>
      </c>
      <c r="L63" s="4" t="inlineStr">
        <is>
          <t>PENDIENTE</t>
        </is>
      </c>
    </row>
    <row r="64">
      <c r="B64" s="3" t="n">
        <v>46225</v>
      </c>
      <c r="C64" s="4" t="inlineStr">
        <is>
          <t>PESCARUM</t>
        </is>
      </c>
      <c r="D64" s="4" t="inlineStr">
        <is>
          <t>22/07</t>
        </is>
      </c>
      <c r="E64" s="5" t="inlineStr">
        <is>
          <t>PRODUCTO ILEGIBLE (2,2 kg x 13 €)</t>
        </is>
      </c>
      <c r="F64" s="5" t="inlineStr">
        <is>
          <t>DATO ILEGIBLE</t>
        </is>
      </c>
      <c r="G64" s="6" t="n"/>
      <c r="H64" s="6" t="n">
        <v>13</v>
      </c>
      <c r="I64" s="6">
        <f>IF(AND(ISNUMBER(G64),ISNUMBER(H64)),H64-G64,"")</f>
        <v/>
      </c>
      <c r="J64" s="7">
        <f>IF(AND(ISNUMBER(G64),ISNUMBER(H64)),(H64-G64)/G64,"")</f>
        <v/>
      </c>
      <c r="K64" s="5" t="inlineStr">
        <is>
          <t>Primera línea ilegible y total manuscrito ilegible. Base calculada 346,40 €</t>
        </is>
      </c>
      <c r="L64" s="4" t="inlineStr">
        <is>
          <t>PENDIENTE</t>
        </is>
      </c>
    </row>
    <row r="65">
      <c r="B65" s="3" t="n">
        <v>46234</v>
      </c>
      <c r="C65" s="4" t="inlineStr">
        <is>
          <t>PESCARUM</t>
        </is>
      </c>
      <c r="D65" s="4" t="inlineStr">
        <is>
          <t>31/07 (sin cabecera)</t>
        </is>
      </c>
      <c r="E65" s="5" t="inlineStr">
        <is>
          <t>CARABINERO / NAVAJA / CALAMARES</t>
        </is>
      </c>
      <c r="F65" s="5" t="inlineStr">
        <is>
          <t>DATO DUDOSO</t>
        </is>
      </c>
      <c r="G65" s="6" t="n"/>
      <c r="H65" s="6" t="n"/>
      <c r="I65" s="6">
        <f>IF(AND(ISNUMBER(G65),ISNUMBER(H65)),H65-G65,"")</f>
        <v/>
      </c>
      <c r="J65" s="7">
        <f>IF(AND(ISNUMBER(G65),ISNUMBER(H65)),(H65-G65)/G65,"")</f>
        <v/>
      </c>
      <c r="K65" s="5" t="inlineStr">
        <is>
          <t>Albarán sin sello de proveedor; por formato y precios se ha asignado a PESCARUM (301,45 € + IVA)</t>
        </is>
      </c>
      <c r="L65" s="4" t="inlineStr">
        <is>
          <t>PENDIENTE</t>
        </is>
      </c>
    </row>
    <row r="66">
      <c r="B66" s="3" t="n"/>
      <c r="C66" s="4" t="inlineStr">
        <is>
          <t>PESCARUM</t>
        </is>
      </c>
      <c r="D66" s="4" t="inlineStr">
        <is>
          <t>Todos</t>
        </is>
      </c>
      <c r="E66" s="5" t="inlineStr">
        <is>
          <t>—</t>
        </is>
      </c>
      <c r="F66" s="5" t="inlineStr">
        <is>
          <t>REVISAR</t>
        </is>
      </c>
      <c r="G66" s="6" t="n"/>
      <c r="H66" s="6" t="n"/>
      <c r="I66" s="6">
        <f>IF(AND(ISNUMBER(G66),ISNUMBER(H66)),H66-G66,"")</f>
        <v/>
      </c>
      <c r="J66" s="7">
        <f>IF(AND(ISNUMBER(G66),ISNUMBER(H66)),(H66-G66)/G66,"")</f>
        <v/>
      </c>
      <c r="K66" s="5" t="inlineStr">
        <is>
          <t>Los albaranes de Pescarum no tienen número; se identifican por fecha</t>
        </is>
      </c>
      <c r="L66" s="4" t="inlineStr">
        <is>
          <t>PENDIENTE</t>
        </is>
      </c>
    </row>
    <row r="67">
      <c r="B67" s="3" t="n">
        <v>46224</v>
      </c>
      <c r="C67" s="4" t="inlineStr">
        <is>
          <t>CRUSTAPESCA</t>
        </is>
      </c>
      <c r="D67" s="4" t="inlineStr">
        <is>
          <t>S/N 21/07</t>
        </is>
      </c>
      <c r="E67" s="5" t="inlineStr">
        <is>
          <t>GAMBA FR</t>
        </is>
      </c>
      <c r="F67" s="5" t="inlineStr">
        <is>
          <t>POSIBLE ERROR DE PRECIO</t>
        </is>
      </c>
      <c r="G67" s="6" t="n">
        <v>114.4</v>
      </c>
      <c r="H67" s="6" t="n">
        <v>114.04</v>
      </c>
      <c r="I67" s="6">
        <f>IF(AND(ISNUMBER(G67),ISNUMBER(H67)),H67-G67,"")</f>
        <v/>
      </c>
      <c r="J67" s="7">
        <f>IF(AND(ISNUMBER(G67),ISNUMBER(H67)),(H67-G67)/G67,"")</f>
        <v/>
      </c>
      <c r="K67" s="5" t="inlineStr">
        <is>
          <t>4 kg x 26 = 104 + IVA = 114,40 €, pero a mano pone 114,04 €</t>
        </is>
      </c>
      <c r="L67" s="4" t="inlineStr">
        <is>
          <t>PENDIENTE</t>
        </is>
      </c>
    </row>
    <row r="68">
      <c r="B68" s="3" t="n">
        <v>46206</v>
      </c>
      <c r="C68" s="4" t="inlineStr">
        <is>
          <t>FRUTERIA D'ALISTE</t>
        </is>
      </c>
      <c r="D68" s="4" t="inlineStr">
        <is>
          <t>S/N 03/07</t>
        </is>
      </c>
      <c r="E68" s="5" t="inlineStr">
        <is>
          <t>TOMATE / CEBOLLETAS / PATATAS</t>
        </is>
      </c>
      <c r="F68" s="5" t="inlineStr">
        <is>
          <t>DATO ILEGIBLE</t>
        </is>
      </c>
      <c r="G68" s="6" t="n"/>
      <c r="H68" s="6" t="n"/>
      <c r="I68" s="6">
        <f>IF(AND(ISNUMBER(G68),ISNUMBER(H68)),H68-G68,"")</f>
        <v/>
      </c>
      <c r="J68" s="7">
        <f>IF(AND(ISNUMBER(G68),ISNUMBER(H68)),(H68-G68)/G68,"")</f>
        <v/>
      </c>
      <c r="K68" s="5" t="inlineStr">
        <is>
          <t>Manuscrito sin nº y poco legible. Base 67,79 € al 4 %</t>
        </is>
      </c>
      <c r="L68" s="4" t="inlineStr">
        <is>
          <t>PENDIENTE</t>
        </is>
      </c>
    </row>
    <row r="69">
      <c r="B69" s="3" t="n"/>
      <c r="C69" s="4" t="inlineStr">
        <is>
          <t>PEÑALASTALLAS</t>
        </is>
      </c>
      <c r="D69" s="4" t="inlineStr">
        <is>
          <t>—</t>
        </is>
      </c>
      <c r="E69" s="5" t="inlineStr">
        <is>
          <t>—</t>
        </is>
      </c>
      <c r="F69" s="5" t="inlineStr">
        <is>
          <t>REVISAR</t>
        </is>
      </c>
      <c r="G69" s="6" t="n"/>
      <c r="H69" s="6" t="n">
        <v>67.29000000000001</v>
      </c>
      <c r="I69" s="6">
        <f>IF(AND(ISNUMBER(G69),ISNUMBER(H69)),H69-G69,"")</f>
        <v/>
      </c>
      <c r="J69" s="7">
        <f>IF(AND(ISNUMBER(G69),ISNUMBER(H69)),(H69-G69)/G69,"")</f>
        <v/>
      </c>
      <c r="K69" s="5" t="inlineStr">
        <is>
          <t>En la hoja de Adri hay un importe de 67,29 € sin nº de albarán que no está en TOTAL JULIO. Comprobar</t>
        </is>
      </c>
      <c r="L69" s="4" t="inlineStr">
        <is>
          <t>PENDIENTE</t>
        </is>
      </c>
    </row>
    <row r="70">
      <c r="B70" s="3" t="n">
        <v>46219</v>
      </c>
      <c r="C70" s="4" t="inlineStr">
        <is>
          <t>MANUEL AMBRES</t>
        </is>
      </c>
      <c r="D70" s="4" t="inlineStr">
        <is>
          <t>26/10768</t>
        </is>
      </c>
      <c r="E70" s="5" t="inlineStr">
        <is>
          <t>RACION J. BELLOTA 100% 100G</t>
        </is>
      </c>
      <c r="F70" s="5" t="inlineStr">
        <is>
          <t>REVISAR</t>
        </is>
      </c>
      <c r="G70" s="6" t="n">
        <v>13.9</v>
      </c>
      <c r="H70" s="6" t="n">
        <v>13.9</v>
      </c>
      <c r="I70" s="6">
        <f>IF(AND(ISNUMBER(G70),ISNUMBER(H70)),H70-G70,"")</f>
        <v/>
      </c>
      <c r="J70" s="7">
        <f>IF(AND(ISNUMBER(G70),ISNUMBER(H70)),(H70-G70)/G70,"")</f>
        <v/>
      </c>
      <c r="K70" s="5" t="inlineStr">
        <is>
          <t>Nuevo albarán (no estaba en Excel de Adri). Total 305,80 €</t>
        </is>
      </c>
      <c r="L70" s="4" t="inlineStr">
        <is>
          <t>SIN INCIDENCIA</t>
        </is>
      </c>
    </row>
    <row r="71">
      <c r="B71" s="3" t="n">
        <v>46234</v>
      </c>
      <c r="C71" s="4" t="inlineStr">
        <is>
          <t>MONVA</t>
        </is>
      </c>
      <c r="D71" s="4" t="inlineStr">
        <is>
          <t>AL/5260619, 5260649, 5260627</t>
        </is>
      </c>
      <c r="E71" s="5" t="inlineStr">
        <is>
          <t>GARRAFA AOVE MONTABES 10 L</t>
        </is>
      </c>
      <c r="F71" s="5" t="inlineStr">
        <is>
          <t>REVISAR</t>
        </is>
      </c>
      <c r="G71" s="6" t="n"/>
      <c r="H71" s="6" t="n">
        <v>57</v>
      </c>
      <c r="I71" s="6">
        <f>IF(AND(ISNUMBER(G71),ISNUMBER(H71)),H71-G71,"")</f>
        <v/>
      </c>
      <c r="J71" s="7">
        <f>IF(AND(ISNUMBER(G71),ISNUMBER(H71)),(H71-G71)/G71,"")</f>
        <v/>
      </c>
      <c r="K71" s="5" t="inlineStr">
        <is>
          <t>Proveedor nuevo (hoja MONVA). 57 € + 4 % cada garrafa</t>
        </is>
      </c>
      <c r="L71" s="4" t="inlineStr">
        <is>
          <t>SIN INCIDENCIA</t>
        </is>
      </c>
    </row>
  </sheetData>
  <autoFilter ref="B4:L71"/>
  <mergeCells count="1">
    <mergeCell ref="B2:L2"/>
  </mergeCells>
  <conditionalFormatting sqref="B5:L132">
    <cfRule type="expression" priority="1" dxfId="0">
      <formula>OR($L5="RESUELTO",$L5="SIN INCIDENCIA")</formula>
    </cfRule>
    <cfRule type="expression" priority="2" dxfId="1">
      <formula>$L5="RECLAMADO"</formula>
    </cfRule>
  </conditionalFormatting>
  <conditionalFormatting sqref="F5:F132">
    <cfRule type="expression" priority="3" dxfId="2">
      <formula>OR($F5="SUBIDA PRECIO",$F5="POSIBLE ERROR DE PRECIO")</formula>
    </cfRule>
    <cfRule type="expression" priority="4" dxfId="3">
      <formula>ISNUMBER(SEARCH("NO INCLUIDO",$F5))</formula>
    </cfRule>
  </conditionalFormatting>
  <dataValidations count="1">
    <dataValidation sqref="L5:L132" showDropDown="0" showInputMessage="0" showErrorMessage="0" allowBlank="1" type="list">
      <formula1>"PENDIENTE,RECLAMADO,RESUELTO,SIN INCIDENCIA"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2026-09-16T12:03:57Z</dcterms:created>
  <dcterms:modified xmlns:dcterms="http://purl.org/dc/terms/" xmlns:xsi="http://www.w3.org/2001/XMLSchema-instance" xsi:type="dcterms:W3CDTF">2026-09-16T12:03:57Z</dcterms:modified>
</cp:coreProperties>
</file>
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200" tabRatio="600" firstSheet="19" activeTab="22" autoFilterDateGrouping="1"/>
  </bookViews>
  <sheets>
    <sheet xmlns:r="http://schemas.openxmlformats.org/officeDocument/2006/relationships" name="TOTAL AGOSTO" sheetId="1" state="visible" r:id="rId1"/>
    <sheet xmlns:r="http://schemas.openxmlformats.org/officeDocument/2006/relationships" name="CRNAS SERVAN" sheetId="2" state="visible" r:id="rId2"/>
    <sheet xmlns:r="http://schemas.openxmlformats.org/officeDocument/2006/relationships" name="Hoja26" sheetId="3" state="visible" r:id="rId3"/>
    <sheet xmlns:r="http://schemas.openxmlformats.org/officeDocument/2006/relationships" name="AGROFOOD" sheetId="4" state="visible" r:id="rId4"/>
    <sheet xmlns:r="http://schemas.openxmlformats.org/officeDocument/2006/relationships" name="MAGOASE" sheetId="5" state="visible" r:id="rId5"/>
    <sheet xmlns:r="http://schemas.openxmlformats.org/officeDocument/2006/relationships" name="CONS. Y SALAZ." sheetId="6" state="visible" r:id="rId6"/>
    <sheet xmlns:r="http://schemas.openxmlformats.org/officeDocument/2006/relationships" name="MANUEL AMBRES" sheetId="7" state="visible" r:id="rId7"/>
    <sheet xmlns:r="http://schemas.openxmlformats.org/officeDocument/2006/relationships" name="JOSE ROMERO PLAZA" sheetId="8" state="visible" r:id="rId8"/>
    <sheet xmlns:r="http://schemas.openxmlformats.org/officeDocument/2006/relationships" name="DELIPAN" sheetId="9" state="visible" r:id="rId9"/>
    <sheet xmlns:r="http://schemas.openxmlformats.org/officeDocument/2006/relationships" name="I LOVE POTATO" sheetId="10" state="visible" r:id="rId10"/>
    <sheet xmlns:r="http://schemas.openxmlformats.org/officeDocument/2006/relationships" name="CARNICAS MEAT" sheetId="11" state="visible" r:id="rId11"/>
    <sheet xmlns:r="http://schemas.openxmlformats.org/officeDocument/2006/relationships" name="EL ESCRIBANO" sheetId="12" state="visible" r:id="rId12"/>
    <sheet xmlns:r="http://schemas.openxmlformats.org/officeDocument/2006/relationships" name="LA TOMATERIA CEA" sheetId="13" state="visible" r:id="rId13"/>
    <sheet xmlns:r="http://schemas.openxmlformats.org/officeDocument/2006/relationships" name="AGMASFOOD" sheetId="14" state="visible" r:id="rId14"/>
    <sheet xmlns:r="http://schemas.openxmlformats.org/officeDocument/2006/relationships" name="PESCADERIA PALACIO" sheetId="15" state="visible" r:id="rId15"/>
    <sheet xmlns:r="http://schemas.openxmlformats.org/officeDocument/2006/relationships" name="CRUSTAPESCA" sheetId="16" state="visible" r:id="rId16"/>
    <sheet xmlns:r="http://schemas.openxmlformats.org/officeDocument/2006/relationships" name="DISOLTRIGO" sheetId="17" state="visible" r:id="rId17"/>
    <sheet xmlns:r="http://schemas.openxmlformats.org/officeDocument/2006/relationships" name="ENRIQUE CAMPS" sheetId="18" state="visible" r:id="rId18"/>
    <sheet xmlns:r="http://schemas.openxmlformats.org/officeDocument/2006/relationships" name="PESCARUM" sheetId="19" state="visible" r:id="rId19"/>
    <sheet xmlns:r="http://schemas.openxmlformats.org/officeDocument/2006/relationships" name="PEÑALASTALLAS" sheetId="20" state="visible" r:id="rId20"/>
    <sheet xmlns:r="http://schemas.openxmlformats.org/officeDocument/2006/relationships" name="FRUTERIA D'ALISTE" sheetId="21" state="visible" r:id="rId21"/>
    <sheet xmlns:r="http://schemas.openxmlformats.org/officeDocument/2006/relationships" name="CALIDOSCOPI" sheetId="22" state="visible" r:id="rId22"/>
    <sheet xmlns:r="http://schemas.openxmlformats.org/officeDocument/2006/relationships" name="CARNICAS OPC" sheetId="23" state="visible" r:id="rId23"/>
    <sheet xmlns:r="http://schemas.openxmlformats.org/officeDocument/2006/relationships" name="COCA-COLA" sheetId="24" state="visible" r:id="rId24"/>
    <sheet xmlns:r="http://schemas.openxmlformats.org/officeDocument/2006/relationships" name="MARTIN CANEDA" sheetId="25" state="visible" r:id="rId25"/>
    <sheet xmlns:r="http://schemas.openxmlformats.org/officeDocument/2006/relationships" name="DIST. TENA MTNEZ" sheetId="26" state="visible" r:id="rId26"/>
    <sheet xmlns:r="http://schemas.openxmlformats.org/officeDocument/2006/relationships" name="EIF DISTRUBICIONES" sheetId="27" state="visible" r:id="rId27"/>
    <sheet xmlns:r="http://schemas.openxmlformats.org/officeDocument/2006/relationships" name="MUNDELA" sheetId="28" state="visible" r:id="rId28"/>
    <sheet xmlns:r="http://schemas.openxmlformats.org/officeDocument/2006/relationships" name="SUBMARINER" sheetId="29" state="visible" r:id="rId29"/>
    <sheet xmlns:r="http://schemas.openxmlformats.org/officeDocument/2006/relationships" name="VINS DES DIEUX" sheetId="30" state="visible" r:id="rId30"/>
    <sheet xmlns:r="http://schemas.openxmlformats.org/officeDocument/2006/relationships" name="VOLDIS" sheetId="31" state="visible" r:id="rId31"/>
    <sheet xmlns:r="http://schemas.openxmlformats.org/officeDocument/2006/relationships" name="MAKRO" sheetId="32" state="visible" r:id="rId32"/>
    <sheet xmlns:r="http://schemas.openxmlformats.org/officeDocument/2006/relationships" name="ANTONIO DE MIGUEL" sheetId="33" state="visible" r:id="rId33"/>
    <sheet xmlns:r="http://schemas.openxmlformats.org/officeDocument/2006/relationships" name="FCO JAVIER LABRADOR" sheetId="34" state="visible" r:id="rId34"/>
    <sheet xmlns:r="http://schemas.openxmlformats.org/officeDocument/2006/relationships" name="DON BOCARTE" sheetId="35" state="visible" r:id="rId35"/>
    <sheet xmlns:r="http://schemas.openxmlformats.org/officeDocument/2006/relationships" name="JOSE PEÑA" sheetId="36" state="visible" r:id="rId36"/>
    <sheet xmlns:r="http://schemas.openxmlformats.org/officeDocument/2006/relationships" name="ROMERO ALVAREZ" sheetId="37" state="visible" r:id="rId37"/>
    <sheet xmlns:r="http://schemas.openxmlformats.org/officeDocument/2006/relationships" name="VENERO CLARO" sheetId="38" state="visible" r:id="rId38"/>
    <sheet xmlns:r="http://schemas.openxmlformats.org/officeDocument/2006/relationships" name="MONVA" sheetId="39" state="visible" r:id="rId39"/>
    <sheet xmlns:r="http://schemas.openxmlformats.org/officeDocument/2006/relationships" name="JC MACKINTOSH" sheetId="40" state="visible" r:id="rId40"/>
  </sheets>
  <definedNames>
    <definedName name="_xlnm._FilterDatabase" localSheetId="0" hidden="1">'TOTAL AGOSTO'!$B$3:$G$3</definedName>
    <definedName name="_xlnm._FilterDatabase" localSheetId="18" hidden="1">'PESCARUM'!$B$6:$F$6</definedName>
    <definedName name="_xlnm._FilterDatabase" localSheetId="23" hidden="1">'COCA-COLA'!$B$6:$F$6</definedName>
    <definedName name="_xlnm._FilterDatabase" localSheetId="25" hidden="1">'DIST. TENA MTNEZ'!$B$6:$G$6</definedName>
    <definedName name="_xlnm._FilterDatabase" localSheetId="27" hidden="1">'MUNDELA'!$B$6:$G$6</definedName>
    <definedName name="_xlnm._FilterDatabase" localSheetId="28" hidden="1">'SUBMARINER'!$B$6:$F$6</definedName>
    <definedName name="_xlnm._FilterDatabase" localSheetId="30" hidden="1">'VOLDIS'!$B$6:$F$6</definedName>
  </definedNames>
  <calcPr calcId="191028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yyyy-mm-dd h:mm:ss"/>
    <numFmt numFmtId="166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36"/>
      <u val="single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64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2">
      <alignment horizontal="center"/>
    </xf>
    <xf numFmtId="164" fontId="0" fillId="0" borderId="0" applyAlignment="1" pivotButton="0" quotePrefix="0" xfId="1">
      <alignment horizontal="center"/>
    </xf>
    <xf numFmtId="164" fontId="2" fillId="2" borderId="0" pivotButton="0" quotePrefix="0" xfId="1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2">
      <alignment horizontal="center" vertical="center"/>
    </xf>
    <xf numFmtId="0" fontId="0" fillId="0" borderId="9" pivotButton="0" quotePrefix="0" xfId="0"/>
    <xf numFmtId="0" fontId="0" fillId="3" borderId="0" pivotButton="0" quotePrefix="0" xfId="0"/>
    <xf numFmtId="164" fontId="0" fillId="3" borderId="0" pivotButton="0" quotePrefix="0" xfId="1"/>
    <xf numFmtId="9" fontId="0" fillId="3" borderId="0" pivotButton="0" quotePrefix="0" xfId="2"/>
    <xf numFmtId="164" fontId="4" fillId="4" borderId="0" pivotButton="0" quotePrefix="0" xfId="2"/>
    <xf numFmtId="164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0" pivotButton="0" quotePrefix="0" xfId="0"/>
    <xf numFmtId="164" fontId="0" fillId="5" borderId="0" pivotButton="0" quotePrefix="0" xfId="1"/>
    <xf numFmtId="9" fontId="0" fillId="5" borderId="0" pivotButton="0" quotePrefix="0" xfId="2"/>
    <xf numFmtId="14" fontId="0" fillId="5" borderId="0" pivotButton="0" quotePrefix="0" xfId="0"/>
    <xf numFmtId="14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2" fillId="2" borderId="0" applyAlignment="1" pivotButton="0" quotePrefix="0" xfId="1">
      <alignment horizontal="center"/>
    </xf>
    <xf numFmtId="164" fontId="4" fillId="4" borderId="0" applyAlignment="1" pivotButton="0" quotePrefix="0" xfId="2">
      <alignment horizontal="center"/>
    </xf>
    <xf numFmtId="0" fontId="5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1">
      <alignment horizontal="center"/>
    </xf>
    <xf numFmtId="9" fontId="0" fillId="5" borderId="0" applyAlignment="1" pivotButton="0" quotePrefix="0" xfId="2">
      <alignment horizontal="center"/>
    </xf>
    <xf numFmtId="17" fontId="3" fillId="0" borderId="1" applyAlignment="1" pivotButton="0" quotePrefix="0" xfId="0">
      <alignment horizontal="center" vertical="center"/>
    </xf>
    <xf numFmtId="17" fontId="3" fillId="0" borderId="2" applyAlignment="1" pivotButton="0" quotePrefix="0" xfId="0">
      <alignment horizontal="center" vertical="center"/>
    </xf>
    <xf numFmtId="17" fontId="3" fillId="0" borderId="3" applyAlignment="1" pivotButton="0" quotePrefix="0" xfId="0">
      <alignment horizontal="center" vertical="center"/>
    </xf>
    <xf numFmtId="17" fontId="3" fillId="0" borderId="4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3" fillId="0" borderId="5" applyAlignment="1" pivotButton="0" quotePrefix="0" xfId="0">
      <alignment horizontal="center" vertical="center"/>
    </xf>
    <xf numFmtId="17" fontId="3" fillId="0" borderId="6" applyAlignment="1" pivotButton="0" quotePrefix="0" xfId="0">
      <alignment horizontal="center" vertical="center"/>
    </xf>
    <xf numFmtId="17" fontId="3" fillId="0" borderId="7" applyAlignment="1" pivotButton="0" quotePrefix="0" xfId="0">
      <alignment horizontal="center" vertical="center"/>
    </xf>
    <xf numFmtId="17" fontId="3" fillId="0" borderId="8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17" fontId="3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0" pivotButton="0" quotePrefix="0" xfId="0"/>
    <xf numFmtId="164" fontId="2" fillId="2" borderId="0" pivotButton="0" quotePrefix="0" xfId="1"/>
    <xf numFmtId="164" fontId="4" fillId="4" borderId="0" pivotButton="0" quotePrefix="0" xfId="2"/>
    <xf numFmtId="164" fontId="0" fillId="0" borderId="0" applyAlignment="1" pivotButton="0" quotePrefix="0" xfId="1">
      <alignment horizontal="center"/>
    </xf>
    <xf numFmtId="164" fontId="0" fillId="5" borderId="0" pivotButton="0" quotePrefix="0" xfId="1"/>
    <xf numFmtId="164" fontId="0" fillId="0" borderId="0" applyAlignment="1" pivotButton="0" quotePrefix="0" xfId="0">
      <alignment horizontal="center"/>
    </xf>
    <xf numFmtId="164" fontId="2" fillId="2" borderId="0" applyAlignment="1" pivotButton="0" quotePrefix="0" xfId="1">
      <alignment horizontal="center"/>
    </xf>
    <xf numFmtId="164" fontId="4" fillId="4" borderId="0" applyAlignment="1" pivotButton="0" quotePrefix="0" xfId="2">
      <alignment horizontal="center"/>
    </xf>
    <xf numFmtId="164" fontId="0" fillId="5" borderId="0" applyAlignment="1" pivotButton="0" quotePrefix="0" xfId="1">
      <alignment horizontal="center"/>
    </xf>
    <xf numFmtId="164" fontId="0" fillId="3" borderId="0" pivotButton="0" quotePrefix="0" xfId="1"/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N399"/>
  <sheetViews>
    <sheetView topLeftCell="A14" workbookViewId="0">
      <selection activeCell="H115" sqref="H115"/>
    </sheetView>
  </sheetViews>
  <sheetFormatPr baseColWidth="10" defaultColWidth="11.5" defaultRowHeight="15"/>
  <cols>
    <col width="6.33203125" customWidth="1" style="8" min="1" max="1"/>
    <col width="19" bestFit="1" customWidth="1" style="8" min="2" max="2"/>
    <col width="14.83203125" bestFit="1" customWidth="1" style="8" min="3" max="3"/>
    <col width="10.6640625" bestFit="1" customWidth="1" style="41" min="4" max="4"/>
    <col width="4.5" bestFit="1" customWidth="1" style="10" min="5" max="5"/>
    <col width="9.33203125" bestFit="1" customWidth="1" style="41" min="6" max="6"/>
    <col width="10.6640625" bestFit="1" customWidth="1" style="41" min="7" max="7"/>
    <col width="11.5" customWidth="1" style="8" min="8" max="9"/>
    <col width="19" bestFit="1" customWidth="1" style="8" min="10" max="10"/>
    <col width="12.33203125" bestFit="1" customWidth="1" style="41" min="11" max="11"/>
    <col width="13.83203125" bestFit="1" customWidth="1" style="41" min="12" max="12"/>
    <col width="11.33203125" bestFit="1" customWidth="1" style="41" min="13" max="13"/>
    <col width="11.5" customWidth="1" style="8" min="14" max="16384"/>
  </cols>
  <sheetData>
    <row r="3">
      <c r="B3" s="8" t="inlineStr">
        <is>
          <t>PROVEEDOR</t>
        </is>
      </c>
      <c r="C3" s="8" t="inlineStr">
        <is>
          <t>Nº ALBARAN</t>
        </is>
      </c>
      <c r="D3" s="41" t="inlineStr">
        <is>
          <t>BASE</t>
        </is>
      </c>
      <c r="E3" s="10" t="inlineStr">
        <is>
          <t>IVA</t>
        </is>
      </c>
      <c r="F3" s="41" t="inlineStr">
        <is>
          <t>CUOTA</t>
        </is>
      </c>
      <c r="G3" s="41" t="inlineStr">
        <is>
          <t>TOTAL</t>
        </is>
      </c>
      <c r="J3" s="8" t="inlineStr">
        <is>
          <t>PROVEEDOR</t>
        </is>
      </c>
      <c r="K3" s="41" t="inlineStr">
        <is>
          <t>TOTAL BASE</t>
        </is>
      </c>
      <c r="L3" s="41" t="inlineStr">
        <is>
          <t>TOTAL CUOTA</t>
        </is>
      </c>
      <c r="M3" s="41" t="inlineStr">
        <is>
          <t>TOTAL FRA</t>
        </is>
      </c>
    </row>
    <row r="4">
      <c r="B4" s="8" t="inlineStr">
        <is>
          <t>AGMASFOOD</t>
        </is>
      </c>
      <c r="C4" s="8" t="inlineStr">
        <is>
          <t>26 6717</t>
        </is>
      </c>
      <c r="D4" s="41" t="n">
        <v>300.55</v>
      </c>
      <c r="E4" s="10" t="n">
        <v>0.1</v>
      </c>
      <c r="F4" s="41">
        <f>D4*E4</f>
        <v/>
      </c>
      <c r="G4" s="41">
        <f>D4+F4</f>
        <v/>
      </c>
      <c r="J4" s="8" cm="1">
        <f t="array" ref="J4:J50">_xlfn._xlws.SORT(_xlfn.UNIQUE(B4:B999999),1)</f>
        <v/>
      </c>
      <c r="K4" s="41">
        <f>SUMIF($B$4:$B$999999,J4,$D$4:$D$999999)</f>
        <v/>
      </c>
      <c r="L4" s="41">
        <f>SUMIF($B$4:$B$999999,J4,$F$4:$F$999999)</f>
        <v/>
      </c>
      <c r="M4" s="41">
        <f>SUMIF($B$4:$B$999999,J4,$G$4:$G$999999)</f>
        <v/>
      </c>
    </row>
    <row r="5">
      <c r="B5" s="8" t="inlineStr">
        <is>
          <t>AGMASFOOD</t>
        </is>
      </c>
      <c r="C5" s="8" t="inlineStr">
        <is>
          <t>26 6980</t>
        </is>
      </c>
      <c r="D5" s="41" t="n">
        <v>35.85</v>
      </c>
      <c r="E5" s="10" t="n">
        <v>0.1</v>
      </c>
      <c r="F5" s="41">
        <f>D5*E5</f>
        <v/>
      </c>
      <c r="G5" s="41">
        <f>D5+F5</f>
        <v/>
      </c>
      <c r="J5" s="8" t="inlineStr">
        <is>
          <t>AGROFOOD</t>
        </is>
      </c>
      <c r="K5" s="41">
        <f>SUMIF($B$4:$B$999999,J5,$D$4:$D$999999)</f>
        <v/>
      </c>
      <c r="L5" s="41">
        <f>SUMIF($B$4:$B$999999,J5,$F$4:$F$999999)</f>
        <v/>
      </c>
      <c r="M5" s="41">
        <f>SUMIF($B$4:$B$999999,J5,$G$4:$G$999999)</f>
        <v/>
      </c>
    </row>
    <row r="6">
      <c r="B6" s="8" t="inlineStr">
        <is>
          <t>AGMASFOOD</t>
        </is>
      </c>
      <c r="C6" s="8" t="inlineStr">
        <is>
          <t>26 7006</t>
        </is>
      </c>
      <c r="D6" s="41" t="n">
        <v>84</v>
      </c>
      <c r="E6" s="10" t="n">
        <v>0.1</v>
      </c>
      <c r="F6" s="41">
        <f>D6*E6</f>
        <v/>
      </c>
      <c r="G6" s="41">
        <f>D6+F6</f>
        <v/>
      </c>
      <c r="J6" s="8" t="inlineStr">
        <is>
          <t>CALIDOSCOPI</t>
        </is>
      </c>
      <c r="K6" s="41">
        <f>SUMIF($B$4:$B$999999,J6,$D$4:$D$999999)</f>
        <v/>
      </c>
      <c r="L6" s="41">
        <f>SUMIF($B$4:$B$999999,J6,$F$4:$F$999999)</f>
        <v/>
      </c>
      <c r="M6" s="41">
        <f>SUMIF($B$4:$B$999999,J6,$G$4:$G$999999)</f>
        <v/>
      </c>
    </row>
    <row r="7">
      <c r="B7" s="8" t="inlineStr">
        <is>
          <t>AGMASFOOD</t>
        </is>
      </c>
      <c r="C7" s="8" t="inlineStr">
        <is>
          <t>26 7016</t>
        </is>
      </c>
      <c r="D7" s="41" t="n">
        <v>226.6</v>
      </c>
      <c r="E7" s="10" t="n">
        <v>0.1</v>
      </c>
      <c r="F7" s="41">
        <f>D7*E7</f>
        <v/>
      </c>
      <c r="G7" s="41">
        <f>D7+F7</f>
        <v/>
      </c>
      <c r="J7" s="8" t="inlineStr">
        <is>
          <t>CARNICAS MEAT</t>
        </is>
      </c>
      <c r="K7" s="41">
        <f>SUMIF($B$4:$B$999999,J7,$D$4:$D$999999)</f>
        <v/>
      </c>
      <c r="L7" s="41">
        <f>SUMIF($B$4:$B$999999,J7,$F$4:$F$999999)</f>
        <v/>
      </c>
      <c r="M7" s="41">
        <f>SUMIF($B$4:$B$999999,J7,$G$4:$G$999999)</f>
        <v/>
      </c>
      <c r="N7" s="42" t="n"/>
    </row>
    <row r="8">
      <c r="B8" s="8" t="inlineStr">
        <is>
          <t>AGMASFOOD</t>
        </is>
      </c>
      <c r="C8" s="8" t="inlineStr">
        <is>
          <t>26 7048</t>
        </is>
      </c>
      <c r="D8" s="41" t="n">
        <v>100.8</v>
      </c>
      <c r="E8" s="10" t="n">
        <v>0.1</v>
      </c>
      <c r="F8" s="41">
        <f>D8*E8</f>
        <v/>
      </c>
      <c r="G8" s="41">
        <f>D8+F8</f>
        <v/>
      </c>
      <c r="J8" s="8" t="inlineStr">
        <is>
          <t>CARNICAS OPC</t>
        </is>
      </c>
      <c r="K8" s="41">
        <f>SUMIF($B$4:$B$999999,J8,$D$4:$D$999999)</f>
        <v/>
      </c>
      <c r="L8" s="41">
        <f>SUMIF($B$4:$B$999999,J8,$F$4:$F$999999)</f>
        <v/>
      </c>
      <c r="M8" s="41">
        <f>SUMIF($B$4:$B$999999,J8,$G$4:$G$999999)</f>
        <v/>
      </c>
    </row>
    <row r="9">
      <c r="B9" s="8" t="inlineStr">
        <is>
          <t>AGMASFOOD</t>
        </is>
      </c>
      <c r="C9" s="8" t="inlineStr">
        <is>
          <t>26 7103</t>
        </is>
      </c>
      <c r="D9" s="41" t="n">
        <v>34.3</v>
      </c>
      <c r="E9" s="10" t="n">
        <v>0.1</v>
      </c>
      <c r="F9" s="41">
        <f>D9*E9</f>
        <v/>
      </c>
      <c r="G9" s="41">
        <f>D9+F9</f>
        <v/>
      </c>
      <c r="J9" s="8" t="inlineStr">
        <is>
          <t>COCA-COLA</t>
        </is>
      </c>
      <c r="K9" s="41">
        <f>SUMIF($B$4:$B$999999,J9,$D$4:$D$999999)</f>
        <v/>
      </c>
      <c r="L9" s="41">
        <f>SUMIF($B$4:$B$999999,J9,$F$4:$F$999999)</f>
        <v/>
      </c>
      <c r="M9" s="41">
        <f>SUMIF($B$4:$B$999999,J9,$G$4:$G$999999)</f>
        <v/>
      </c>
    </row>
    <row r="10">
      <c r="B10" s="8" t="inlineStr">
        <is>
          <t>AGMASFOOD</t>
        </is>
      </c>
      <c r="C10" s="8" t="inlineStr">
        <is>
          <t>26 7151</t>
        </is>
      </c>
      <c r="D10" s="41" t="n">
        <v>0</v>
      </c>
      <c r="E10" s="10" t="n">
        <v>0.1</v>
      </c>
      <c r="F10" s="41">
        <f>D10*E10</f>
        <v/>
      </c>
      <c r="G10" s="41">
        <f>D10+F10</f>
        <v/>
      </c>
      <c r="J10" s="8" t="inlineStr">
        <is>
          <t>CONS. Y SALAZ.</t>
        </is>
      </c>
      <c r="K10" s="41">
        <f>SUMIF($B$4:$B$999999,J10,$D$4:$D$999999)</f>
        <v/>
      </c>
      <c r="L10" s="41">
        <f>SUMIF($B$4:$B$999999,J10,$F$4:$F$999999)</f>
        <v/>
      </c>
      <c r="M10" s="41">
        <f>SUMIF($B$4:$B$999999,J10,$G$4:$G$999999)</f>
        <v/>
      </c>
    </row>
    <row r="11">
      <c r="B11" s="8" t="inlineStr">
        <is>
          <t>AGMASFOOD</t>
        </is>
      </c>
      <c r="C11" s="8" t="inlineStr">
        <is>
          <t>26 7202</t>
        </is>
      </c>
      <c r="D11" s="41" t="n">
        <v>29.4</v>
      </c>
      <c r="E11" s="10" t="n">
        <v>0.1</v>
      </c>
      <c r="F11" s="41">
        <f>D11*E11</f>
        <v/>
      </c>
      <c r="G11" s="41">
        <f>D11+F11</f>
        <v/>
      </c>
      <c r="J11" s="8" t="inlineStr">
        <is>
          <t>CRNAS SERVAN</t>
        </is>
      </c>
      <c r="K11" s="41">
        <f>SUMIF($B$4:$B$999999,J11,$D$4:$D$999999)</f>
        <v/>
      </c>
      <c r="L11" s="41">
        <f>SUMIF($B$4:$B$999999,J11,$F$4:$F$999999)</f>
        <v/>
      </c>
      <c r="M11" s="41">
        <f>SUMIF($B$4:$B$999999,J11,$G$4:$G$999999)</f>
        <v/>
      </c>
    </row>
    <row r="12">
      <c r="B12" s="8" t="inlineStr">
        <is>
          <t>AGMASFOOD</t>
        </is>
      </c>
      <c r="C12" s="8" t="inlineStr">
        <is>
          <t>26 7226</t>
        </is>
      </c>
      <c r="D12" s="41" t="n">
        <v>185.49</v>
      </c>
      <c r="E12" s="10" t="n">
        <v>0.1</v>
      </c>
      <c r="F12" s="41">
        <f>D12*E12</f>
        <v/>
      </c>
      <c r="G12" s="41">
        <f>D12+F12</f>
        <v/>
      </c>
      <c r="J12" s="8" t="inlineStr">
        <is>
          <t>CRUSTAPESCA</t>
        </is>
      </c>
      <c r="K12" s="41">
        <f>SUMIF($B$4:$B$999999,J12,$D$4:$D$999999)</f>
        <v/>
      </c>
      <c r="L12" s="41">
        <f>SUMIF($B$4:$B$999999,J12,$F$4:$F$999999)</f>
        <v/>
      </c>
      <c r="M12" s="41">
        <f>SUMIF($B$4:$B$999999,J12,$G$4:$G$999999)</f>
        <v/>
      </c>
    </row>
    <row r="13">
      <c r="B13" s="8" t="inlineStr">
        <is>
          <t>AGMASFOOD</t>
        </is>
      </c>
      <c r="C13" s="8" t="inlineStr">
        <is>
          <t>26 7264</t>
        </is>
      </c>
      <c r="D13" s="41" t="n">
        <v>128.2</v>
      </c>
      <c r="E13" s="10" t="n">
        <v>0.1</v>
      </c>
      <c r="F13" s="41">
        <f>D13*E13</f>
        <v/>
      </c>
      <c r="G13" s="41">
        <f>D13+F13</f>
        <v/>
      </c>
      <c r="J13" s="8" t="inlineStr">
        <is>
          <t>DELIPAN</t>
        </is>
      </c>
      <c r="K13" s="41">
        <f>SUMIF($B$4:$B$999999,J13,$D$4:$D$999999)</f>
        <v/>
      </c>
      <c r="L13" s="41">
        <f>SUMIF($B$4:$B$999999,J13,$F$4:$F$999999)</f>
        <v/>
      </c>
      <c r="M13" s="41">
        <f>SUMIF($B$4:$B$999999,J13,$G$4:$G$999999)</f>
        <v/>
      </c>
    </row>
    <row r="14">
      <c r="B14" s="8" t="inlineStr">
        <is>
          <t>AGROFOOD</t>
        </is>
      </c>
      <c r="C14" s="8" t="inlineStr">
        <is>
          <t>M26/935</t>
        </is>
      </c>
      <c r="D14" s="41" t="n">
        <v>228.11</v>
      </c>
      <c r="E14" s="10" t="n">
        <v>0.1</v>
      </c>
      <c r="F14" s="41">
        <f>D14*E14</f>
        <v/>
      </c>
      <c r="G14" s="41">
        <f>D14+F14</f>
        <v/>
      </c>
      <c r="J14" s="8" t="inlineStr">
        <is>
          <t>DISOLTRIGO</t>
        </is>
      </c>
      <c r="K14" s="41">
        <f>SUMIF($B$4:$B$999999,J14,$D$4:$D$999999)</f>
        <v/>
      </c>
      <c r="L14" s="41">
        <f>SUMIF($B$4:$B$999999,J14,$F$4:$F$999999)</f>
        <v/>
      </c>
      <c r="M14" s="41">
        <f>SUMIF($B$4:$B$999999,J14,$G$4:$G$999999)</f>
        <v/>
      </c>
    </row>
    <row r="15">
      <c r="B15" s="8" t="inlineStr">
        <is>
          <t>AGROFOOD</t>
        </is>
      </c>
      <c r="C15" s="8" t="inlineStr">
        <is>
          <t>M26/952</t>
        </is>
      </c>
      <c r="D15" s="41" t="n">
        <v>522.6799999999999</v>
      </c>
      <c r="E15" s="10" t="n">
        <v>0.1</v>
      </c>
      <c r="F15" s="41">
        <f>D15*E15</f>
        <v/>
      </c>
      <c r="G15" s="41">
        <f>D15+F15</f>
        <v/>
      </c>
      <c r="J15" s="8" t="inlineStr">
        <is>
          <t>DIST. TENA</t>
        </is>
      </c>
      <c r="K15" s="41">
        <f>SUMIF($B$4:$B$999999,J15,$D$4:$D$999999)</f>
        <v/>
      </c>
      <c r="L15" s="41">
        <f>SUMIF($B$4:$B$999999,J15,$F$4:$F$999999)</f>
        <v/>
      </c>
      <c r="M15" s="41">
        <f>SUMIF($B$4:$B$999999,J15,$G$4:$G$999999)</f>
        <v/>
      </c>
    </row>
    <row r="16">
      <c r="B16" s="8" t="inlineStr">
        <is>
          <t>AGROFOOD</t>
        </is>
      </c>
      <c r="C16" s="8" t="inlineStr">
        <is>
          <t>M26/928</t>
        </is>
      </c>
      <c r="D16" s="41" t="n">
        <v>448.67</v>
      </c>
      <c r="E16" s="10" t="n">
        <v>0.1</v>
      </c>
      <c r="F16" s="41">
        <f>D16*E16</f>
        <v/>
      </c>
      <c r="G16" s="41">
        <f>D16+F16</f>
        <v/>
      </c>
      <c r="J16" s="8" t="inlineStr">
        <is>
          <t>EIF DISTRIB.</t>
        </is>
      </c>
      <c r="K16" s="41">
        <f>SUMIF($B$4:$B$999999,J16,$D$4:$D$999999)</f>
        <v/>
      </c>
      <c r="L16" s="41">
        <f>SUMIF($B$4:$B$999999,J16,$F$4:$F$999999)</f>
        <v/>
      </c>
      <c r="M16" s="41">
        <f>SUMIF($B$4:$B$999999,J16,$G$4:$G$999999)</f>
        <v/>
      </c>
    </row>
    <row r="17">
      <c r="B17" s="8" t="inlineStr">
        <is>
          <t>CARNICAS MEAT</t>
        </is>
      </c>
      <c r="C17" s="8" t="inlineStr">
        <is>
          <t>A1/221</t>
        </is>
      </c>
      <c r="D17" s="41" t="n">
        <v>380.88</v>
      </c>
      <c r="E17" s="10" t="n">
        <v>0.1</v>
      </c>
      <c r="F17" s="41">
        <f>D17*E17</f>
        <v/>
      </c>
      <c r="G17" s="41">
        <f>D17+F17</f>
        <v/>
      </c>
      <c r="J17" s="8" t="inlineStr">
        <is>
          <t>ENRIQUE CAMPS</t>
        </is>
      </c>
      <c r="K17" s="41">
        <f>SUMIF($B$4:$B$999999,J17,$D$4:$D$999999)</f>
        <v/>
      </c>
      <c r="L17" s="41">
        <f>SUMIF($B$4:$B$999999,J17,$F$4:$F$999999)</f>
        <v/>
      </c>
      <c r="M17" s="41">
        <f>SUMIF($B$4:$B$999999,J17,$G$4:$G$999999)</f>
        <v/>
      </c>
    </row>
    <row r="18">
      <c r="B18" s="8" t="inlineStr">
        <is>
          <t>CARNICAS MEAT</t>
        </is>
      </c>
      <c r="C18" s="8" t="inlineStr">
        <is>
          <t>A1/227</t>
        </is>
      </c>
      <c r="D18" s="41" t="n">
        <v>259.38</v>
      </c>
      <c r="E18" s="10" t="n">
        <v>0.1</v>
      </c>
      <c r="F18" s="41">
        <f>D18*E18</f>
        <v/>
      </c>
      <c r="G18" s="41">
        <f>D18+F18</f>
        <v/>
      </c>
      <c r="J18" s="8" t="inlineStr">
        <is>
          <t>FRUTERIA D'ALISTE</t>
        </is>
      </c>
      <c r="K18" s="41">
        <f>SUMIF($B$4:$B$999999,J18,$D$4:$D$999999)</f>
        <v/>
      </c>
      <c r="L18" s="41">
        <f>SUMIF($B$4:$B$999999,J18,$F$4:$F$999999)</f>
        <v/>
      </c>
      <c r="M18" s="41">
        <f>SUMIF($B$4:$B$999999,J18,$G$4:$G$999999)</f>
        <v/>
      </c>
    </row>
    <row r="19">
      <c r="B19" s="8" t="inlineStr">
        <is>
          <t>VENERO CLARO</t>
        </is>
      </c>
      <c r="C19" s="8" t="inlineStr">
        <is>
          <t>26VC-1939</t>
        </is>
      </c>
      <c r="D19" s="41" t="n">
        <v>271.18</v>
      </c>
      <c r="E19" s="10" t="n">
        <v>0.1</v>
      </c>
      <c r="F19" s="41">
        <f>D19*E19</f>
        <v/>
      </c>
      <c r="G19" s="41">
        <f>D19+F19</f>
        <v/>
      </c>
      <c r="J19" s="8" t="inlineStr">
        <is>
          <t>I LOVE POTATO</t>
        </is>
      </c>
      <c r="K19" s="41">
        <f>SUMIF($B$4:$B$999999,J19,$D$4:$D$999999)</f>
        <v/>
      </c>
      <c r="L19" s="41">
        <f>SUMIF($B$4:$B$999999,J19,$F$4:$F$999999)</f>
        <v/>
      </c>
      <c r="M19" s="41">
        <f>SUMIF($B$4:$B$999999,J19,$G$4:$G$999999)</f>
        <v/>
      </c>
    </row>
    <row r="20">
      <c r="B20" s="8" t="inlineStr">
        <is>
          <t>COCA-COLA</t>
        </is>
      </c>
      <c r="C20" s="8" t="n">
        <v>4536210096</v>
      </c>
      <c r="D20" s="41" t="n">
        <v>238.09</v>
      </c>
      <c r="E20" s="10" t="n">
        <v>0.21</v>
      </c>
      <c r="F20" s="41">
        <f>D20*E20</f>
        <v/>
      </c>
      <c r="G20" s="41">
        <f>D20+F20</f>
        <v/>
      </c>
      <c r="J20" s="8" t="inlineStr">
        <is>
          <t>JOSE ROMERO PLAZA</t>
        </is>
      </c>
      <c r="K20" s="41">
        <f>SUMIF($B$4:$B$999999,J20,$D$4:$D$999999)</f>
        <v/>
      </c>
      <c r="L20" s="41">
        <f>SUMIF($B$4:$B$999999,J20,$F$4:$F$999999)</f>
        <v/>
      </c>
      <c r="M20" s="41">
        <f>SUMIF($B$4:$B$999999,J20,$G$4:$G$999999)</f>
        <v/>
      </c>
    </row>
    <row r="21">
      <c r="B21" s="8" t="inlineStr">
        <is>
          <t>COCA-COLA</t>
        </is>
      </c>
      <c r="C21" s="8" t="n">
        <v>4536386996</v>
      </c>
      <c r="D21" s="41" t="n">
        <v>223.07</v>
      </c>
      <c r="E21" s="10" t="n">
        <v>0.21</v>
      </c>
      <c r="F21" s="41">
        <f>D21*E21</f>
        <v/>
      </c>
      <c r="G21" s="41">
        <f>D21+F21</f>
        <v/>
      </c>
      <c r="J21" s="8" t="inlineStr">
        <is>
          <t>MAGOASE</t>
        </is>
      </c>
      <c r="K21" s="41">
        <f>SUMIF($B$4:$B$999999,J21,$D$4:$D$999999)</f>
        <v/>
      </c>
      <c r="L21" s="41">
        <f>SUMIF($B$4:$B$999999,J21,$F$4:$F$999999)</f>
        <v/>
      </c>
      <c r="M21" s="41">
        <f>SUMIF($B$4:$B$999999,J21,$G$4:$G$999999)</f>
        <v/>
      </c>
    </row>
    <row r="22">
      <c r="B22" s="8" t="inlineStr">
        <is>
          <t>COCA-COLA</t>
        </is>
      </c>
      <c r="C22" s="8" t="n">
        <v>4536386996</v>
      </c>
      <c r="D22" s="41" t="n">
        <v>34.96</v>
      </c>
      <c r="E22" s="10" t="n">
        <v>0.1</v>
      </c>
      <c r="F22" s="41">
        <f>D22*E22</f>
        <v/>
      </c>
      <c r="G22" s="41">
        <f>D22+F22</f>
        <v/>
      </c>
      <c r="J22" s="8" t="inlineStr">
        <is>
          <t>MANUEL AMBRES</t>
        </is>
      </c>
      <c r="K22" s="41">
        <f>SUMIF($B$4:$B$999999,J22,$D$4:$D$999999)</f>
        <v/>
      </c>
      <c r="L22" s="41">
        <f>SUMIF($B$4:$B$999999,J22,$F$4:$F$999999)</f>
        <v/>
      </c>
      <c r="M22" s="41">
        <f>SUMIF($B$4:$B$999999,J22,$G$4:$G$999999)</f>
        <v/>
      </c>
    </row>
    <row r="23">
      <c r="B23" s="8" t="inlineStr">
        <is>
          <t>COCA-COLA</t>
        </is>
      </c>
      <c r="C23" s="8" t="n">
        <v>4536386995</v>
      </c>
      <c r="D23" s="41" t="n">
        <v>-38.4</v>
      </c>
      <c r="E23" s="10" t="n">
        <v>0.21</v>
      </c>
      <c r="F23" s="41">
        <f>D23*E23</f>
        <v/>
      </c>
      <c r="G23" s="41">
        <f>D23+F23</f>
        <v/>
      </c>
      <c r="J23" s="8" t="inlineStr">
        <is>
          <t>MARTIN CANEDA</t>
        </is>
      </c>
      <c r="K23" s="41">
        <f>SUMIF($B$4:$B$999999,J23,$D$4:$D$999999)</f>
        <v/>
      </c>
      <c r="L23" s="41">
        <f>SUMIF($B$4:$B$999999,J23,$F$4:$F$999999)</f>
        <v/>
      </c>
      <c r="M23" s="41">
        <f>SUMIF($B$4:$B$999999,J23,$G$4:$G$999999)</f>
        <v/>
      </c>
    </row>
    <row r="24">
      <c r="B24" s="8" t="inlineStr">
        <is>
          <t>DON BOCARTE</t>
        </is>
      </c>
      <c r="C24" s="8" t="n">
        <v>5653</v>
      </c>
      <c r="D24" s="41" t="n">
        <v>382.59</v>
      </c>
      <c r="E24" s="10" t="n">
        <v>0.1</v>
      </c>
      <c r="F24" s="41">
        <f>D24*E24</f>
        <v/>
      </c>
      <c r="G24" s="41">
        <f>D24+F24</f>
        <v/>
      </c>
      <c r="J24" s="8" t="inlineStr">
        <is>
          <t>MUNDELA</t>
        </is>
      </c>
      <c r="K24" s="41">
        <f>SUMIF($B$4:$B$999999,J24,$D$4:$D$999999)</f>
        <v/>
      </c>
      <c r="L24" s="41">
        <f>SUMIF($B$4:$B$999999,J24,$F$4:$F$999999)</f>
        <v/>
      </c>
      <c r="M24" s="41">
        <f>SUMIF($B$4:$B$999999,J24,$G$4:$G$999999)</f>
        <v/>
      </c>
    </row>
    <row r="25">
      <c r="B25" s="8" t="inlineStr">
        <is>
          <t>CONS. Y SALAZ.</t>
        </is>
      </c>
      <c r="C25" s="8" t="inlineStr">
        <is>
          <t>26A01042</t>
        </is>
      </c>
      <c r="D25" s="41" t="n">
        <v>859.89</v>
      </c>
      <c r="E25" s="10" t="n">
        <v>0.1</v>
      </c>
      <c r="F25" s="41">
        <f>D25*E25</f>
        <v/>
      </c>
      <c r="G25" s="41">
        <f>D25+F25</f>
        <v/>
      </c>
      <c r="J25" s="8" t="inlineStr">
        <is>
          <t>PEÑALASTALLAS</t>
        </is>
      </c>
      <c r="K25" s="41">
        <f>SUMIF($B$4:$B$999999,J25,$D$4:$D$999999)</f>
        <v/>
      </c>
      <c r="L25" s="41">
        <f>SUMIF($B$4:$B$999999,J25,$F$4:$F$999999)</f>
        <v/>
      </c>
      <c r="M25" s="41">
        <f>SUMIF($B$4:$B$999999,J25,$G$4:$G$999999)</f>
        <v/>
      </c>
    </row>
    <row r="26">
      <c r="B26" s="8" t="inlineStr">
        <is>
          <t>CONS. Y SALAZ.</t>
        </is>
      </c>
      <c r="C26" s="8" t="inlineStr">
        <is>
          <t>26A01059</t>
        </is>
      </c>
      <c r="D26" s="41" t="n">
        <v>201.7</v>
      </c>
      <c r="E26" s="10" t="n">
        <v>0.1</v>
      </c>
      <c r="F26" s="41">
        <f>D26*E26</f>
        <v/>
      </c>
      <c r="G26" s="41">
        <f>D26+F26</f>
        <v/>
      </c>
      <c r="J26" s="8" t="inlineStr">
        <is>
          <t>PESCADERIA PALACIO</t>
        </is>
      </c>
      <c r="K26" s="41">
        <f>SUMIF($B$4:$B$999999,J26,$D$4:$D$999999)</f>
        <v/>
      </c>
      <c r="L26" s="41">
        <f>SUMIF($B$4:$B$999999,J26,$F$4:$F$999999)</f>
        <v/>
      </c>
      <c r="M26" s="41">
        <f>SUMIF($B$4:$B$999999,J26,$G$4:$G$999999)</f>
        <v/>
      </c>
    </row>
    <row r="27">
      <c r="B27" s="8" t="inlineStr">
        <is>
          <t>CRUSTAPESCA</t>
        </is>
      </c>
      <c r="C27" s="8" t="inlineStr">
        <is>
          <t>20081 (ABONO)</t>
        </is>
      </c>
      <c r="D27" s="41" t="n">
        <v>-229.6</v>
      </c>
      <c r="E27" s="10" t="n">
        <v>0.1</v>
      </c>
      <c r="F27" s="41">
        <f>D27*E27</f>
        <v/>
      </c>
      <c r="G27" s="41">
        <f>D27+F27</f>
        <v/>
      </c>
      <c r="J27" s="8" t="inlineStr">
        <is>
          <t>PESCARUM</t>
        </is>
      </c>
      <c r="K27" s="41">
        <f>SUMIF($B$4:$B$999999,J27,$D$4:$D$999999)</f>
        <v/>
      </c>
      <c r="L27" s="41">
        <f>SUMIF($B$4:$B$999999,J27,$F$4:$F$999999)</f>
        <v/>
      </c>
      <c r="M27" s="41">
        <f>SUMIF($B$4:$B$999999,J27,$G$4:$G$999999)</f>
        <v/>
      </c>
    </row>
    <row r="28">
      <c r="B28" s="8" t="inlineStr">
        <is>
          <t>CRUSTAPESCA</t>
        </is>
      </c>
      <c r="C28" s="8" t="n">
        <v>25081</v>
      </c>
      <c r="D28" s="41" t="n">
        <v>119.6</v>
      </c>
      <c r="E28" s="10" t="n">
        <v>0.1</v>
      </c>
      <c r="F28" s="41">
        <f>D28*E28</f>
        <v/>
      </c>
      <c r="G28" s="41">
        <f>D28+F28</f>
        <v/>
      </c>
      <c r="J28" s="8" t="inlineStr">
        <is>
          <t>SUBMARINER</t>
        </is>
      </c>
      <c r="K28" s="41">
        <f>SUMIF($B$4:$B$999999,J28,$D$4:$D$999999)</f>
        <v/>
      </c>
      <c r="L28" s="41">
        <f>SUMIF($B$4:$B$999999,J28,$F$4:$F$999999)</f>
        <v/>
      </c>
      <c r="M28" s="41">
        <f>SUMIF($B$4:$B$999999,J28,$G$4:$G$999999)</f>
        <v/>
      </c>
    </row>
    <row r="29">
      <c r="B29" s="8" t="inlineStr">
        <is>
          <t>CRUSTAPESCA</t>
        </is>
      </c>
      <c r="C29" s="8" t="n">
        <v>27084</v>
      </c>
      <c r="D29" s="41" t="n">
        <v>78</v>
      </c>
      <c r="E29" s="10" t="n">
        <v>0.1</v>
      </c>
      <c r="F29" s="41">
        <f>D29*E29</f>
        <v/>
      </c>
      <c r="G29" s="41">
        <f>D29+F29</f>
        <v/>
      </c>
      <c r="J29" s="8" t="inlineStr">
        <is>
          <t>TOMATERIA CEA</t>
        </is>
      </c>
      <c r="K29" s="41">
        <f>SUMIF($B$4:$B$999999,J29,$D$4:$D$999999)</f>
        <v/>
      </c>
      <c r="L29" s="41">
        <f>SUMIF($B$4:$B$999999,J29,$F$4:$F$999999)</f>
        <v/>
      </c>
      <c r="M29" s="41">
        <f>SUMIF($B$4:$B$999999,J29,$G$4:$G$999999)</f>
        <v/>
      </c>
    </row>
    <row r="30">
      <c r="B30" s="8" t="inlineStr">
        <is>
          <t>DELIPAN</t>
        </is>
      </c>
      <c r="C30" s="8" t="inlineStr">
        <is>
          <t>A2/9526</t>
        </is>
      </c>
      <c r="D30" s="41" t="n">
        <v>88.09</v>
      </c>
      <c r="E30" s="10" t="n">
        <v>0.1</v>
      </c>
      <c r="F30" s="41">
        <f>D30*E30</f>
        <v/>
      </c>
      <c r="G30" s="41">
        <f>D30+F30</f>
        <v/>
      </c>
      <c r="J30" s="8" t="inlineStr">
        <is>
          <t>VINS DE DIEUX</t>
        </is>
      </c>
      <c r="K30" s="41">
        <f>SUMIF($B$4:$B$999999,J30,$D$4:$D$999999)</f>
        <v/>
      </c>
      <c r="L30" s="41">
        <f>SUMIF($B$4:$B$999999,J30,$F$4:$F$999999)</f>
        <v/>
      </c>
      <c r="M30" s="41">
        <f>SUMIF($B$4:$B$999999,J30,$G$4:$G$999999)</f>
        <v/>
      </c>
    </row>
    <row r="31">
      <c r="B31" s="8" t="inlineStr">
        <is>
          <t>DELIPAN</t>
        </is>
      </c>
      <c r="C31" s="8" t="inlineStr">
        <is>
          <t>A2/9526</t>
        </is>
      </c>
      <c r="D31" s="41" t="n">
        <v>40.69</v>
      </c>
      <c r="E31" s="10" t="n">
        <v>0.04</v>
      </c>
      <c r="F31" s="41">
        <f>D31*E31</f>
        <v/>
      </c>
      <c r="G31" s="41">
        <f>D31+F31</f>
        <v/>
      </c>
      <c r="J31" s="8" t="inlineStr">
        <is>
          <t>VOLDIS</t>
        </is>
      </c>
      <c r="K31" s="41">
        <f>SUMIF($B$4:$B$999999,J31,$D$4:$D$999999)</f>
        <v/>
      </c>
      <c r="L31" s="41">
        <f>SUMIF($B$4:$B$999999,J31,$F$4:$F$999999)</f>
        <v/>
      </c>
      <c r="M31" s="41">
        <f>SUMIF($B$4:$B$999999,J31,$G$4:$G$999999)</f>
        <v/>
      </c>
    </row>
    <row r="32">
      <c r="B32" s="8" t="inlineStr">
        <is>
          <t>DELIPAN</t>
        </is>
      </c>
      <c r="C32" s="8" t="inlineStr">
        <is>
          <t>A2/9861</t>
        </is>
      </c>
      <c r="D32" s="41" t="n">
        <v>35.46</v>
      </c>
      <c r="E32" s="10" t="n">
        <v>0.04</v>
      </c>
      <c r="F32" s="41">
        <f>D32*E32</f>
        <v/>
      </c>
      <c r="G32" s="41">
        <f>D32+F32</f>
        <v/>
      </c>
      <c r="J32" s="8" t="n">
        <v>0</v>
      </c>
      <c r="K32" s="41">
        <f>SUMIF($B$4:$B$999999,J32,$D$4:$D$999999)</f>
        <v/>
      </c>
      <c r="L32" s="41">
        <f>SUMIF($B$4:$B$999999,J32,$F$4:$F$999999)</f>
        <v/>
      </c>
      <c r="M32" s="41">
        <f>SUMIF($B$4:$B$999999,J32,$G$4:$G$999999)</f>
        <v/>
      </c>
    </row>
    <row r="33">
      <c r="B33" s="8" t="inlineStr">
        <is>
          <t>DELIPAN</t>
        </is>
      </c>
      <c r="C33" s="8" t="inlineStr">
        <is>
          <t>A2/10002</t>
        </is>
      </c>
      <c r="D33" s="41" t="n">
        <v>76.15000000000001</v>
      </c>
      <c r="E33" s="10" t="n">
        <v>0.04</v>
      </c>
      <c r="F33" s="41">
        <f>D33*E33</f>
        <v/>
      </c>
      <c r="G33" s="41">
        <f>D33+F33</f>
        <v/>
      </c>
      <c r="K33" s="41">
        <f>SUMIF($B$4:$B$999999,J33,$D$4:$D$999999)</f>
        <v/>
      </c>
      <c r="L33" s="41">
        <f>SUMIF($B$4:$B$999999,J33,$F$4:$F$999999)</f>
        <v/>
      </c>
      <c r="M33" s="41">
        <f>SUMIF($B$4:$B$999999,J33,$G$4:$G$999999)</f>
        <v/>
      </c>
    </row>
    <row r="34">
      <c r="B34" s="8" t="inlineStr">
        <is>
          <t>DELIPAN</t>
        </is>
      </c>
      <c r="C34" s="8" t="inlineStr">
        <is>
          <t>A2/10106</t>
        </is>
      </c>
      <c r="D34" s="41" t="n">
        <v>53.19</v>
      </c>
      <c r="E34" s="10" t="n">
        <v>0.04</v>
      </c>
      <c r="F34" s="41">
        <f>D34*E34</f>
        <v/>
      </c>
      <c r="G34" s="41">
        <f>D34+F34</f>
        <v/>
      </c>
      <c r="K34" s="41">
        <f>SUMIF($B$4:$B$999999,J34,$D$4:$D$999999)</f>
        <v/>
      </c>
      <c r="L34" s="41">
        <f>SUMIF($B$4:$B$999999,J34,$F$4:$F$999999)</f>
        <v/>
      </c>
      <c r="M34" s="41">
        <f>SUMIF($B$4:$B$999999,J34,$G$4:$G$999999)</f>
        <v/>
      </c>
    </row>
    <row r="35">
      <c r="B35" s="8" t="inlineStr">
        <is>
          <t>DELIPAN</t>
        </is>
      </c>
      <c r="C35" s="8" t="inlineStr">
        <is>
          <t>A2/10260</t>
        </is>
      </c>
      <c r="D35" s="41" t="n">
        <v>87.63</v>
      </c>
      <c r="E35" s="10" t="n">
        <v>0.04</v>
      </c>
      <c r="F35" s="41">
        <f>D35*E35</f>
        <v/>
      </c>
      <c r="G35" s="41">
        <f>D35+F35</f>
        <v/>
      </c>
      <c r="K35" s="41">
        <f>SUMIF($B$4:$B$999999,J35,$D$4:$D$999999)</f>
        <v/>
      </c>
      <c r="L35" s="41">
        <f>SUMIF($B$4:$B$999999,J35,$F$4:$F$999999)</f>
        <v/>
      </c>
      <c r="M35" s="41">
        <f>SUMIF($B$4:$B$999999,J35,$G$4:$G$999999)</f>
        <v/>
      </c>
    </row>
    <row r="36">
      <c r="B36" s="8" t="inlineStr">
        <is>
          <t>DIST. TENA</t>
        </is>
      </c>
      <c r="C36" s="8" t="inlineStr">
        <is>
          <t>FD 2485</t>
        </is>
      </c>
      <c r="D36" s="41" t="n">
        <v>795.12</v>
      </c>
      <c r="E36" s="10" t="n">
        <v>0.21</v>
      </c>
      <c r="F36" s="41">
        <f>D36*E36</f>
        <v/>
      </c>
      <c r="G36" s="41">
        <f>D36+F36</f>
        <v/>
      </c>
      <c r="K36" s="41">
        <f>SUMIF($B$4:$B$999999,J36,$D$4:$D$999999)</f>
        <v/>
      </c>
      <c r="L36" s="41">
        <f>SUMIF($B$4:$B$999999,J36,$F$4:$F$999999)</f>
        <v/>
      </c>
      <c r="M36" s="41">
        <f>SUMIF($B$4:$B$999999,J36,$G$4:$G$999999)</f>
        <v/>
      </c>
    </row>
    <row r="37">
      <c r="B37" s="8" t="inlineStr">
        <is>
          <t>DIST. TENA</t>
        </is>
      </c>
      <c r="C37" s="8" t="inlineStr">
        <is>
          <t>FD 2606</t>
        </is>
      </c>
      <c r="D37" s="41" t="n">
        <v>356.52</v>
      </c>
      <c r="E37" s="10" t="n">
        <v>0.21</v>
      </c>
      <c r="F37" s="41">
        <f>D37*E37</f>
        <v/>
      </c>
      <c r="G37" s="41">
        <f>D37+F37</f>
        <v/>
      </c>
      <c r="K37" s="41">
        <f>SUMIF($B$4:$B$999999,J37,$D$4:$D$999999)</f>
        <v/>
      </c>
      <c r="L37" s="41">
        <f>SUMIF($B$4:$B$999999,J37,$F$4:$F$999999)</f>
        <v/>
      </c>
      <c r="M37" s="41">
        <f>SUMIF($B$4:$B$999999,J37,$G$4:$G$999999)</f>
        <v/>
      </c>
    </row>
    <row r="38">
      <c r="B38" s="8" t="inlineStr">
        <is>
          <t>DIST. TENA</t>
        </is>
      </c>
      <c r="C38" s="8" t="inlineStr">
        <is>
          <t>FD 2650</t>
        </is>
      </c>
      <c r="D38" s="41" t="n">
        <v>168.72</v>
      </c>
      <c r="E38" s="10" t="n">
        <v>0.21</v>
      </c>
      <c r="F38" s="41">
        <f>D38*E38</f>
        <v/>
      </c>
      <c r="G38" s="41">
        <f>D38+F38</f>
        <v/>
      </c>
      <c r="K38" s="41">
        <f>SUMIF($B$4:$B$999999,J38,$D$4:$D$999999)</f>
        <v/>
      </c>
      <c r="L38" s="41">
        <f>SUMIF($B$4:$B$999999,J38,$F$4:$F$999999)</f>
        <v/>
      </c>
      <c r="M38" s="41">
        <f>SUMIF($B$4:$B$999999,J38,$G$4:$G$999999)</f>
        <v/>
      </c>
    </row>
    <row r="39">
      <c r="B39" s="8" t="inlineStr">
        <is>
          <t>EIF DISTRIB.</t>
        </is>
      </c>
      <c r="C39" s="8" t="inlineStr">
        <is>
          <t>2026/1/23727</t>
        </is>
      </c>
      <c r="D39" s="41" t="n">
        <v>117.55</v>
      </c>
      <c r="E39" s="10" t="n">
        <v>0.21</v>
      </c>
      <c r="F39" s="41">
        <f>D39*E39</f>
        <v/>
      </c>
      <c r="G39" s="41">
        <f>D39+F39</f>
        <v/>
      </c>
      <c r="K39" s="41">
        <f>SUMIF($B$4:$B$999999,J39,$D$4:$D$999999)</f>
        <v/>
      </c>
      <c r="L39" s="41">
        <f>SUMIF($B$4:$B$999999,J39,$F$4:$F$999999)</f>
        <v/>
      </c>
      <c r="M39" s="41">
        <f>SUMIF($B$4:$B$999999,J39,$G$4:$G$999999)</f>
        <v/>
      </c>
    </row>
    <row r="40">
      <c r="B40" s="8" t="inlineStr">
        <is>
          <t>EIF DISTRIB.</t>
        </is>
      </c>
      <c r="C40" s="8" t="inlineStr">
        <is>
          <t>2026/1/24261</t>
        </is>
      </c>
      <c r="D40" s="41" t="n">
        <v>283.84</v>
      </c>
      <c r="E40" s="10" t="n">
        <v>0.21</v>
      </c>
      <c r="F40" s="41">
        <f>D40*E40</f>
        <v/>
      </c>
      <c r="G40" s="41">
        <f>D40+F40</f>
        <v/>
      </c>
      <c r="K40" s="41">
        <f>SUMIF($B$4:$B$999999,J40,$D$4:$D$999999)</f>
        <v/>
      </c>
      <c r="L40" s="41">
        <f>SUMIF($B$4:$B$999999,J40,$F$4:$F$999999)</f>
        <v/>
      </c>
      <c r="M40" s="41">
        <f>SUMIF($B$4:$B$999999,J40,$G$4:$G$999999)</f>
        <v/>
      </c>
    </row>
    <row r="41">
      <c r="B41" s="8" t="inlineStr">
        <is>
          <t>EIF DISTRIB.</t>
        </is>
      </c>
      <c r="C41" s="8" t="inlineStr">
        <is>
          <t>2026/1/24376</t>
        </is>
      </c>
      <c r="D41" s="41" t="n">
        <v>53.6</v>
      </c>
      <c r="E41" s="10" t="n">
        <v>0.1</v>
      </c>
      <c r="F41" s="41">
        <f>D41*E41</f>
        <v/>
      </c>
      <c r="G41" s="41">
        <f>D41+F41</f>
        <v/>
      </c>
      <c r="K41" s="41">
        <f>SUMIF($B$4:$B$999999,J41,$D$4:$D$999999)</f>
        <v/>
      </c>
      <c r="L41" s="41">
        <f>SUMIF($B$4:$B$999999,J41,$F$4:$F$999999)</f>
        <v/>
      </c>
      <c r="M41" s="41">
        <f>SUMIF($B$4:$B$999999,J41,$G$4:$G$999999)</f>
        <v/>
      </c>
    </row>
    <row r="42">
      <c r="B42" s="8" t="inlineStr">
        <is>
          <t>EIF DISTRIB.</t>
        </is>
      </c>
      <c r="C42" s="8" t="inlineStr">
        <is>
          <t>2026/1/24376</t>
        </is>
      </c>
      <c r="D42" s="41" t="n">
        <v>1</v>
      </c>
      <c r="E42" s="10" t="n">
        <v>0.21</v>
      </c>
      <c r="F42" s="41">
        <f>D42*E42</f>
        <v/>
      </c>
      <c r="G42" s="41">
        <f>D42+F42</f>
        <v/>
      </c>
      <c r="K42" s="41">
        <f>SUMIF($B$4:$B$999999,J42,$D$4:$D$999999)</f>
        <v/>
      </c>
      <c r="L42" s="41">
        <f>SUMIF($B$4:$B$999999,J42,$F$4:$F$999999)</f>
        <v/>
      </c>
      <c r="M42" s="41">
        <f>SUMIF($B$4:$B$999999,J42,$G$4:$G$999999)</f>
        <v/>
      </c>
    </row>
    <row r="43">
      <c r="B43" s="8" t="inlineStr">
        <is>
          <t>EIF DISTRIB.</t>
        </is>
      </c>
      <c r="C43" s="8" t="inlineStr">
        <is>
          <t>2026/1/24385</t>
        </is>
      </c>
      <c r="D43" s="41" t="n">
        <v>148.06</v>
      </c>
      <c r="E43" s="10" t="n">
        <v>0.21</v>
      </c>
      <c r="F43" s="41">
        <f>D43*E43</f>
        <v/>
      </c>
      <c r="G43" s="41">
        <f>D43+F43</f>
        <v/>
      </c>
      <c r="K43" s="41">
        <f>SUMIF($B$4:$B$999999,J43,$D$4:$D$999999)</f>
        <v/>
      </c>
      <c r="L43" s="41">
        <f>SUMIF($B$4:$B$999999,J43,$F$4:$F$999999)</f>
        <v/>
      </c>
      <c r="M43" s="41">
        <f>SUMIF($B$4:$B$999999,J43,$G$4:$G$999999)</f>
        <v/>
      </c>
    </row>
    <row r="44">
      <c r="B44" s="8" t="inlineStr">
        <is>
          <t>FCO JAVIER LABRADOR</t>
        </is>
      </c>
      <c r="C44" s="8" t="inlineStr">
        <is>
          <t>01-08/26</t>
        </is>
      </c>
      <c r="D44" s="41" t="n">
        <v>91.59999999999999</v>
      </c>
      <c r="E44" s="10" t="n">
        <v>0.1</v>
      </c>
      <c r="F44" s="41">
        <f>D44*E44</f>
        <v/>
      </c>
      <c r="G44" s="41">
        <f>D44+F44</f>
        <v/>
      </c>
      <c r="K44" s="41">
        <f>SUMIF($B$4:$B$999999,J44,$D$4:$D$999999)</f>
        <v/>
      </c>
      <c r="L44" s="41">
        <f>SUMIF($B$4:$B$999999,J44,$F$4:$F$999999)</f>
        <v/>
      </c>
      <c r="M44" s="41">
        <f>SUMIF($B$4:$B$999999,J44,$G$4:$G$999999)</f>
        <v/>
      </c>
    </row>
    <row r="45">
      <c r="B45" s="8" t="inlineStr">
        <is>
          <t>I LOVE POTATO</t>
        </is>
      </c>
      <c r="C45" s="8" t="n">
        <v>637</v>
      </c>
      <c r="D45" s="41" t="n">
        <v>45.25</v>
      </c>
      <c r="E45" s="10" t="n">
        <v>0.04</v>
      </c>
      <c r="F45" s="41">
        <f>D45*E45</f>
        <v/>
      </c>
      <c r="G45" s="41">
        <f>D45+F45</f>
        <v/>
      </c>
      <c r="K45" s="41">
        <f>SUMIF($B$4:$B$999999,J45,$D$4:$D$999999)</f>
        <v/>
      </c>
      <c r="L45" s="41">
        <f>SUMIF($B$4:$B$999999,J45,$F$4:$F$999999)</f>
        <v/>
      </c>
      <c r="M45" s="41">
        <f>SUMIF($B$4:$B$999999,J45,$G$4:$G$999999)</f>
        <v/>
      </c>
    </row>
    <row r="46">
      <c r="B46" s="8" t="inlineStr">
        <is>
          <t>I LOVE POTATO</t>
        </is>
      </c>
      <c r="C46" s="8" t="n">
        <v>675</v>
      </c>
      <c r="D46" s="41" t="n">
        <v>22</v>
      </c>
      <c r="E46" s="10" t="n">
        <v>0.04</v>
      </c>
      <c r="F46" s="41">
        <f>D46*E46</f>
        <v/>
      </c>
      <c r="G46" s="41">
        <f>D46+F46</f>
        <v/>
      </c>
      <c r="K46" s="41">
        <f>SUMIF($B$4:$B$999999,J46,$D$4:$D$999999)</f>
        <v/>
      </c>
      <c r="L46" s="41">
        <f>SUMIF($B$4:$B$999999,J46,$F$4:$F$999999)</f>
        <v/>
      </c>
      <c r="M46" s="41">
        <f>SUMIF($B$4:$B$999999,J46,$G$4:$G$999999)</f>
        <v/>
      </c>
    </row>
    <row r="47">
      <c r="B47" s="8" t="inlineStr">
        <is>
          <t>I LOVE POTATO</t>
        </is>
      </c>
      <c r="C47" s="8" t="n">
        <v>680</v>
      </c>
      <c r="D47" s="41" t="n">
        <v>67.25</v>
      </c>
      <c r="E47" s="10" t="n">
        <v>0.04</v>
      </c>
      <c r="F47" s="41">
        <f>D47*E47</f>
        <v/>
      </c>
      <c r="G47" s="41">
        <f>D47+F47</f>
        <v/>
      </c>
      <c r="K47" s="41">
        <f>SUMIF($B$4:$B$999999,J47,$D$4:$D$999999)</f>
        <v/>
      </c>
      <c r="L47" s="41">
        <f>SUMIF($B$4:$B$999999,J47,$F$4:$F$999999)</f>
        <v/>
      </c>
      <c r="M47" s="41">
        <f>SUMIF($B$4:$B$999999,J47,$G$4:$G$999999)</f>
        <v/>
      </c>
    </row>
    <row r="48" hidden="1">
      <c r="B48" s="8" t="inlineStr">
        <is>
          <t>I LOVE POTATO</t>
        </is>
      </c>
      <c r="C48" s="8" t="n">
        <v>689</v>
      </c>
      <c r="D48" s="41" t="n">
        <v>44</v>
      </c>
      <c r="E48" s="10" t="n">
        <v>0.04</v>
      </c>
      <c r="F48" s="41">
        <f>D48*E48</f>
        <v/>
      </c>
      <c r="G48" s="41">
        <f>D48+F48</f>
        <v/>
      </c>
      <c r="K48" s="41">
        <f>SUMIF($B$4:$B$999999,J48,$D$4:$D$999999)</f>
        <v/>
      </c>
      <c r="L48" s="41">
        <f>SUMIF($B$4:$B$999999,J48,$F$4:$F$999999)</f>
        <v/>
      </c>
      <c r="M48" s="41">
        <f>SUMIF($B$4:$B$999999,J48,$G$4:$G$999999)</f>
        <v/>
      </c>
    </row>
    <row r="49" hidden="1">
      <c r="B49" s="8" t="inlineStr">
        <is>
          <t>I LOVE POTATO</t>
        </is>
      </c>
      <c r="C49" s="8" t="n">
        <v>696</v>
      </c>
      <c r="D49" s="41" t="n">
        <v>48.4</v>
      </c>
      <c r="E49" s="10" t="n">
        <v>0.04</v>
      </c>
      <c r="F49" s="41">
        <f>D49*E49</f>
        <v/>
      </c>
      <c r="G49" s="41">
        <f>D49+F49</f>
        <v/>
      </c>
      <c r="K49" s="41">
        <f>SUMIF($B$4:$B$999999,J49,$D$4:$D$999999)</f>
        <v/>
      </c>
      <c r="L49" s="41">
        <f>SUMIF($B$4:$B$999999,J49,$F$4:$F$999999)</f>
        <v/>
      </c>
      <c r="M49" s="41">
        <f>SUMIF($B$4:$B$999999,J49,$G$4:$G$999999)</f>
        <v/>
      </c>
    </row>
    <row r="50" hidden="1">
      <c r="B50" s="8" t="inlineStr">
        <is>
          <t>I LOVE POTATO</t>
        </is>
      </c>
      <c r="C50" s="8" t="n">
        <v>709</v>
      </c>
      <c r="D50" s="41" t="n">
        <v>22</v>
      </c>
      <c r="E50" s="10" t="n">
        <v>0.04</v>
      </c>
      <c r="F50" s="41">
        <f>D50*E50</f>
        <v/>
      </c>
      <c r="G50" s="41">
        <f>D50+F50</f>
        <v/>
      </c>
      <c r="K50" s="41">
        <f>SUMIF($B$4:$B$999999,J50,$D$4:$D$999999)</f>
        <v/>
      </c>
      <c r="L50" s="41">
        <f>SUMIF($B$4:$B$999999,J50,$F$4:$F$999999)</f>
        <v/>
      </c>
      <c r="M50" s="41">
        <f>SUMIF($B$4:$B$999999,J50,$G$4:$G$999999)</f>
        <v/>
      </c>
    </row>
    <row r="51" hidden="1">
      <c r="B51" s="8" t="inlineStr">
        <is>
          <t>I LOVE POTATO</t>
        </is>
      </c>
      <c r="C51" s="8" t="n">
        <v>729</v>
      </c>
      <c r="D51" s="41" t="n">
        <v>44</v>
      </c>
      <c r="E51" s="10" t="n">
        <v>0.04</v>
      </c>
      <c r="F51" s="41">
        <f>D51*E51</f>
        <v/>
      </c>
      <c r="G51" s="41">
        <f>D51+F51</f>
        <v/>
      </c>
    </row>
    <row r="52" hidden="1">
      <c r="B52" s="8" t="inlineStr">
        <is>
          <t>I LOVE POTATO</t>
        </is>
      </c>
      <c r="C52" s="8" t="n">
        <v>737</v>
      </c>
      <c r="D52" s="41" t="n">
        <v>66</v>
      </c>
      <c r="E52" s="10" t="n">
        <v>0.04</v>
      </c>
      <c r="F52" s="41">
        <f>D52*E52</f>
        <v/>
      </c>
      <c r="G52" s="41">
        <f>D52+F52</f>
        <v/>
      </c>
    </row>
    <row r="53" hidden="1">
      <c r="B53" s="8" t="inlineStr">
        <is>
          <t>JC MACKINTOSH</t>
        </is>
      </c>
      <c r="C53" s="8" t="inlineStr">
        <is>
          <t>A3774</t>
        </is>
      </c>
      <c r="D53" s="41" t="n">
        <v>501</v>
      </c>
      <c r="E53" s="10" t="n">
        <v>0.1</v>
      </c>
      <c r="F53" s="41">
        <f>D53*E53</f>
        <v/>
      </c>
      <c r="G53" s="41">
        <f>D53+F53</f>
        <v/>
      </c>
    </row>
    <row r="54" hidden="1">
      <c r="B54" s="8" t="inlineStr">
        <is>
          <t>JC MACKINTOSH</t>
        </is>
      </c>
      <c r="C54" s="8" t="inlineStr">
        <is>
          <t>A3774</t>
        </is>
      </c>
      <c r="D54" s="41" t="n">
        <v>15</v>
      </c>
      <c r="E54" s="10" t="n">
        <v>0.21</v>
      </c>
      <c r="F54" s="41">
        <f>D54*E54</f>
        <v/>
      </c>
      <c r="G54" s="41">
        <f>D54+F54</f>
        <v/>
      </c>
    </row>
    <row r="55" hidden="1">
      <c r="B55" s="8" t="inlineStr">
        <is>
          <t>MAGOASE</t>
        </is>
      </c>
      <c r="C55" s="8" t="n">
        <v>19624</v>
      </c>
      <c r="D55" s="41" t="n">
        <v>91.90000000000001</v>
      </c>
      <c r="E55" s="10" t="n">
        <v>0.1</v>
      </c>
      <c r="F55" s="41">
        <f>D55*E55</f>
        <v/>
      </c>
      <c r="G55" s="41">
        <f>D55+F55</f>
        <v/>
      </c>
    </row>
    <row r="56" hidden="1">
      <c r="B56" s="8" t="inlineStr">
        <is>
          <t>MAGOASE</t>
        </is>
      </c>
      <c r="C56" s="8" t="n">
        <v>19624</v>
      </c>
      <c r="D56" s="41" t="n">
        <v>224.55</v>
      </c>
      <c r="E56" s="10" t="n">
        <v>0.04</v>
      </c>
      <c r="F56" s="41">
        <f>D56*E56</f>
        <v/>
      </c>
      <c r="G56" s="41">
        <f>D56+F56</f>
        <v/>
      </c>
    </row>
    <row r="57" hidden="1">
      <c r="B57" s="8" t="inlineStr">
        <is>
          <t>MAGOASE</t>
        </is>
      </c>
      <c r="C57" s="8" t="n">
        <v>20748</v>
      </c>
      <c r="D57" s="41" t="n">
        <v>44.95</v>
      </c>
      <c r="E57" s="10" t="n">
        <v>0.1</v>
      </c>
      <c r="F57" s="41">
        <f>D57*E57</f>
        <v/>
      </c>
      <c r="G57" s="41">
        <f>D57+F57</f>
        <v/>
      </c>
    </row>
    <row r="58" hidden="1">
      <c r="B58" s="8" t="inlineStr">
        <is>
          <t>MAGOASE</t>
        </is>
      </c>
      <c r="C58" s="8" t="n">
        <v>20748</v>
      </c>
      <c r="D58" s="41" t="n">
        <v>262.95</v>
      </c>
      <c r="E58" s="10" t="n">
        <v>0.04</v>
      </c>
      <c r="F58" s="41">
        <f>D58*E58</f>
        <v/>
      </c>
      <c r="G58" s="41">
        <f>D58+F58</f>
        <v/>
      </c>
    </row>
    <row r="59" hidden="1">
      <c r="B59" s="8" t="inlineStr">
        <is>
          <t>MAGOASE</t>
        </is>
      </c>
      <c r="C59" s="8" t="n">
        <v>21111</v>
      </c>
      <c r="D59" s="41" t="n">
        <v>44.95</v>
      </c>
      <c r="E59" s="10" t="n">
        <v>0.1</v>
      </c>
      <c r="F59" s="41">
        <f>D59*E59</f>
        <v/>
      </c>
      <c r="G59" s="41">
        <f>D59+F59</f>
        <v/>
      </c>
    </row>
    <row r="60" hidden="1">
      <c r="B60" s="8" t="inlineStr">
        <is>
          <t>MAGOASE</t>
        </is>
      </c>
      <c r="C60" s="8" t="n">
        <v>21111</v>
      </c>
      <c r="D60" s="41" t="n">
        <v>143.7</v>
      </c>
      <c r="E60" s="10" t="n">
        <v>0.04</v>
      </c>
      <c r="F60" s="41">
        <f>D60*E60</f>
        <v/>
      </c>
      <c r="G60" s="41">
        <f>D60+F60</f>
        <v/>
      </c>
    </row>
    <row r="61" hidden="1">
      <c r="B61" s="8" t="inlineStr">
        <is>
          <t>MAGOASE</t>
        </is>
      </c>
      <c r="C61" s="8" t="n">
        <v>21604</v>
      </c>
      <c r="D61" s="41" t="n">
        <v>45.95</v>
      </c>
      <c r="E61" s="10" t="n">
        <v>0.1</v>
      </c>
      <c r="F61" s="41">
        <f>D61*E61</f>
        <v/>
      </c>
      <c r="G61" s="41">
        <f>D61+F61</f>
        <v/>
      </c>
    </row>
    <row r="62" hidden="1">
      <c r="B62" s="8" t="inlineStr">
        <is>
          <t>MAGOASE</t>
        </is>
      </c>
      <c r="C62" s="8" t="n">
        <v>21604</v>
      </c>
      <c r="D62" s="41" t="n">
        <v>71.84999999999999</v>
      </c>
      <c r="E62" s="10" t="n">
        <v>0.04</v>
      </c>
      <c r="F62" s="41">
        <f>D62*E62</f>
        <v/>
      </c>
      <c r="G62" s="41">
        <f>D62+F62</f>
        <v/>
      </c>
    </row>
    <row r="63" hidden="1">
      <c r="B63" s="8" t="inlineStr">
        <is>
          <t>MUNDELA</t>
        </is>
      </c>
      <c r="C63" s="8" t="inlineStr">
        <is>
          <t>FM 2789</t>
        </is>
      </c>
      <c r="D63" s="41" t="n">
        <v>1306.8</v>
      </c>
      <c r="E63" s="10" t="n">
        <v>0.21</v>
      </c>
      <c r="F63" s="41">
        <f>D63*E63</f>
        <v/>
      </c>
      <c r="G63" s="41">
        <f>D63+F63</f>
        <v/>
      </c>
    </row>
    <row r="64" hidden="1">
      <c r="B64" s="8" t="inlineStr">
        <is>
          <t>MUNDELA</t>
        </is>
      </c>
      <c r="C64" s="8" t="inlineStr">
        <is>
          <t>FM 2789</t>
        </is>
      </c>
      <c r="D64" s="41" t="n">
        <v>65.28</v>
      </c>
      <c r="E64" s="10" t="n">
        <v>0.1</v>
      </c>
      <c r="F64" s="41">
        <f>D64*E64</f>
        <v/>
      </c>
      <c r="G64" s="41">
        <f>D64+F64</f>
        <v/>
      </c>
    </row>
    <row r="65" hidden="1">
      <c r="B65" s="8" t="inlineStr">
        <is>
          <t>MUNDELA</t>
        </is>
      </c>
      <c r="C65" s="8" t="inlineStr">
        <is>
          <t>FM 2940</t>
        </is>
      </c>
      <c r="D65" s="41" t="n">
        <v>337.8</v>
      </c>
      <c r="E65" s="10" t="n">
        <v>0.21</v>
      </c>
      <c r="F65" s="41">
        <f>D65*E65</f>
        <v/>
      </c>
      <c r="G65" s="41">
        <f>D65+F65</f>
        <v/>
      </c>
    </row>
    <row r="66" hidden="1">
      <c r="B66" s="8" t="inlineStr">
        <is>
          <t>MUNDELA</t>
        </is>
      </c>
      <c r="C66" s="8" t="inlineStr">
        <is>
          <t>FM 2902</t>
        </is>
      </c>
      <c r="D66" s="41" t="n">
        <v>210.66</v>
      </c>
      <c r="E66" s="10" t="n">
        <v>0.21</v>
      </c>
      <c r="F66" s="41">
        <f>D66*E66</f>
        <v/>
      </c>
      <c r="G66" s="41">
        <f>D66+F66</f>
        <v/>
      </c>
    </row>
    <row r="67" hidden="1">
      <c r="B67" s="8" t="inlineStr">
        <is>
          <t>ROMERO ALVAREZ</t>
        </is>
      </c>
      <c r="C67" s="8" t="inlineStr">
        <is>
          <t>SEC 3</t>
        </is>
      </c>
      <c r="D67" s="41" t="n">
        <v>263.59</v>
      </c>
      <c r="E67" s="10" t="n">
        <v>0.1</v>
      </c>
      <c r="F67" s="41">
        <f>D67*E67</f>
        <v/>
      </c>
      <c r="G67" s="41">
        <f>D67+F67</f>
        <v/>
      </c>
    </row>
    <row r="68" hidden="1">
      <c r="B68" s="8" t="inlineStr">
        <is>
          <t>ROMERO ALVAREZ</t>
        </is>
      </c>
      <c r="C68" s="8" t="inlineStr">
        <is>
          <t>SEC 270</t>
        </is>
      </c>
      <c r="D68" s="41" t="n">
        <v>390.6</v>
      </c>
      <c r="E68" s="10" t="n">
        <v>0.1</v>
      </c>
      <c r="F68" s="41">
        <f>D68*E68</f>
        <v/>
      </c>
      <c r="G68" s="41">
        <f>D68+F68</f>
        <v/>
      </c>
    </row>
    <row r="69" hidden="1">
      <c r="B69" s="8" t="inlineStr">
        <is>
          <t>SUBMARINER</t>
        </is>
      </c>
      <c r="C69" s="8" t="inlineStr">
        <is>
          <t>SF 8750</t>
        </is>
      </c>
      <c r="D69" s="41" t="n">
        <v>225.69</v>
      </c>
      <c r="E69" s="10" t="n">
        <v>0.21</v>
      </c>
      <c r="F69" s="41">
        <f>D69*E69</f>
        <v/>
      </c>
      <c r="G69" s="41">
        <f>D69+F69</f>
        <v/>
      </c>
    </row>
    <row r="70" hidden="1">
      <c r="B70" s="8" t="inlineStr">
        <is>
          <t>SUBMARINER</t>
        </is>
      </c>
      <c r="C70" s="8" t="inlineStr">
        <is>
          <t>SF 8939</t>
        </is>
      </c>
      <c r="D70" s="41" t="n">
        <v>487.25</v>
      </c>
      <c r="E70" s="10" t="n">
        <v>0.21</v>
      </c>
      <c r="F70" s="41">
        <f>D70*E70</f>
        <v/>
      </c>
      <c r="G70" s="41">
        <f>D70+F70</f>
        <v/>
      </c>
    </row>
    <row r="71" hidden="1">
      <c r="B71" s="8" t="inlineStr">
        <is>
          <t>CRNAS SERVAN</t>
        </is>
      </c>
      <c r="C71" s="8" t="inlineStr">
        <is>
          <t>A2608-0010</t>
        </is>
      </c>
      <c r="D71" s="41" t="n">
        <v>45</v>
      </c>
      <c r="E71" s="10" t="n">
        <v>0.1</v>
      </c>
      <c r="F71" s="41">
        <f>D71*E71</f>
        <v/>
      </c>
      <c r="G71" s="41">
        <f>D71+F71</f>
        <v/>
      </c>
    </row>
    <row r="72" hidden="1">
      <c r="B72" s="8" t="inlineStr">
        <is>
          <t>CRNAS SERVAN</t>
        </is>
      </c>
      <c r="C72" s="8" t="inlineStr">
        <is>
          <t>A2608-0213</t>
        </is>
      </c>
      <c r="D72" s="41" t="n">
        <v>285.02</v>
      </c>
      <c r="E72" s="10" t="n">
        <v>0.1</v>
      </c>
      <c r="F72" s="41">
        <f>D72*E72</f>
        <v/>
      </c>
      <c r="G72" s="41">
        <f>D72+F72</f>
        <v/>
      </c>
    </row>
    <row r="73" hidden="1">
      <c r="B73" s="8" t="inlineStr">
        <is>
          <t>CRNAS SERVAN</t>
        </is>
      </c>
      <c r="C73" s="8" t="inlineStr">
        <is>
          <t>A2608-0233</t>
        </is>
      </c>
      <c r="D73" s="41" t="n">
        <v>111.68</v>
      </c>
      <c r="E73" s="10" t="n">
        <v>0.1</v>
      </c>
      <c r="F73" s="41">
        <f>D73*E73</f>
        <v/>
      </c>
      <c r="G73" s="41">
        <f>D73+F73</f>
        <v/>
      </c>
    </row>
    <row r="74" hidden="1">
      <c r="B74" s="8" t="inlineStr">
        <is>
          <t>CRNAS SERVAN</t>
        </is>
      </c>
      <c r="C74" s="8" t="inlineStr">
        <is>
          <t>A2608-0257</t>
        </is>
      </c>
      <c r="D74" s="41" t="n">
        <v>27.28</v>
      </c>
      <c r="E74" s="10" t="n">
        <v>0.1</v>
      </c>
      <c r="F74" s="41">
        <f>D74*E74</f>
        <v/>
      </c>
      <c r="G74" s="41">
        <f>D74+F74</f>
        <v/>
      </c>
    </row>
    <row r="75" hidden="1">
      <c r="B75" s="8" t="inlineStr">
        <is>
          <t>CRNAS SERVAN</t>
        </is>
      </c>
      <c r="C75" s="8" t="inlineStr">
        <is>
          <t>A2608-0274</t>
        </is>
      </c>
      <c r="D75" s="41" t="n">
        <v>67.31999999999999</v>
      </c>
      <c r="E75" s="10" t="n">
        <v>0.1</v>
      </c>
      <c r="F75" s="41">
        <f>D75*E75</f>
        <v/>
      </c>
      <c r="G75" s="41">
        <f>D75+F75</f>
        <v/>
      </c>
    </row>
    <row r="76" hidden="1">
      <c r="B76" s="8" t="inlineStr">
        <is>
          <t>CRNAS SERVAN</t>
        </is>
      </c>
      <c r="C76" s="8" t="inlineStr">
        <is>
          <t>A2608-0327</t>
        </is>
      </c>
      <c r="D76" s="41" t="n">
        <v>45</v>
      </c>
      <c r="E76" s="10" t="n">
        <v>0.1</v>
      </c>
      <c r="F76" s="41">
        <f>D76*E76</f>
        <v/>
      </c>
      <c r="G76" s="41">
        <f>D76+F76</f>
        <v/>
      </c>
    </row>
    <row r="77" hidden="1">
      <c r="B77" s="8" t="inlineStr">
        <is>
          <t>CRNAS SERVAN</t>
        </is>
      </c>
      <c r="C77" s="8" t="inlineStr">
        <is>
          <t>A2608-0351</t>
        </is>
      </c>
      <c r="D77" s="41" t="n">
        <v>104.84</v>
      </c>
      <c r="E77" s="10" t="n">
        <v>0.1</v>
      </c>
      <c r="F77" s="41">
        <f>D77*E77</f>
        <v/>
      </c>
      <c r="G77" s="41">
        <f>D77+F77</f>
        <v/>
      </c>
    </row>
    <row r="78" hidden="1">
      <c r="B78" s="8" t="inlineStr">
        <is>
          <t>CRNAS SERVAN</t>
        </is>
      </c>
      <c r="C78" s="8" t="inlineStr">
        <is>
          <t>A2608-0356</t>
        </is>
      </c>
      <c r="D78" s="41" t="n">
        <v>60.72</v>
      </c>
      <c r="E78" s="10" t="n">
        <v>0.1</v>
      </c>
      <c r="F78" s="41">
        <f>D78*E78</f>
        <v/>
      </c>
      <c r="G78" s="41">
        <f>D78+F78</f>
        <v/>
      </c>
    </row>
    <row r="79" hidden="1">
      <c r="B79" s="8" t="inlineStr">
        <is>
          <t>CRNAS SERVAN</t>
        </is>
      </c>
      <c r="C79" s="8" t="inlineStr">
        <is>
          <t>A2608-0379</t>
        </is>
      </c>
      <c r="D79" s="41" t="n">
        <v>143.42</v>
      </c>
      <c r="E79" s="10" t="n">
        <v>0.1</v>
      </c>
      <c r="F79" s="41">
        <f>D79*E79</f>
        <v/>
      </c>
      <c r="G79" s="41">
        <f>D79+F79</f>
        <v/>
      </c>
    </row>
    <row r="80" hidden="1">
      <c r="B80" s="8" t="inlineStr">
        <is>
          <t>CRUSTAPESCA</t>
        </is>
      </c>
      <c r="C80" s="8" t="n">
        <v>5081</v>
      </c>
      <c r="D80" s="41" t="n">
        <v>78</v>
      </c>
      <c r="E80" s="10" t="n">
        <v>0.1</v>
      </c>
      <c r="F80" s="41">
        <f>D80*E80</f>
        <v/>
      </c>
      <c r="G80" s="41">
        <f>D80+F80</f>
        <v/>
      </c>
    </row>
    <row r="81" hidden="1">
      <c r="B81" s="8" t="inlineStr">
        <is>
          <t>CRUSTAPESCA</t>
        </is>
      </c>
      <c r="C81" s="8" t="n">
        <v>6083</v>
      </c>
      <c r="D81" s="41" t="n">
        <v>78</v>
      </c>
      <c r="E81" s="10" t="n">
        <v>0.1</v>
      </c>
      <c r="F81" s="41">
        <f>D81*E81</f>
        <v/>
      </c>
      <c r="G81" s="41">
        <f>D81+F81</f>
        <v/>
      </c>
    </row>
    <row r="82" hidden="1">
      <c r="B82" s="8" t="inlineStr">
        <is>
          <t>CRUSTAPESCA</t>
        </is>
      </c>
      <c r="C82" s="8" t="n">
        <v>18086</v>
      </c>
      <c r="D82" s="41" t="n">
        <v>78</v>
      </c>
      <c r="E82" s="10" t="n">
        <v>0.1</v>
      </c>
      <c r="F82" s="41">
        <f>D82*E82</f>
        <v/>
      </c>
      <c r="G82" s="41">
        <f>D82+F82</f>
        <v/>
      </c>
    </row>
    <row r="83" hidden="1">
      <c r="B83" s="8" t="inlineStr">
        <is>
          <t>CRUSTAPESCA</t>
        </is>
      </c>
      <c r="C83" s="8" t="n">
        <v>19083</v>
      </c>
      <c r="D83" s="41" t="n">
        <v>78</v>
      </c>
      <c r="E83" s="10" t="n">
        <v>0.1</v>
      </c>
      <c r="F83" s="41">
        <f>D83*E83</f>
        <v/>
      </c>
      <c r="G83" s="41">
        <f>D83+F83</f>
        <v/>
      </c>
    </row>
    <row r="84" hidden="1">
      <c r="B84" s="8" t="inlineStr">
        <is>
          <t>CRUSTAPESCA</t>
        </is>
      </c>
      <c r="C84" s="8" t="inlineStr">
        <is>
          <t>S/N 22-08</t>
        </is>
      </c>
      <c r="D84" s="41" t="n">
        <v>168</v>
      </c>
      <c r="E84" s="10" t="n">
        <v>0.1</v>
      </c>
      <c r="F84" s="41">
        <f>D84*E84</f>
        <v/>
      </c>
      <c r="G84" s="41">
        <f>D84+F84</f>
        <v/>
      </c>
    </row>
    <row r="85" hidden="1">
      <c r="B85" s="8" t="inlineStr">
        <is>
          <t>CRUSTAPESCA</t>
        </is>
      </c>
      <c r="C85" s="8" t="n">
        <v>25085</v>
      </c>
      <c r="D85" s="41" t="n">
        <v>78</v>
      </c>
      <c r="E85" s="10" t="n">
        <v>0.1</v>
      </c>
      <c r="F85" s="41">
        <f>D85*E85</f>
        <v/>
      </c>
      <c r="G85" s="41">
        <f>D85+F85</f>
        <v/>
      </c>
    </row>
    <row r="86" hidden="1">
      <c r="B86" s="8" t="inlineStr">
        <is>
          <t>CRUSTAPESCA</t>
        </is>
      </c>
      <c r="C86" s="8" t="n">
        <v>29082</v>
      </c>
      <c r="D86" s="41" t="n">
        <v>246</v>
      </c>
      <c r="E86" s="10" t="n">
        <v>0.1</v>
      </c>
      <c r="F86" s="41">
        <f>D86*E86</f>
        <v/>
      </c>
      <c r="G86" s="41">
        <f>D86+F86</f>
        <v/>
      </c>
    </row>
    <row r="87" hidden="1">
      <c r="B87" s="8" t="inlineStr">
        <is>
          <t>DISOLTRIGO</t>
        </is>
      </c>
      <c r="C87" s="8" t="n">
        <v>135823</v>
      </c>
      <c r="D87" s="41" t="n">
        <v>83</v>
      </c>
      <c r="E87" s="10" t="n">
        <v>0.1</v>
      </c>
      <c r="F87" s="41">
        <f>D87*E87</f>
        <v/>
      </c>
      <c r="G87" s="41">
        <f>D87+F87</f>
        <v/>
      </c>
    </row>
    <row r="88" hidden="1">
      <c r="B88" s="8" t="inlineStr">
        <is>
          <t>DISOLTRIGO</t>
        </is>
      </c>
      <c r="C88" s="8" t="n">
        <v>136005</v>
      </c>
      <c r="D88" s="41" t="n">
        <v>235</v>
      </c>
      <c r="E88" s="10" t="n">
        <v>0.1</v>
      </c>
      <c r="F88" s="41">
        <f>D88*E88</f>
        <v/>
      </c>
      <c r="G88" s="41">
        <f>D88+F88</f>
        <v/>
      </c>
    </row>
    <row r="89" hidden="1">
      <c r="B89" s="8" t="inlineStr">
        <is>
          <t>EL ESCRIBANO</t>
        </is>
      </c>
      <c r="C89" s="8" t="inlineStr">
        <is>
          <t>0613</t>
        </is>
      </c>
      <c r="D89" s="41" t="n">
        <v>84.48</v>
      </c>
      <c r="E89" s="10" t="n">
        <v>0.1</v>
      </c>
      <c r="F89" s="41">
        <f>D89*E89</f>
        <v/>
      </c>
      <c r="G89" s="41">
        <f>D89+F89</f>
        <v/>
      </c>
    </row>
    <row r="90" hidden="1">
      <c r="B90" s="8" t="inlineStr">
        <is>
          <t>ENRIQUE CAMPS</t>
        </is>
      </c>
      <c r="C90" s="8" t="inlineStr">
        <is>
          <t>A26/2164</t>
        </is>
      </c>
      <c r="D90" s="41" t="n">
        <v>216</v>
      </c>
      <c r="E90" s="10" t="n">
        <v>0.1</v>
      </c>
      <c r="F90" s="41">
        <f>D90*E90</f>
        <v/>
      </c>
      <c r="G90" s="41">
        <f>D90+F90</f>
        <v/>
      </c>
    </row>
    <row r="91" hidden="1">
      <c r="B91" s="8" t="inlineStr">
        <is>
          <t>ENRIQUE CAMPS</t>
        </is>
      </c>
      <c r="C91" s="8" t="inlineStr">
        <is>
          <t>A26/2116</t>
        </is>
      </c>
      <c r="D91" s="41" t="n">
        <v>216</v>
      </c>
      <c r="E91" s="10" t="n">
        <v>0.1</v>
      </c>
      <c r="F91" s="41">
        <f>D91*E91</f>
        <v/>
      </c>
      <c r="G91" s="41">
        <f>D91+F91</f>
        <v/>
      </c>
    </row>
    <row r="92" hidden="1">
      <c r="B92" s="8" t="inlineStr">
        <is>
          <t>TOMATERIA CEA</t>
        </is>
      </c>
      <c r="C92" s="63" t="n">
        <v>46235</v>
      </c>
      <c r="D92" s="41" t="n">
        <v>66.15000000000001</v>
      </c>
      <c r="E92" s="10" t="n">
        <v>0.04</v>
      </c>
      <c r="F92" s="41">
        <f>D92*E92</f>
        <v/>
      </c>
      <c r="G92" s="41">
        <f>D92+F92</f>
        <v/>
      </c>
    </row>
    <row r="93" hidden="1">
      <c r="B93" s="8" t="inlineStr">
        <is>
          <t>TOMATERIA CEA</t>
        </is>
      </c>
      <c r="C93" s="63" t="n">
        <v>46239</v>
      </c>
      <c r="D93" s="41" t="n">
        <v>48.51</v>
      </c>
      <c r="E93" s="10" t="n">
        <v>0.04</v>
      </c>
      <c r="F93" s="41">
        <f>D93*E93</f>
        <v/>
      </c>
      <c r="G93" s="41">
        <f>D93+F93</f>
        <v/>
      </c>
    </row>
    <row r="94" hidden="1">
      <c r="B94" s="8" t="inlineStr">
        <is>
          <t>TOMATERIA CEA</t>
        </is>
      </c>
      <c r="C94" s="63" t="n">
        <v>46252</v>
      </c>
      <c r="D94" s="41" t="n">
        <v>53.04</v>
      </c>
      <c r="E94" s="10" t="n">
        <v>0.04</v>
      </c>
      <c r="F94" s="41">
        <f>D94*E94</f>
        <v/>
      </c>
      <c r="G94" s="41">
        <f>D94+F94</f>
        <v/>
      </c>
    </row>
    <row r="95" hidden="1">
      <c r="B95" s="8" t="inlineStr">
        <is>
          <t>TOMATERIA CEA</t>
        </is>
      </c>
      <c r="C95" s="63" t="n">
        <v>46258</v>
      </c>
      <c r="D95" s="41" t="n">
        <v>20.35</v>
      </c>
      <c r="E95" s="10" t="n">
        <v>0.04</v>
      </c>
      <c r="F95" s="41">
        <f>D95*E95</f>
        <v/>
      </c>
      <c r="G95" s="41">
        <f>D95+F95</f>
        <v/>
      </c>
    </row>
    <row r="96" hidden="1">
      <c r="B96" s="8" t="inlineStr">
        <is>
          <t>TOMATERIA CEA</t>
        </is>
      </c>
      <c r="C96" s="63" t="n">
        <v>46259</v>
      </c>
      <c r="D96" s="41" t="n">
        <v>52</v>
      </c>
      <c r="E96" s="10" t="n">
        <v>0.04</v>
      </c>
      <c r="F96" s="41">
        <f>D96*E96</f>
        <v/>
      </c>
      <c r="G96" s="41">
        <f>D96+F96</f>
        <v/>
      </c>
    </row>
    <row r="97" hidden="1">
      <c r="B97" s="8" t="inlineStr">
        <is>
          <t>TOMATERIA CEA</t>
        </is>
      </c>
      <c r="C97" s="63" t="n">
        <v>46261</v>
      </c>
      <c r="D97" s="41" t="n">
        <v>39</v>
      </c>
      <c r="E97" s="10" t="n">
        <v>0.04</v>
      </c>
      <c r="F97" s="41">
        <f>D97*E97</f>
        <v/>
      </c>
      <c r="G97" s="41">
        <f>D97+F97</f>
        <v/>
      </c>
    </row>
    <row r="98" hidden="1">
      <c r="B98" s="8" t="inlineStr">
        <is>
          <t>TOMATERIA CEA</t>
        </is>
      </c>
      <c r="C98" s="63" t="n">
        <v>46263</v>
      </c>
      <c r="D98" s="41" t="n">
        <v>40.95</v>
      </c>
      <c r="E98" s="10" t="n">
        <v>0.04</v>
      </c>
      <c r="F98" s="41">
        <f>D98*E98</f>
        <v/>
      </c>
      <c r="G98" s="41">
        <f>D98+F98</f>
        <v/>
      </c>
    </row>
    <row r="99" hidden="1">
      <c r="B99" s="8" t="inlineStr">
        <is>
          <t>PEÑALASTALLAS</t>
        </is>
      </c>
      <c r="C99" s="8" t="n">
        <v>12129</v>
      </c>
      <c r="D99" s="41" t="n">
        <v>48.42</v>
      </c>
      <c r="E99" s="10" t="n">
        <v>0.1</v>
      </c>
      <c r="F99" s="41">
        <f>D99*E99</f>
        <v/>
      </c>
      <c r="G99" s="41">
        <f>D99+F99</f>
        <v/>
      </c>
    </row>
    <row r="100" hidden="1">
      <c r="B100" s="8" t="inlineStr">
        <is>
          <t>PEÑALASTALLAS</t>
        </is>
      </c>
      <c r="C100" s="8" t="n">
        <v>12269</v>
      </c>
      <c r="D100" s="41" t="n">
        <v>228.93</v>
      </c>
      <c r="E100" s="10" t="n">
        <v>0.1</v>
      </c>
      <c r="F100" s="41">
        <f>D100*E100</f>
        <v/>
      </c>
      <c r="G100" s="41">
        <f>D100+F100</f>
        <v/>
      </c>
    </row>
    <row r="101" hidden="1">
      <c r="B101" s="8" t="inlineStr">
        <is>
          <t>PEÑALASTALLAS</t>
        </is>
      </c>
      <c r="C101" s="8" t="n">
        <v>12312</v>
      </c>
      <c r="D101" s="41" t="n">
        <v>209.59</v>
      </c>
      <c r="E101" s="10" t="n">
        <v>0.1</v>
      </c>
      <c r="F101" s="41">
        <f>D101*E101</f>
        <v/>
      </c>
      <c r="G101" s="41">
        <f>D101+F101</f>
        <v/>
      </c>
    </row>
    <row r="102" hidden="1">
      <c r="B102" s="8" t="inlineStr">
        <is>
          <t>PEÑALASTALLAS</t>
        </is>
      </c>
      <c r="C102" s="8" t="n">
        <v>12339</v>
      </c>
      <c r="D102" s="41" t="n">
        <v>32.75</v>
      </c>
      <c r="E102" s="10" t="n">
        <v>0.1</v>
      </c>
      <c r="F102" s="41">
        <f>D102*E102</f>
        <v/>
      </c>
      <c r="G102" s="41">
        <f>D102+F102</f>
        <v/>
      </c>
    </row>
    <row r="103" hidden="1">
      <c r="B103" s="8" t="inlineStr">
        <is>
          <t>PESCADERIA PALACIO</t>
        </is>
      </c>
      <c r="C103" s="8" t="n">
        <v>143228</v>
      </c>
      <c r="D103" s="41" t="n">
        <v>192</v>
      </c>
      <c r="E103" s="10" t="n">
        <v>0.1</v>
      </c>
      <c r="F103" s="41">
        <f>D103*E103</f>
        <v/>
      </c>
      <c r="G103" s="41">
        <f>D103+F103</f>
        <v/>
      </c>
    </row>
    <row r="104">
      <c r="B104" s="8" t="inlineStr">
        <is>
          <t>PESCADERIA PALACIO</t>
        </is>
      </c>
      <c r="C104" s="8" t="n">
        <v>143673</v>
      </c>
      <c r="D104" s="41" t="n">
        <v>177.6</v>
      </c>
      <c r="E104" s="10" t="n">
        <v>0.1</v>
      </c>
      <c r="F104" s="41">
        <f>D104*E104</f>
        <v/>
      </c>
      <c r="G104" s="41">
        <f>D104+F104</f>
        <v/>
      </c>
    </row>
    <row r="105">
      <c r="B105" s="8" t="inlineStr">
        <is>
          <t>PESCARUM</t>
        </is>
      </c>
      <c r="C105" s="63" t="n">
        <v>46235</v>
      </c>
      <c r="D105" s="41" t="n">
        <v>132.8</v>
      </c>
      <c r="E105" s="10" t="n">
        <v>0.1</v>
      </c>
      <c r="F105" s="41">
        <f>D105*E105</f>
        <v/>
      </c>
      <c r="G105" s="41">
        <f>D105+F105</f>
        <v/>
      </c>
    </row>
    <row r="106">
      <c r="B106" s="8" t="inlineStr">
        <is>
          <t>PESCARUM</t>
        </is>
      </c>
      <c r="C106" s="63" t="n">
        <v>46238</v>
      </c>
      <c r="D106" s="41" t="n">
        <v>922.87</v>
      </c>
      <c r="E106" s="10" t="n">
        <v>0.1</v>
      </c>
      <c r="F106" s="41">
        <f>D106*E106</f>
        <v/>
      </c>
      <c r="G106" s="41">
        <f>D106+F106</f>
        <v/>
      </c>
    </row>
    <row r="107">
      <c r="B107" s="8" t="inlineStr">
        <is>
          <t>PESCARUM</t>
        </is>
      </c>
      <c r="C107" s="63" t="n">
        <v>46240</v>
      </c>
      <c r="D107" s="41" t="n">
        <v>352.41</v>
      </c>
      <c r="E107" s="10" t="n">
        <v>0.1</v>
      </c>
      <c r="F107" s="41">
        <f>D107*E107</f>
        <v/>
      </c>
      <c r="G107" s="41">
        <f>D107+F107</f>
        <v/>
      </c>
    </row>
    <row r="108">
      <c r="B108" s="8" t="inlineStr">
        <is>
          <t>PESCARUM</t>
        </is>
      </c>
      <c r="C108" s="63" t="n">
        <v>46241</v>
      </c>
      <c r="D108" s="41" t="n">
        <v>195.8</v>
      </c>
      <c r="E108" s="10" t="n">
        <v>0.1</v>
      </c>
      <c r="F108" s="41">
        <f>D108*E108</f>
        <v/>
      </c>
      <c r="G108" s="41">
        <f>D108+F108</f>
        <v/>
      </c>
    </row>
    <row r="109">
      <c r="B109" s="8" t="inlineStr">
        <is>
          <t>PESCARUM</t>
        </is>
      </c>
      <c r="C109" s="63" t="n">
        <v>46252</v>
      </c>
      <c r="D109" s="41" t="n">
        <v>190.5</v>
      </c>
      <c r="E109" s="10" t="n">
        <v>0.1</v>
      </c>
      <c r="F109" s="41">
        <f>D109*E109</f>
        <v/>
      </c>
      <c r="G109" s="41">
        <f>D109+F109</f>
        <v/>
      </c>
    </row>
    <row r="110">
      <c r="B110" s="8" t="inlineStr">
        <is>
          <t>PESCARUM</t>
        </is>
      </c>
      <c r="C110" s="63" t="n">
        <v>46253</v>
      </c>
      <c r="D110" s="41" t="n">
        <v>602.8099999999999</v>
      </c>
      <c r="E110" s="10" t="n">
        <v>0.1</v>
      </c>
      <c r="F110" s="41">
        <f>D110*E110</f>
        <v/>
      </c>
      <c r="G110" s="41">
        <f>D110+F110</f>
        <v/>
      </c>
    </row>
    <row r="111">
      <c r="B111" s="8" t="inlineStr">
        <is>
          <t>PESCARUM</t>
        </is>
      </c>
      <c r="C111" s="63" t="n">
        <v>46254</v>
      </c>
      <c r="D111" s="41" t="n">
        <v>332</v>
      </c>
      <c r="E111" s="10" t="n">
        <v>0.1</v>
      </c>
      <c r="F111" s="41">
        <f>D111*E111</f>
        <v/>
      </c>
      <c r="G111" s="41">
        <f>D111+F111</f>
        <v/>
      </c>
    </row>
    <row r="112">
      <c r="B112" s="8" t="inlineStr">
        <is>
          <t>PESCARUM</t>
        </is>
      </c>
      <c r="C112" s="63" t="n">
        <v>46256</v>
      </c>
      <c r="D112" s="41" t="n">
        <v>194</v>
      </c>
      <c r="E112" s="10" t="n">
        <v>0.1</v>
      </c>
      <c r="F112" s="41">
        <f>D112*E112</f>
        <v/>
      </c>
      <c r="G112" s="41">
        <f>D112+F112</f>
        <v/>
      </c>
    </row>
    <row r="113">
      <c r="B113" s="8" t="inlineStr">
        <is>
          <t>PESCARUM</t>
        </is>
      </c>
      <c r="C113" s="63" t="n">
        <v>46259</v>
      </c>
      <c r="D113" s="41" t="n">
        <v>451.45</v>
      </c>
      <c r="E113" s="10" t="n">
        <v>0.1</v>
      </c>
      <c r="F113" s="41">
        <f>D113*E113</f>
        <v/>
      </c>
      <c r="G113" s="41">
        <f>D113+F113</f>
        <v/>
      </c>
    </row>
    <row r="114">
      <c r="B114" s="8" t="inlineStr">
        <is>
          <t>PESCARUM</t>
        </is>
      </c>
      <c r="C114" s="63" t="n">
        <v>46260</v>
      </c>
      <c r="D114" s="41" t="n">
        <v>304.77</v>
      </c>
      <c r="E114" s="10" t="n">
        <v>0.1</v>
      </c>
      <c r="F114" s="41">
        <f>D114*E114</f>
        <v/>
      </c>
      <c r="G114" s="41">
        <f>D114+F114</f>
        <v/>
      </c>
    </row>
    <row r="115">
      <c r="B115" s="8" t="inlineStr">
        <is>
          <t>PESCARUM</t>
        </is>
      </c>
      <c r="C115" s="63" t="n">
        <v>46261</v>
      </c>
      <c r="D115" s="41" t="n">
        <v>147.35</v>
      </c>
      <c r="E115" s="10" t="n">
        <v>0.1</v>
      </c>
      <c r="F115" s="41">
        <f>D115*E115</f>
        <v/>
      </c>
      <c r="G115" s="41">
        <f>D115+F115</f>
        <v/>
      </c>
    </row>
    <row r="116">
      <c r="B116" s="8" t="inlineStr">
        <is>
          <t>PESCARUM</t>
        </is>
      </c>
      <c r="C116" s="63" t="n">
        <v>46262</v>
      </c>
      <c r="D116" s="41" t="n">
        <v>457.53</v>
      </c>
      <c r="E116" s="10" t="n">
        <v>0.1</v>
      </c>
      <c r="F116" s="41">
        <f>D116*E116</f>
        <v/>
      </c>
      <c r="G116" s="41">
        <f>D116+F116</f>
        <v/>
      </c>
    </row>
    <row r="117">
      <c r="B117" s="8" t="inlineStr">
        <is>
          <t>PESCARUM</t>
        </is>
      </c>
      <c r="C117" s="63" t="n">
        <v>46263</v>
      </c>
      <c r="D117" s="41" t="n">
        <v>828.6</v>
      </c>
      <c r="E117" s="10" t="n">
        <v>0.1</v>
      </c>
      <c r="F117" s="41">
        <f>D117*E117</f>
        <v/>
      </c>
      <c r="G117" s="41">
        <f>D117+F117</f>
        <v/>
      </c>
    </row>
    <row r="118">
      <c r="B118" s="8" t="inlineStr">
        <is>
          <t>MARTIN CANEDA</t>
        </is>
      </c>
      <c r="C118" s="8" t="n">
        <v>35218</v>
      </c>
      <c r="D118" s="41" t="n">
        <v>13.5</v>
      </c>
      <c r="E118" s="10" t="n">
        <v>0.1</v>
      </c>
      <c r="F118" s="41">
        <f>D118*E118</f>
        <v/>
      </c>
      <c r="G118" s="41">
        <f>D118+F118</f>
        <v/>
      </c>
    </row>
    <row r="119">
      <c r="B119" s="8" t="inlineStr">
        <is>
          <t>MARTIN CANEDA</t>
        </is>
      </c>
      <c r="C119" s="8" t="n">
        <v>35223</v>
      </c>
      <c r="D119" s="41" t="n">
        <v>113.5</v>
      </c>
      <c r="E119" s="10" t="n">
        <v>0.1</v>
      </c>
      <c r="F119" s="41">
        <f>D119*E119</f>
        <v/>
      </c>
      <c r="G119" s="41">
        <f>D119+F119</f>
        <v/>
      </c>
    </row>
    <row r="120">
      <c r="B120" s="8" t="inlineStr">
        <is>
          <t>MARTIN CANEDA</t>
        </is>
      </c>
      <c r="C120" s="8" t="n">
        <v>35230</v>
      </c>
      <c r="D120" s="41" t="n">
        <v>144</v>
      </c>
      <c r="E120" s="10" t="n">
        <v>0.1</v>
      </c>
      <c r="F120" s="41">
        <f>D120*E120</f>
        <v/>
      </c>
      <c r="G120" s="41">
        <f>D120+F120</f>
        <v/>
      </c>
    </row>
    <row r="121">
      <c r="B121" s="8" t="inlineStr">
        <is>
          <t>MARTIN CANEDA</t>
        </is>
      </c>
      <c r="C121" s="8" t="n">
        <v>35237</v>
      </c>
      <c r="D121" s="41" t="n">
        <v>69.5</v>
      </c>
      <c r="E121" s="10" t="n">
        <v>0.1</v>
      </c>
      <c r="F121" s="41">
        <f>D121*E121</f>
        <v/>
      </c>
      <c r="G121" s="41">
        <f>D121+F121</f>
        <v/>
      </c>
    </row>
    <row r="122">
      <c r="B122" s="8" t="inlineStr">
        <is>
          <t>MARTIN CANEDA</t>
        </is>
      </c>
      <c r="C122" s="8" t="n">
        <v>35250</v>
      </c>
      <c r="D122" s="41" t="n">
        <v>150</v>
      </c>
      <c r="E122" s="10" t="n">
        <v>0.1</v>
      </c>
      <c r="F122" s="41">
        <f>D122*E122</f>
        <v/>
      </c>
      <c r="G122" s="41">
        <f>D122+F122</f>
        <v/>
      </c>
    </row>
    <row r="123">
      <c r="B123" s="8" t="inlineStr">
        <is>
          <t>MARTIN CANEDA</t>
        </is>
      </c>
      <c r="C123" s="8" t="n">
        <v>35194</v>
      </c>
      <c r="D123" s="41" t="n">
        <v>206.8</v>
      </c>
      <c r="E123" s="10" t="n">
        <v>0.1</v>
      </c>
      <c r="F123" s="41">
        <f>D123*E123</f>
        <v/>
      </c>
      <c r="G123" s="41">
        <f>D123+F123</f>
        <v/>
      </c>
    </row>
    <row r="124">
      <c r="B124" s="8" t="inlineStr">
        <is>
          <t>MARTIN CANEDA</t>
        </is>
      </c>
      <c r="C124" s="8" t="n">
        <v>35274</v>
      </c>
      <c r="D124" s="41" t="n">
        <v>149</v>
      </c>
      <c r="E124" s="10" t="n">
        <v>0.1</v>
      </c>
      <c r="F124" s="41">
        <f>D124*E124</f>
        <v/>
      </c>
      <c r="G124" s="41">
        <f>D124+F124</f>
        <v/>
      </c>
    </row>
    <row r="125">
      <c r="B125" s="8" t="inlineStr">
        <is>
          <t>MARTIN CANEDA</t>
        </is>
      </c>
      <c r="C125" s="8" t="n">
        <v>26913</v>
      </c>
      <c r="D125" s="41" t="n">
        <v>166.5</v>
      </c>
      <c r="E125" s="10" t="n">
        <v>0.1</v>
      </c>
      <c r="F125" s="41">
        <f>D125*E125</f>
        <v/>
      </c>
      <c r="G125" s="41">
        <f>D125+F125</f>
        <v/>
      </c>
    </row>
    <row r="126">
      <c r="B126" s="8" t="inlineStr">
        <is>
          <t>MARTIN CANEDA</t>
        </is>
      </c>
      <c r="C126" s="8" t="n">
        <v>35284</v>
      </c>
      <c r="D126" s="41" t="n">
        <v>209</v>
      </c>
      <c r="E126" s="10" t="n">
        <v>0.1</v>
      </c>
      <c r="F126" s="41">
        <f>D126*E126</f>
        <v/>
      </c>
      <c r="G126" s="41">
        <f>D126+F126</f>
        <v/>
      </c>
    </row>
    <row r="127">
      <c r="B127" s="8" t="inlineStr">
        <is>
          <t>MARTIN CANEDA</t>
        </is>
      </c>
      <c r="C127" s="8" t="n">
        <v>35287</v>
      </c>
      <c r="D127" s="41" t="n">
        <v>148</v>
      </c>
      <c r="E127" s="10" t="n">
        <v>0.1</v>
      </c>
      <c r="F127" s="41">
        <f>D127*E127</f>
        <v/>
      </c>
      <c r="G127" s="41">
        <f>D127+F127</f>
        <v/>
      </c>
    </row>
    <row r="128">
      <c r="B128" s="8" t="inlineStr">
        <is>
          <t>MARTIN CANEDA</t>
        </is>
      </c>
      <c r="C128" s="8" t="n">
        <v>35292</v>
      </c>
      <c r="D128" s="41" t="n">
        <v>48</v>
      </c>
      <c r="E128" s="10" t="n">
        <v>0.1</v>
      </c>
      <c r="F128" s="41">
        <f>D128*E128</f>
        <v/>
      </c>
      <c r="G128" s="41">
        <f>D128+F128</f>
        <v/>
      </c>
    </row>
    <row r="129">
      <c r="B129" s="8" t="inlineStr">
        <is>
          <t>MARTIN CANEDA</t>
        </is>
      </c>
      <c r="C129" s="8" t="n">
        <v>35204</v>
      </c>
      <c r="D129" s="41" t="n">
        <v>200</v>
      </c>
      <c r="E129" s="10" t="n">
        <v>0.1</v>
      </c>
      <c r="F129" s="41">
        <f>D129*E129</f>
        <v/>
      </c>
      <c r="G129" s="41">
        <f>D129+F129</f>
        <v/>
      </c>
    </row>
    <row r="130">
      <c r="B130" s="8" t="inlineStr">
        <is>
          <t>MANUEL AMBRES</t>
        </is>
      </c>
      <c r="C130" s="8" t="inlineStr">
        <is>
          <t>26/11925</t>
        </is>
      </c>
      <c r="D130" s="41" t="n">
        <v>425</v>
      </c>
      <c r="E130" s="10" t="n">
        <v>0.1</v>
      </c>
      <c r="F130" s="41">
        <f>D130*E130</f>
        <v/>
      </c>
      <c r="G130" s="41">
        <f>D130+F130</f>
        <v/>
      </c>
    </row>
    <row r="131">
      <c r="B131" s="8" t="inlineStr">
        <is>
          <t>VOLDIS</t>
        </is>
      </c>
      <c r="C131" s="8" t="inlineStr">
        <is>
          <t>AP26-? (25/08)</t>
        </is>
      </c>
      <c r="D131" s="41" t="n">
        <v>4.38</v>
      </c>
      <c r="E131" s="10" t="n">
        <v>0.1</v>
      </c>
      <c r="F131" s="41">
        <f>D131*E131</f>
        <v/>
      </c>
      <c r="G131" s="41">
        <f>D131+F131</f>
        <v/>
      </c>
    </row>
    <row r="132">
      <c r="B132" s="8" t="inlineStr">
        <is>
          <t>VOLDIS</t>
        </is>
      </c>
      <c r="C132" s="8" t="inlineStr">
        <is>
          <t>AP26-? (25/08)</t>
        </is>
      </c>
      <c r="D132" s="41" t="n">
        <v>484.47</v>
      </c>
      <c r="E132" s="10" t="n">
        <v>0.21</v>
      </c>
      <c r="F132" s="41">
        <f>D132*E132</f>
        <v/>
      </c>
      <c r="G132" s="41">
        <f>D132+F132</f>
        <v/>
      </c>
    </row>
    <row r="133">
      <c r="B133" s="8" t="inlineStr">
        <is>
          <t>VOLDIS</t>
        </is>
      </c>
      <c r="C133" s="8" t="inlineStr">
        <is>
          <t>AP26-? (19/08)</t>
        </is>
      </c>
      <c r="D133" s="41" t="n">
        <v>29.52</v>
      </c>
      <c r="E133" s="10" t="n">
        <v>0.1</v>
      </c>
      <c r="F133" s="41">
        <f>D133*E133</f>
        <v/>
      </c>
      <c r="G133" s="41">
        <f>D133+F133</f>
        <v/>
      </c>
    </row>
    <row r="134">
      <c r="B134" s="8" t="inlineStr">
        <is>
          <t>VOLDIS</t>
        </is>
      </c>
      <c r="C134" s="8" t="inlineStr">
        <is>
          <t>AP26-? (19/08)</t>
        </is>
      </c>
      <c r="D134" s="41" t="n">
        <v>262.5</v>
      </c>
      <c r="E134" s="10" t="n">
        <v>0.21</v>
      </c>
      <c r="F134" s="41">
        <f>D134*E134</f>
        <v/>
      </c>
      <c r="G134" s="41">
        <f>D134+F134</f>
        <v/>
      </c>
    </row>
    <row r="135">
      <c r="B135" s="8" t="n"/>
      <c r="C135" s="8" t="n"/>
      <c r="D135" s="41" t="n"/>
      <c r="E135" s="10" t="n"/>
      <c r="F135" s="41">
        <f>D135*E135</f>
        <v/>
      </c>
      <c r="G135" s="41">
        <f>D135+F135</f>
        <v/>
      </c>
    </row>
    <row r="136">
      <c r="B136" s="8" t="n"/>
      <c r="C136" s="8" t="n"/>
      <c r="D136" s="41" t="n"/>
      <c r="E136" s="10" t="n"/>
      <c r="F136" s="41">
        <f>D136*E136</f>
        <v/>
      </c>
      <c r="G136" s="41">
        <f>D136+F136</f>
        <v/>
      </c>
    </row>
    <row r="137">
      <c r="B137" s="8" t="n"/>
      <c r="C137" s="8" t="n"/>
      <c r="D137" s="41" t="n"/>
      <c r="E137" s="10" t="n"/>
      <c r="F137" s="41">
        <f>D137*E137</f>
        <v/>
      </c>
      <c r="G137" s="41">
        <f>D137+F137</f>
        <v/>
      </c>
    </row>
    <row r="138">
      <c r="B138" s="8" t="n"/>
      <c r="C138" s="8" t="n"/>
      <c r="D138" s="41" t="n"/>
      <c r="E138" s="10" t="n"/>
      <c r="F138" s="41">
        <f>D138*E138</f>
        <v/>
      </c>
      <c r="G138" s="41">
        <f>D138+F138</f>
        <v/>
      </c>
    </row>
    <row r="139">
      <c r="B139" s="8" t="n"/>
      <c r="C139" s="8" t="n"/>
      <c r="D139" s="41" t="n"/>
      <c r="E139" s="10" t="n"/>
      <c r="F139" s="41">
        <f>D139*E139</f>
        <v/>
      </c>
      <c r="G139" s="41">
        <f>D139+F139</f>
        <v/>
      </c>
    </row>
    <row r="140">
      <c r="B140" s="8" t="n"/>
      <c r="C140" s="8" t="n"/>
      <c r="D140" s="41" t="n"/>
      <c r="E140" s="10" t="n"/>
      <c r="F140" s="41">
        <f>D140*E140</f>
        <v/>
      </c>
      <c r="G140" s="41">
        <f>D140+F140</f>
        <v/>
      </c>
    </row>
    <row r="141">
      <c r="B141" s="8" t="n"/>
      <c r="C141" s="8" t="n"/>
      <c r="D141" s="41" t="n"/>
      <c r="E141" s="10" t="n"/>
      <c r="F141" s="41">
        <f>D141*E141</f>
        <v/>
      </c>
      <c r="G141" s="41">
        <f>D141+F141</f>
        <v/>
      </c>
    </row>
    <row r="142">
      <c r="B142" s="8" t="n"/>
      <c r="C142" s="8" t="n"/>
      <c r="D142" s="41" t="n"/>
      <c r="E142" s="10" t="n"/>
      <c r="F142" s="41">
        <f>D142*E142</f>
        <v/>
      </c>
      <c r="G142" s="41">
        <f>D142+F142</f>
        <v/>
      </c>
    </row>
    <row r="143">
      <c r="B143" s="8" t="n"/>
      <c r="C143" s="8" t="n"/>
      <c r="D143" s="41" t="n"/>
      <c r="E143" s="10" t="n"/>
      <c r="F143" s="41">
        <f>D143*E143</f>
        <v/>
      </c>
      <c r="G143" s="41">
        <f>D143+F143</f>
        <v/>
      </c>
    </row>
    <row r="144">
      <c r="B144" s="8" t="n"/>
      <c r="C144" s="8" t="n"/>
      <c r="D144" s="41" t="n"/>
      <c r="E144" s="10" t="n"/>
      <c r="F144" s="41">
        <f>D144*E144</f>
        <v/>
      </c>
      <c r="G144" s="41">
        <f>D144+F144</f>
        <v/>
      </c>
    </row>
    <row r="145">
      <c r="B145" s="8" t="n"/>
      <c r="C145" s="8" t="n"/>
      <c r="D145" s="41" t="n"/>
      <c r="E145" s="10" t="n"/>
      <c r="F145" s="41">
        <f>D145*E145</f>
        <v/>
      </c>
      <c r="G145" s="41">
        <f>D145+F145</f>
        <v/>
      </c>
    </row>
    <row r="146">
      <c r="B146" s="8" t="n"/>
      <c r="C146" s="8" t="n"/>
      <c r="D146" s="41" t="n"/>
      <c r="E146" s="10" t="n"/>
      <c r="F146" s="41">
        <f>D146*E146</f>
        <v/>
      </c>
      <c r="G146" s="41">
        <f>D146+F146</f>
        <v/>
      </c>
    </row>
    <row r="147">
      <c r="B147" s="8" t="n"/>
      <c r="C147" s="8" t="n"/>
      <c r="D147" s="41" t="n"/>
      <c r="E147" s="10" t="n"/>
      <c r="F147" s="41">
        <f>D147*E147</f>
        <v/>
      </c>
      <c r="G147" s="41">
        <f>D147+F147</f>
        <v/>
      </c>
    </row>
    <row r="148">
      <c r="B148" s="8" t="n"/>
      <c r="C148" s="8" t="n"/>
      <c r="D148" s="41" t="n"/>
      <c r="E148" s="10" t="n"/>
      <c r="F148" s="41">
        <f>D148*E148</f>
        <v/>
      </c>
      <c r="G148" s="41">
        <f>D148+F148</f>
        <v/>
      </c>
    </row>
    <row r="149">
      <c r="B149" s="8" t="n"/>
      <c r="C149" s="8" t="n"/>
      <c r="D149" s="41" t="n"/>
      <c r="E149" s="10" t="n"/>
      <c r="F149" s="41">
        <f>D149*E149</f>
        <v/>
      </c>
      <c r="G149" s="41">
        <f>D149+F149</f>
        <v/>
      </c>
    </row>
    <row r="150">
      <c r="B150" s="8" t="n"/>
      <c r="C150" s="8" t="n"/>
      <c r="D150" s="41" t="n"/>
      <c r="E150" s="10" t="n"/>
      <c r="F150" s="41">
        <f>D150*E150</f>
        <v/>
      </c>
      <c r="G150" s="41">
        <f>D150+F150</f>
        <v/>
      </c>
    </row>
    <row r="151">
      <c r="B151" s="8" t="n"/>
      <c r="C151" s="8" t="n"/>
      <c r="D151" s="41" t="n"/>
      <c r="E151" s="10" t="n"/>
      <c r="F151" s="41">
        <f>D151*E151</f>
        <v/>
      </c>
      <c r="G151" s="41">
        <f>D151+F151</f>
        <v/>
      </c>
    </row>
    <row r="152">
      <c r="B152" s="8" t="n"/>
      <c r="C152" s="8" t="n"/>
      <c r="D152" s="41" t="n"/>
      <c r="E152" s="10" t="n"/>
      <c r="F152" s="41">
        <f>D152*E152</f>
        <v/>
      </c>
      <c r="G152" s="41">
        <f>D152+F152</f>
        <v/>
      </c>
    </row>
    <row r="153">
      <c r="B153" s="8" t="n"/>
      <c r="C153" s="8" t="n"/>
      <c r="D153" s="41" t="n"/>
      <c r="E153" s="10" t="n"/>
      <c r="F153" s="41">
        <f>D153*E153</f>
        <v/>
      </c>
      <c r="G153" s="41">
        <f>D153+F153</f>
        <v/>
      </c>
    </row>
    <row r="154">
      <c r="B154" s="8" t="n"/>
      <c r="C154" s="8" t="n"/>
      <c r="D154" s="41" t="n"/>
      <c r="E154" s="10" t="n"/>
      <c r="F154" s="41">
        <f>D154*E154</f>
        <v/>
      </c>
      <c r="G154" s="41">
        <f>D154+F154</f>
        <v/>
      </c>
    </row>
    <row r="155">
      <c r="B155" s="8" t="n"/>
      <c r="C155" s="8" t="n"/>
      <c r="D155" s="41" t="n"/>
      <c r="E155" s="10" t="n"/>
      <c r="F155" s="41">
        <f>D155*E155</f>
        <v/>
      </c>
      <c r="G155" s="41">
        <f>D155+F155</f>
        <v/>
      </c>
    </row>
    <row r="156">
      <c r="B156" s="8" t="n"/>
      <c r="C156" s="8" t="n"/>
      <c r="D156" s="41" t="n"/>
      <c r="E156" s="10" t="n"/>
      <c r="F156" s="41">
        <f>D156*E156</f>
        <v/>
      </c>
      <c r="G156" s="41">
        <f>D156+F156</f>
        <v/>
      </c>
    </row>
    <row r="157">
      <c r="B157" s="8" t="n"/>
      <c r="C157" s="8" t="n"/>
      <c r="D157" s="41" t="n"/>
      <c r="E157" s="10" t="n"/>
      <c r="F157" s="41">
        <f>D157*E157</f>
        <v/>
      </c>
      <c r="G157" s="41">
        <f>D157+F157</f>
        <v/>
      </c>
    </row>
    <row r="158">
      <c r="B158" s="8" t="n"/>
      <c r="C158" s="8" t="n"/>
      <c r="D158" s="41" t="n"/>
      <c r="E158" s="10" t="n"/>
      <c r="F158" s="41">
        <f>D158*E158</f>
        <v/>
      </c>
      <c r="G158" s="41">
        <f>D158+F158</f>
        <v/>
      </c>
    </row>
    <row r="159">
      <c r="B159" s="8" t="n"/>
      <c r="C159" s="8" t="n"/>
      <c r="D159" s="41" t="n"/>
      <c r="E159" s="10" t="n"/>
      <c r="F159" s="41">
        <f>D159*E159</f>
        <v/>
      </c>
      <c r="G159" s="41">
        <f>D159+F159</f>
        <v/>
      </c>
    </row>
    <row r="160">
      <c r="B160" s="8" t="n"/>
      <c r="C160" s="8" t="n"/>
      <c r="D160" s="41" t="n"/>
      <c r="E160" s="10" t="n"/>
      <c r="F160" s="41">
        <f>D160*E160</f>
        <v/>
      </c>
      <c r="G160" s="41">
        <f>D160+F160</f>
        <v/>
      </c>
    </row>
    <row r="161">
      <c r="B161" s="8" t="n"/>
      <c r="C161" s="8" t="n"/>
      <c r="D161" s="41" t="n"/>
      <c r="E161" s="10" t="n"/>
      <c r="F161" s="41">
        <f>D161*E161</f>
        <v/>
      </c>
      <c r="G161" s="41">
        <f>D161+F161</f>
        <v/>
      </c>
    </row>
    <row r="162">
      <c r="B162" s="8" t="n"/>
      <c r="C162" s="8" t="n"/>
      <c r="D162" s="41" t="n"/>
      <c r="E162" s="10" t="n"/>
      <c r="F162" s="41">
        <f>D162*E162</f>
        <v/>
      </c>
      <c r="G162" s="41">
        <f>D162+F162</f>
        <v/>
      </c>
    </row>
    <row r="163">
      <c r="B163" s="8" t="n"/>
      <c r="C163" s="8" t="n"/>
      <c r="D163" s="41" t="n"/>
      <c r="E163" s="10" t="n"/>
      <c r="F163" s="41">
        <f>D163*E163</f>
        <v/>
      </c>
      <c r="G163" s="41">
        <f>D163+F163</f>
        <v/>
      </c>
    </row>
    <row r="164">
      <c r="B164" s="8" t="n"/>
      <c r="C164" s="8" t="n"/>
      <c r="D164" s="41" t="n"/>
      <c r="E164" s="10" t="n"/>
      <c r="F164" s="41">
        <f>D164*E164</f>
        <v/>
      </c>
      <c r="G164" s="41">
        <f>D164+F164</f>
        <v/>
      </c>
    </row>
    <row r="165">
      <c r="B165" s="8" t="n"/>
      <c r="C165" s="8" t="n"/>
      <c r="D165" s="41" t="n"/>
      <c r="E165" s="10" t="n"/>
      <c r="F165" s="41">
        <f>D165*E165</f>
        <v/>
      </c>
      <c r="G165" s="41">
        <f>D165+F165</f>
        <v/>
      </c>
    </row>
    <row r="166">
      <c r="B166" s="8" t="n"/>
      <c r="C166" s="8" t="n"/>
      <c r="D166" s="41" t="n"/>
      <c r="E166" s="10" t="n"/>
      <c r="F166" s="41">
        <f>D166*E166</f>
        <v/>
      </c>
      <c r="G166" s="41">
        <f>D166+F166</f>
        <v/>
      </c>
    </row>
    <row r="167">
      <c r="B167" s="8" t="n"/>
      <c r="C167" s="8" t="n"/>
      <c r="D167" s="41" t="n"/>
      <c r="E167" s="10" t="n"/>
      <c r="F167" s="41">
        <f>D167*E167</f>
        <v/>
      </c>
      <c r="G167" s="41">
        <f>D167+F167</f>
        <v/>
      </c>
    </row>
    <row r="168">
      <c r="B168" s="8" t="n"/>
      <c r="C168" s="8" t="n"/>
      <c r="D168" s="41" t="n"/>
      <c r="E168" s="10" t="n"/>
      <c r="F168" s="41">
        <f>D168*E168</f>
        <v/>
      </c>
      <c r="G168" s="41">
        <f>D168+F168</f>
        <v/>
      </c>
    </row>
    <row r="169">
      <c r="B169" s="8" t="n"/>
      <c r="C169" s="8" t="n"/>
      <c r="D169" s="41" t="n"/>
      <c r="E169" s="10" t="n"/>
      <c r="F169" s="41">
        <f>D169*E169</f>
        <v/>
      </c>
      <c r="G169" s="41">
        <f>D169+F169</f>
        <v/>
      </c>
    </row>
    <row r="170">
      <c r="B170" s="8" t="n"/>
      <c r="C170" s="8" t="n"/>
      <c r="D170" s="41" t="n"/>
      <c r="E170" s="10" t="n"/>
      <c r="F170" s="41">
        <f>D170*E170</f>
        <v/>
      </c>
      <c r="G170" s="41">
        <f>D170+F170</f>
        <v/>
      </c>
    </row>
    <row r="171">
      <c r="B171" s="8" t="n"/>
      <c r="C171" s="8" t="n"/>
      <c r="D171" s="41" t="n"/>
      <c r="E171" s="10" t="n"/>
      <c r="F171" s="41">
        <f>D171*E171</f>
        <v/>
      </c>
      <c r="G171" s="41">
        <f>D171+F171</f>
        <v/>
      </c>
    </row>
    <row r="172">
      <c r="B172" s="8" t="n"/>
      <c r="C172" s="8" t="n"/>
      <c r="D172" s="41" t="n"/>
      <c r="E172" s="10" t="n"/>
      <c r="F172" s="41">
        <f>D172*E172</f>
        <v/>
      </c>
      <c r="G172" s="41">
        <f>D172+F172</f>
        <v/>
      </c>
    </row>
    <row r="173">
      <c r="B173" s="8" t="n"/>
      <c r="C173" s="8" t="n"/>
      <c r="D173" s="41" t="n"/>
      <c r="E173" s="10" t="n"/>
      <c r="F173" s="41">
        <f>D173*E173</f>
        <v/>
      </c>
      <c r="G173" s="41">
        <f>D173+F173</f>
        <v/>
      </c>
    </row>
    <row r="174">
      <c r="B174" s="8" t="n"/>
      <c r="C174" s="8" t="n"/>
      <c r="D174" s="41" t="n"/>
      <c r="E174" s="10" t="n"/>
      <c r="F174" s="41">
        <f>D174*E174</f>
        <v/>
      </c>
      <c r="G174" s="41">
        <f>D174+F174</f>
        <v/>
      </c>
    </row>
    <row r="175">
      <c r="B175" s="8" t="n"/>
      <c r="C175" s="8" t="n"/>
      <c r="D175" s="41" t="n"/>
      <c r="E175" s="10" t="n"/>
      <c r="F175" s="41">
        <f>D175*E175</f>
        <v/>
      </c>
      <c r="G175" s="41">
        <f>D175+F175</f>
        <v/>
      </c>
    </row>
    <row r="176">
      <c r="B176" s="8" t="n"/>
      <c r="C176" s="8" t="n"/>
      <c r="D176" s="41" t="n"/>
      <c r="E176" s="10" t="n"/>
      <c r="F176" s="41">
        <f>D176*E176</f>
        <v/>
      </c>
      <c r="G176" s="41">
        <f>D176+F176</f>
        <v/>
      </c>
    </row>
    <row r="177">
      <c r="B177" s="8" t="n"/>
      <c r="C177" s="8" t="n"/>
      <c r="D177" s="41" t="n"/>
      <c r="E177" s="10" t="n"/>
      <c r="F177" s="41">
        <f>D177*E177</f>
        <v/>
      </c>
      <c r="G177" s="41">
        <f>D177+F177</f>
        <v/>
      </c>
    </row>
    <row r="178">
      <c r="B178" s="8" t="n"/>
      <c r="C178" s="8" t="n"/>
      <c r="D178" s="41" t="n"/>
      <c r="E178" s="10" t="n"/>
      <c r="F178" s="41">
        <f>D178*E178</f>
        <v/>
      </c>
      <c r="G178" s="41">
        <f>D178+F178</f>
        <v/>
      </c>
    </row>
    <row r="179">
      <c r="B179" s="8" t="n"/>
      <c r="C179" s="8" t="n"/>
      <c r="D179" s="41" t="n"/>
      <c r="E179" s="10" t="n"/>
      <c r="F179" s="41">
        <f>D179*E179</f>
        <v/>
      </c>
      <c r="G179" s="41">
        <f>D179+F179</f>
        <v/>
      </c>
    </row>
    <row r="180">
      <c r="B180" s="8" t="n"/>
      <c r="C180" s="8" t="n"/>
      <c r="D180" s="41" t="n"/>
      <c r="E180" s="10" t="n"/>
      <c r="F180" s="41">
        <f>D180*E180</f>
        <v/>
      </c>
      <c r="G180" s="41">
        <f>D180+F180</f>
        <v/>
      </c>
    </row>
    <row r="181">
      <c r="B181" s="8" t="n"/>
      <c r="C181" s="8" t="n"/>
      <c r="D181" s="41" t="n"/>
      <c r="E181" s="10" t="n"/>
      <c r="F181" s="41">
        <f>D181*E181</f>
        <v/>
      </c>
      <c r="G181" s="41">
        <f>D181+F181</f>
        <v/>
      </c>
    </row>
    <row r="182">
      <c r="B182" s="8" t="n"/>
      <c r="C182" s="8" t="n"/>
      <c r="D182" s="41" t="n"/>
      <c r="E182" s="10" t="n"/>
      <c r="F182" s="41">
        <f>D182*E182</f>
        <v/>
      </c>
      <c r="G182" s="41">
        <f>D182+F182</f>
        <v/>
      </c>
    </row>
    <row r="183">
      <c r="B183" s="8" t="n"/>
      <c r="C183" s="62" t="n"/>
      <c r="D183" s="41" t="n"/>
      <c r="E183" s="10" t="n"/>
      <c r="F183" s="41">
        <f>D183*E183</f>
        <v/>
      </c>
      <c r="G183" s="41">
        <f>D183+F183</f>
        <v/>
      </c>
    </row>
    <row r="184">
      <c r="B184" s="8" t="n"/>
      <c r="C184" s="8" t="n"/>
      <c r="D184" s="41" t="n"/>
      <c r="E184" s="10" t="n"/>
      <c r="F184" s="41">
        <f>D184*E184</f>
        <v/>
      </c>
      <c r="G184" s="41">
        <f>D184+F184</f>
        <v/>
      </c>
    </row>
    <row r="185">
      <c r="B185" s="8" t="n"/>
      <c r="C185" s="8" t="n"/>
      <c r="D185" s="41" t="n"/>
      <c r="E185" s="10" t="n"/>
      <c r="F185" s="41">
        <f>D185*E185</f>
        <v/>
      </c>
      <c r="G185" s="41">
        <f>D185+F185</f>
        <v/>
      </c>
    </row>
    <row r="186">
      <c r="B186" s="8" t="n"/>
      <c r="C186" s="8" t="n"/>
      <c r="D186" s="41" t="n"/>
      <c r="E186" s="10" t="n"/>
      <c r="F186" s="41">
        <f>D186*E186</f>
        <v/>
      </c>
      <c r="G186" s="41">
        <f>D186+F186</f>
        <v/>
      </c>
    </row>
    <row r="187">
      <c r="B187" s="8" t="n"/>
      <c r="C187" s="8" t="n"/>
      <c r="D187" s="41" t="n"/>
      <c r="E187" s="10" t="n"/>
      <c r="F187" s="41">
        <f>D187*E187</f>
        <v/>
      </c>
      <c r="G187" s="41">
        <f>D187+F187</f>
        <v/>
      </c>
    </row>
    <row r="188">
      <c r="B188" s="8" t="n"/>
      <c r="C188" s="8" t="n"/>
      <c r="D188" s="41" t="n"/>
      <c r="E188" s="10" t="n"/>
      <c r="F188" s="41">
        <f>D188*E188</f>
        <v/>
      </c>
      <c r="G188" s="41">
        <f>D188+F188</f>
        <v/>
      </c>
    </row>
    <row r="189">
      <c r="B189" s="8" t="n"/>
      <c r="C189" s="8" t="n"/>
      <c r="D189" s="41" t="n"/>
      <c r="E189" s="10" t="n"/>
      <c r="F189" s="41">
        <f>D189*E189</f>
        <v/>
      </c>
      <c r="G189" s="41">
        <f>D189+F189</f>
        <v/>
      </c>
    </row>
    <row r="190">
      <c r="B190" s="8" t="n"/>
      <c r="C190" s="8" t="n"/>
      <c r="D190" s="41" t="n"/>
      <c r="E190" s="10" t="n"/>
      <c r="F190" s="41">
        <f>D190*E190</f>
        <v/>
      </c>
      <c r="G190" s="41">
        <f>D190+F190</f>
        <v/>
      </c>
    </row>
    <row r="191">
      <c r="B191" s="8" t="n"/>
      <c r="C191" s="8" t="n"/>
      <c r="D191" s="41" t="n"/>
      <c r="E191" s="10" t="n"/>
      <c r="F191" s="41">
        <f>D191*E191</f>
        <v/>
      </c>
      <c r="G191" s="41">
        <f>D191+F191</f>
        <v/>
      </c>
    </row>
    <row r="192">
      <c r="B192" s="8" t="n"/>
      <c r="C192" s="8" t="n"/>
      <c r="D192" s="41" t="n"/>
      <c r="E192" s="10" t="n"/>
      <c r="F192" s="41">
        <f>D192*E192</f>
        <v/>
      </c>
      <c r="G192" s="41">
        <f>D192+F192</f>
        <v/>
      </c>
    </row>
    <row r="193">
      <c r="B193" s="8" t="n"/>
      <c r="C193" s="8" t="n"/>
      <c r="D193" s="41" t="n"/>
      <c r="E193" s="10" t="n"/>
      <c r="F193" s="41">
        <f>D193*E193</f>
        <v/>
      </c>
      <c r="G193" s="41">
        <f>D193+F193</f>
        <v/>
      </c>
    </row>
    <row r="194">
      <c r="B194" s="8" t="n"/>
      <c r="C194" s="8" t="n"/>
      <c r="D194" s="41" t="n"/>
      <c r="E194" s="10" t="n"/>
      <c r="F194" s="41">
        <f>D194*E194</f>
        <v/>
      </c>
      <c r="G194" s="41">
        <f>D194+F194</f>
        <v/>
      </c>
    </row>
    <row r="195">
      <c r="B195" s="8" t="n"/>
      <c r="C195" s="8" t="n"/>
      <c r="D195" s="41" t="n"/>
      <c r="E195" s="10" t="n"/>
      <c r="F195" s="41">
        <f>D195*E195</f>
        <v/>
      </c>
      <c r="G195" s="41">
        <f>D195+F195</f>
        <v/>
      </c>
    </row>
    <row r="196">
      <c r="B196" s="8" t="n"/>
      <c r="C196" s="8" t="n"/>
      <c r="D196" s="41" t="n"/>
      <c r="E196" s="10" t="n"/>
      <c r="F196" s="41">
        <f>D196*E196</f>
        <v/>
      </c>
      <c r="G196" s="41">
        <f>D196+F196</f>
        <v/>
      </c>
    </row>
    <row r="197">
      <c r="B197" s="8" t="n"/>
      <c r="C197" s="8" t="n"/>
      <c r="D197" s="41" t="n"/>
      <c r="E197" s="10" t="n"/>
      <c r="F197" s="41">
        <f>D197*E197</f>
        <v/>
      </c>
      <c r="G197" s="41">
        <f>D197+F197</f>
        <v/>
      </c>
    </row>
    <row r="198">
      <c r="B198" s="8" t="n"/>
      <c r="C198" s="8" t="n"/>
      <c r="D198" s="41" t="n"/>
      <c r="E198" s="10" t="n"/>
      <c r="F198" s="41">
        <f>D198*E198</f>
        <v/>
      </c>
      <c r="G198" s="41">
        <f>D198+F198</f>
        <v/>
      </c>
    </row>
    <row r="199">
      <c r="B199" s="8" t="n"/>
      <c r="C199" s="8" t="n"/>
      <c r="D199" s="41" t="n"/>
      <c r="E199" s="10" t="n"/>
      <c r="F199" s="41">
        <f>D199*E199</f>
        <v/>
      </c>
      <c r="G199" s="41">
        <f>D199+F199</f>
        <v/>
      </c>
    </row>
    <row r="200">
      <c r="B200" s="8" t="n"/>
      <c r="C200" s="8" t="n"/>
      <c r="D200" s="41" t="n"/>
      <c r="E200" s="10" t="n"/>
      <c r="F200" s="41">
        <f>D200*E200</f>
        <v/>
      </c>
      <c r="G200" s="41">
        <f>D200+F200</f>
        <v/>
      </c>
    </row>
    <row r="201">
      <c r="B201" s="8" t="n"/>
      <c r="C201" s="8" t="n"/>
      <c r="D201" s="41" t="n"/>
      <c r="E201" s="10" t="n"/>
      <c r="F201" s="41">
        <f>D201*E201</f>
        <v/>
      </c>
      <c r="G201" s="41">
        <f>D201+F201</f>
        <v/>
      </c>
    </row>
    <row r="202">
      <c r="B202" s="8" t="n"/>
      <c r="C202" s="8" t="n"/>
      <c r="D202" s="41" t="n"/>
      <c r="E202" s="10" t="n"/>
      <c r="F202" s="41">
        <f>D202*E202</f>
        <v/>
      </c>
      <c r="G202" s="41">
        <f>D202+F202</f>
        <v/>
      </c>
    </row>
    <row r="203">
      <c r="B203" s="8" t="n"/>
      <c r="C203" s="8" t="n"/>
      <c r="D203" s="41" t="n"/>
      <c r="E203" s="10" t="n"/>
      <c r="F203" s="41">
        <f>D203*E203</f>
        <v/>
      </c>
      <c r="G203" s="41">
        <f>D203+F203</f>
        <v/>
      </c>
    </row>
    <row r="204">
      <c r="B204" s="8" t="n"/>
      <c r="C204" s="8" t="n"/>
      <c r="D204" s="41" t="n"/>
      <c r="E204" s="10" t="n"/>
      <c r="F204" s="41">
        <f>D204*E204</f>
        <v/>
      </c>
      <c r="G204" s="41">
        <f>D204+F204</f>
        <v/>
      </c>
    </row>
    <row r="205">
      <c r="B205" s="8" t="n"/>
      <c r="C205" s="8" t="n"/>
      <c r="D205" s="41" t="n"/>
      <c r="E205" s="10" t="n"/>
      <c r="F205" s="41">
        <f>D205*E205</f>
        <v/>
      </c>
      <c r="G205" s="41">
        <f>D205+F205</f>
        <v/>
      </c>
    </row>
    <row r="206">
      <c r="B206" s="8" t="n"/>
      <c r="C206" s="8" t="n"/>
      <c r="D206" s="41" t="n"/>
      <c r="E206" s="10" t="n"/>
      <c r="F206" s="41">
        <f>D206*E206</f>
        <v/>
      </c>
      <c r="G206" s="41">
        <f>D206+F206</f>
        <v/>
      </c>
    </row>
    <row r="207">
      <c r="B207" s="8" t="n"/>
      <c r="C207" s="8" t="n"/>
      <c r="D207" s="41" t="n"/>
      <c r="E207" s="10" t="n"/>
      <c r="F207" s="41">
        <f>D207*E207</f>
        <v/>
      </c>
      <c r="G207" s="41">
        <f>D207+F207</f>
        <v/>
      </c>
    </row>
    <row r="208">
      <c r="B208" s="8" t="n"/>
      <c r="C208" s="8" t="n"/>
      <c r="D208" s="41" t="n"/>
      <c r="E208" s="10" t="n"/>
      <c r="F208" s="41">
        <f>D208*E208</f>
        <v/>
      </c>
      <c r="G208" s="41">
        <f>D208+F208</f>
        <v/>
      </c>
    </row>
    <row r="209">
      <c r="B209" s="8" t="n"/>
      <c r="C209" s="8" t="n"/>
      <c r="D209" s="41" t="n"/>
      <c r="E209" s="10" t="n"/>
      <c r="F209" s="41">
        <f>D209*E209</f>
        <v/>
      </c>
      <c r="G209" s="41">
        <f>D209+F209</f>
        <v/>
      </c>
    </row>
    <row r="210">
      <c r="B210" s="8" t="n"/>
      <c r="C210" s="8" t="n"/>
      <c r="D210" s="41" t="n"/>
      <c r="E210" s="10" t="n"/>
      <c r="F210" s="41">
        <f>D210*E210</f>
        <v/>
      </c>
      <c r="G210" s="41">
        <f>D210+F210</f>
        <v/>
      </c>
    </row>
    <row r="211">
      <c r="B211" s="8" t="n"/>
      <c r="C211" s="8" t="n"/>
      <c r="D211" s="41" t="n"/>
      <c r="E211" s="10" t="n"/>
      <c r="F211" s="41">
        <f>D211*E211</f>
        <v/>
      </c>
      <c r="G211" s="41">
        <f>D211+F211</f>
        <v/>
      </c>
    </row>
    <row r="212">
      <c r="B212" s="8" t="n"/>
      <c r="C212" s="8" t="n"/>
      <c r="D212" s="41" t="n"/>
      <c r="E212" s="10" t="n"/>
      <c r="F212" s="41">
        <f>D212*E212</f>
        <v/>
      </c>
      <c r="G212" s="41">
        <f>D212+F212</f>
        <v/>
      </c>
    </row>
    <row r="213">
      <c r="B213" s="8" t="n"/>
      <c r="C213" s="8" t="n"/>
      <c r="D213" s="41" t="n"/>
      <c r="E213" s="10" t="n"/>
      <c r="F213" s="41">
        <f>D213*E213</f>
        <v/>
      </c>
      <c r="G213" s="41">
        <f>D213+F213</f>
        <v/>
      </c>
    </row>
    <row r="214">
      <c r="B214" s="8" t="n"/>
      <c r="C214" s="8" t="n"/>
      <c r="D214" s="41" t="n"/>
      <c r="E214" s="10" t="n"/>
      <c r="F214" s="41">
        <f>D214*E214</f>
        <v/>
      </c>
      <c r="G214" s="41">
        <f>D214+F214</f>
        <v/>
      </c>
    </row>
    <row r="215">
      <c r="B215" s="8" t="n"/>
      <c r="C215" s="8" t="n"/>
      <c r="D215" s="41" t="n"/>
      <c r="E215" s="10" t="n"/>
      <c r="F215" s="41">
        <f>D215*E215</f>
        <v/>
      </c>
      <c r="G215" s="41">
        <f>D215+F215</f>
        <v/>
      </c>
    </row>
    <row r="216">
      <c r="B216" s="8" t="n"/>
      <c r="C216" s="8" t="n"/>
      <c r="D216" s="41" t="n"/>
      <c r="E216" s="10" t="n"/>
      <c r="F216" s="41">
        <f>D216*E216</f>
        <v/>
      </c>
      <c r="G216" s="41">
        <f>D216+F216</f>
        <v/>
      </c>
    </row>
    <row r="217">
      <c r="B217" s="8" t="n"/>
      <c r="C217" s="8" t="n"/>
      <c r="D217" s="41" t="n"/>
      <c r="E217" s="10" t="n"/>
      <c r="F217" s="41">
        <f>D217*E217</f>
        <v/>
      </c>
      <c r="G217" s="41">
        <f>D217+F217</f>
        <v/>
      </c>
    </row>
    <row r="218">
      <c r="B218" s="8" t="n"/>
      <c r="C218" s="8" t="n"/>
      <c r="D218" s="41" t="n"/>
      <c r="E218" s="10" t="n"/>
      <c r="F218" s="41">
        <f>D218*E218</f>
        <v/>
      </c>
      <c r="G218" s="41">
        <f>D218+F218</f>
        <v/>
      </c>
    </row>
    <row r="219">
      <c r="B219" s="8" t="n"/>
      <c r="C219" s="8" t="n"/>
      <c r="D219" s="41" t="n"/>
      <c r="E219" s="10" t="n"/>
      <c r="F219" s="41">
        <f>D219*E219</f>
        <v/>
      </c>
      <c r="G219" s="41">
        <f>D219+F219</f>
        <v/>
      </c>
    </row>
    <row r="220">
      <c r="B220" s="8" t="n"/>
      <c r="C220" s="8" t="n"/>
      <c r="D220" s="41" t="n"/>
      <c r="E220" s="10" t="n"/>
      <c r="F220" s="41">
        <f>D220*E220</f>
        <v/>
      </c>
      <c r="G220" s="41">
        <f>D220+F220</f>
        <v/>
      </c>
    </row>
    <row r="221">
      <c r="B221" s="8" t="n"/>
      <c r="C221" s="8" t="n"/>
      <c r="D221" s="41" t="n"/>
      <c r="E221" s="10" t="n"/>
      <c r="F221" s="41">
        <f>D221*E221</f>
        <v/>
      </c>
      <c r="G221" s="41">
        <f>D221+F221</f>
        <v/>
      </c>
    </row>
    <row r="222">
      <c r="B222" s="8" t="n"/>
      <c r="C222" s="8" t="n"/>
      <c r="D222" s="41" t="n"/>
      <c r="E222" s="10" t="n"/>
      <c r="F222" s="41">
        <f>D222*E222</f>
        <v/>
      </c>
      <c r="G222" s="41">
        <f>D222+F222</f>
        <v/>
      </c>
    </row>
    <row r="223">
      <c r="B223" s="8" t="n"/>
      <c r="C223" s="8" t="n"/>
      <c r="D223" s="41" t="n"/>
      <c r="E223" s="10" t="n"/>
      <c r="F223" s="41">
        <f>D223*E223</f>
        <v/>
      </c>
      <c r="G223" s="41">
        <f>D223+F223</f>
        <v/>
      </c>
    </row>
    <row r="224">
      <c r="B224" s="8" t="n"/>
      <c r="C224" s="8" t="n"/>
      <c r="D224" s="41" t="n"/>
      <c r="E224" s="10" t="n"/>
      <c r="F224" s="41">
        <f>D224*E224</f>
        <v/>
      </c>
      <c r="G224" s="41">
        <f>D224+F224</f>
        <v/>
      </c>
    </row>
    <row r="225">
      <c r="B225" s="8" t="n"/>
      <c r="C225" s="8" t="n"/>
      <c r="D225" s="41" t="n"/>
      <c r="E225" s="10" t="n"/>
      <c r="F225" s="41">
        <f>D225*E225</f>
        <v/>
      </c>
      <c r="G225" s="41">
        <f>D225+F225</f>
        <v/>
      </c>
    </row>
    <row r="226">
      <c r="B226" s="8" t="n"/>
      <c r="C226" s="8" t="n"/>
      <c r="D226" s="41" t="n"/>
      <c r="E226" s="10" t="n"/>
      <c r="F226" s="41">
        <f>D226*E226</f>
        <v/>
      </c>
      <c r="G226" s="41">
        <f>D226+F226</f>
        <v/>
      </c>
    </row>
    <row r="227">
      <c r="B227" s="8" t="n"/>
      <c r="C227" s="8" t="n"/>
      <c r="D227" s="41" t="n"/>
      <c r="E227" s="10" t="n"/>
      <c r="F227" s="41">
        <f>D227*E227</f>
        <v/>
      </c>
      <c r="G227" s="41">
        <f>D227+F227</f>
        <v/>
      </c>
    </row>
    <row r="228">
      <c r="B228" s="8" t="n"/>
      <c r="C228" s="8" t="n"/>
      <c r="D228" s="41" t="n"/>
      <c r="E228" s="10" t="n"/>
      <c r="F228" s="41">
        <f>D228*E228</f>
        <v/>
      </c>
      <c r="G228" s="41">
        <f>D228+F228</f>
        <v/>
      </c>
    </row>
    <row r="229">
      <c r="B229" s="8" t="n"/>
      <c r="C229" s="8" t="n"/>
      <c r="D229" s="41" t="n"/>
      <c r="E229" s="10" t="n"/>
      <c r="F229" s="41">
        <f>D229*E229</f>
        <v/>
      </c>
      <c r="G229" s="41">
        <f>D229+F229</f>
        <v/>
      </c>
    </row>
    <row r="230">
      <c r="B230" s="8" t="n"/>
      <c r="C230" s="8" t="n"/>
      <c r="D230" s="41" t="n"/>
      <c r="E230" s="10" t="n"/>
      <c r="F230" s="41">
        <f>D230*E230</f>
        <v/>
      </c>
      <c r="G230" s="41">
        <f>D230+F230</f>
        <v/>
      </c>
    </row>
    <row r="231">
      <c r="B231" s="8" t="n"/>
      <c r="C231" s="8" t="n"/>
      <c r="D231" s="41" t="n"/>
      <c r="E231" s="10" t="n"/>
      <c r="F231" s="41">
        <f>D231*E231</f>
        <v/>
      </c>
      <c r="G231" s="41">
        <f>D231+F231</f>
        <v/>
      </c>
    </row>
    <row r="232">
      <c r="B232" s="8" t="n"/>
      <c r="C232" s="8" t="n"/>
      <c r="D232" s="41" t="n"/>
      <c r="E232" s="10" t="n"/>
      <c r="F232" s="41">
        <f>D232*E232</f>
        <v/>
      </c>
      <c r="G232" s="41">
        <f>D232+F232</f>
        <v/>
      </c>
    </row>
    <row r="233">
      <c r="B233" s="8" t="n"/>
      <c r="C233" s="8" t="n"/>
      <c r="D233" s="41" t="n"/>
      <c r="E233" s="10" t="n"/>
      <c r="F233" s="41">
        <f>D233*E233</f>
        <v/>
      </c>
      <c r="G233" s="41">
        <f>D233+F233</f>
        <v/>
      </c>
    </row>
    <row r="234">
      <c r="B234" s="8" t="n"/>
      <c r="C234" s="8" t="n"/>
      <c r="D234" s="41" t="n"/>
      <c r="E234" s="10" t="n"/>
      <c r="F234" s="41">
        <f>D234*E234</f>
        <v/>
      </c>
      <c r="G234" s="41">
        <f>D234+F234</f>
        <v/>
      </c>
    </row>
    <row r="235">
      <c r="B235" s="8" t="n"/>
      <c r="C235" s="8" t="n"/>
      <c r="D235" s="41" t="n"/>
      <c r="E235" s="10" t="n"/>
      <c r="F235" s="41">
        <f>D235*E235</f>
        <v/>
      </c>
      <c r="G235" s="41">
        <f>D235+F235</f>
        <v/>
      </c>
    </row>
    <row r="236">
      <c r="B236" s="8" t="n"/>
      <c r="C236" s="8" t="n"/>
      <c r="D236" s="41" t="n"/>
      <c r="E236" s="10" t="n"/>
      <c r="F236" s="41">
        <f>D236*E236</f>
        <v/>
      </c>
      <c r="G236" s="41">
        <f>D236+F236</f>
        <v/>
      </c>
    </row>
    <row r="237">
      <c r="B237" s="8" t="n"/>
      <c r="C237" s="8" t="n"/>
      <c r="D237" s="41" t="n"/>
      <c r="E237" s="10" t="n"/>
      <c r="F237" s="41">
        <f>D237*E237</f>
        <v/>
      </c>
      <c r="G237" s="41">
        <f>D237+F237</f>
        <v/>
      </c>
    </row>
    <row r="238">
      <c r="B238" s="8" t="n"/>
      <c r="C238" s="8" t="n"/>
      <c r="D238" s="41" t="n"/>
      <c r="E238" s="10" t="n"/>
      <c r="F238" s="41">
        <f>D238*E238</f>
        <v/>
      </c>
      <c r="G238" s="41">
        <f>D238+F238</f>
        <v/>
      </c>
    </row>
    <row r="239">
      <c r="B239" s="8" t="n"/>
      <c r="C239" s="8" t="n"/>
      <c r="D239" s="41" t="n"/>
      <c r="E239" s="10" t="n"/>
      <c r="F239" s="41">
        <f>D239*E239</f>
        <v/>
      </c>
      <c r="G239" s="41">
        <f>D239+F239</f>
        <v/>
      </c>
    </row>
    <row r="240">
      <c r="B240" s="8" t="n"/>
      <c r="C240" s="8" t="n"/>
      <c r="D240" s="41" t="n"/>
      <c r="E240" s="10" t="n"/>
      <c r="F240" s="41">
        <f>D240*E240</f>
        <v/>
      </c>
      <c r="G240" s="41">
        <f>D240+F240</f>
        <v/>
      </c>
    </row>
    <row r="241">
      <c r="B241" s="8" t="n"/>
      <c r="C241" s="8" t="n"/>
      <c r="D241" s="41" t="n"/>
      <c r="E241" s="10" t="n"/>
      <c r="F241" s="41">
        <f>D241*E241</f>
        <v/>
      </c>
      <c r="G241" s="41">
        <f>D241+F241</f>
        <v/>
      </c>
    </row>
    <row r="242">
      <c r="B242" s="8" t="n"/>
      <c r="C242" s="8" t="n"/>
      <c r="D242" s="41" t="n"/>
      <c r="E242" s="10" t="n"/>
      <c r="F242" s="41">
        <f>D242*E242</f>
        <v/>
      </c>
      <c r="G242" s="41">
        <f>D242+F242</f>
        <v/>
      </c>
    </row>
    <row r="243">
      <c r="B243" s="8" t="n"/>
      <c r="C243" s="8" t="n"/>
      <c r="D243" s="41" t="n"/>
      <c r="E243" s="10" t="n"/>
      <c r="F243" s="41">
        <f>D243*E243</f>
        <v/>
      </c>
      <c r="G243" s="41">
        <f>D243+F243</f>
        <v/>
      </c>
    </row>
    <row r="244">
      <c r="B244" s="8" t="n"/>
      <c r="C244" s="8" t="n"/>
      <c r="D244" s="41" t="n"/>
      <c r="E244" s="10" t="n"/>
      <c r="F244" s="41">
        <f>D244*E244</f>
        <v/>
      </c>
      <c r="G244" s="41">
        <f>D244+F244</f>
        <v/>
      </c>
    </row>
    <row r="245">
      <c r="B245" s="8" t="n"/>
      <c r="C245" s="8" t="n"/>
      <c r="D245" s="41" t="n"/>
      <c r="E245" s="10" t="n"/>
      <c r="F245" s="41">
        <f>D245*E245</f>
        <v/>
      </c>
      <c r="G245" s="41">
        <f>D245+F245</f>
        <v/>
      </c>
    </row>
    <row r="246">
      <c r="B246" s="8" t="n"/>
      <c r="C246" s="8" t="n"/>
      <c r="D246" s="41" t="n"/>
      <c r="E246" s="10" t="n"/>
      <c r="F246" s="41">
        <f>D246*E246</f>
        <v/>
      </c>
      <c r="G246" s="41">
        <f>D246+F246</f>
        <v/>
      </c>
    </row>
    <row r="247">
      <c r="B247" s="8" t="n"/>
      <c r="C247" s="8" t="n"/>
      <c r="D247" s="41" t="n"/>
      <c r="E247" s="10" t="n"/>
      <c r="F247" s="41">
        <f>D247*E247</f>
        <v/>
      </c>
      <c r="G247" s="41">
        <f>D247+F247</f>
        <v/>
      </c>
    </row>
    <row r="248">
      <c r="B248" s="8" t="n"/>
      <c r="C248" s="8" t="n"/>
      <c r="D248" s="41" t="n"/>
      <c r="E248" s="10" t="n"/>
      <c r="F248" s="41">
        <f>D248*E248</f>
        <v/>
      </c>
      <c r="G248" s="41">
        <f>D248+F248</f>
        <v/>
      </c>
    </row>
    <row r="249">
      <c r="B249" s="8" t="n"/>
      <c r="C249" s="8" t="n"/>
      <c r="D249" s="41" t="n"/>
      <c r="E249" s="10" t="n"/>
      <c r="F249" s="41">
        <f>D249*E249</f>
        <v/>
      </c>
      <c r="G249" s="41">
        <f>D249+F249</f>
        <v/>
      </c>
    </row>
    <row r="250">
      <c r="B250" s="8" t="n"/>
      <c r="C250" s="8" t="n"/>
      <c r="D250" s="41" t="n"/>
      <c r="E250" s="10" t="n"/>
      <c r="F250" s="41">
        <f>D250*E250</f>
        <v/>
      </c>
      <c r="G250" s="41">
        <f>D250+F250</f>
        <v/>
      </c>
    </row>
    <row r="251">
      <c r="B251" s="8" t="n"/>
      <c r="C251" s="8" t="n"/>
      <c r="D251" s="41" t="n"/>
      <c r="E251" s="10" t="n"/>
      <c r="F251" s="41">
        <f>D251*E251</f>
        <v/>
      </c>
      <c r="G251" s="41">
        <f>D251+F251</f>
        <v/>
      </c>
    </row>
    <row r="252">
      <c r="B252" s="8" t="n"/>
      <c r="C252" s="8" t="n"/>
      <c r="D252" s="41" t="n"/>
      <c r="E252" s="10" t="n"/>
      <c r="F252" s="41">
        <f>D252*E252</f>
        <v/>
      </c>
      <c r="G252" s="41">
        <f>D252+F252</f>
        <v/>
      </c>
    </row>
    <row r="253">
      <c r="B253" s="8" t="n"/>
      <c r="C253" s="8" t="n"/>
      <c r="D253" s="41" t="n"/>
      <c r="E253" s="10" t="n"/>
      <c r="F253" s="41">
        <f>D253*E253</f>
        <v/>
      </c>
      <c r="G253" s="41">
        <f>D253+F253</f>
        <v/>
      </c>
    </row>
    <row r="254">
      <c r="B254" s="8" t="n"/>
      <c r="C254" s="8" t="n"/>
      <c r="D254" s="41" t="n"/>
      <c r="E254" s="10" t="n"/>
      <c r="F254" s="41">
        <f>D254*E254</f>
        <v/>
      </c>
      <c r="G254" s="41">
        <f>D254+F254</f>
        <v/>
      </c>
    </row>
    <row r="255">
      <c r="B255" s="8" t="n"/>
      <c r="C255" s="8" t="n"/>
      <c r="D255" s="41" t="n"/>
      <c r="E255" s="10" t="n"/>
      <c r="F255" s="41">
        <f>D255*E255</f>
        <v/>
      </c>
      <c r="G255" s="41">
        <f>D255+F255</f>
        <v/>
      </c>
    </row>
    <row r="256">
      <c r="B256" s="8" t="n"/>
      <c r="C256" s="8" t="n"/>
      <c r="D256" s="41" t="n"/>
      <c r="E256" s="10" t="n"/>
      <c r="F256" s="41">
        <f>D256*E256</f>
        <v/>
      </c>
      <c r="G256" s="41">
        <f>D256+F256</f>
        <v/>
      </c>
    </row>
    <row r="257">
      <c r="B257" s="8" t="n"/>
      <c r="C257" s="8" t="n"/>
      <c r="D257" s="41" t="n"/>
      <c r="E257" s="10" t="n"/>
      <c r="F257" s="41">
        <f>D257*E257</f>
        <v/>
      </c>
      <c r="G257" s="41">
        <f>D257+F257</f>
        <v/>
      </c>
    </row>
    <row r="258">
      <c r="B258" s="8" t="n"/>
      <c r="C258" s="8" t="n"/>
      <c r="D258" s="41" t="n"/>
      <c r="E258" s="10" t="n"/>
      <c r="F258" s="41">
        <f>D258*E258</f>
        <v/>
      </c>
      <c r="G258" s="41">
        <f>D258+F258</f>
        <v/>
      </c>
    </row>
    <row r="259">
      <c r="B259" s="8" t="n"/>
      <c r="C259" s="8" t="n"/>
      <c r="D259" s="41" t="n"/>
      <c r="E259" s="10" t="n"/>
      <c r="F259" s="41">
        <f>D259*E259</f>
        <v/>
      </c>
      <c r="G259" s="41">
        <f>D259+F259</f>
        <v/>
      </c>
    </row>
    <row r="260">
      <c r="B260" s="8" t="n"/>
      <c r="C260" s="8" t="n"/>
      <c r="D260" s="41" t="n"/>
      <c r="E260" s="10" t="n"/>
      <c r="F260" s="41">
        <f>D260*E260</f>
        <v/>
      </c>
      <c r="G260" s="41">
        <f>D260+F260</f>
        <v/>
      </c>
    </row>
    <row r="261">
      <c r="B261" s="8" t="n"/>
      <c r="C261" s="8" t="n"/>
      <c r="D261" s="41" t="n"/>
      <c r="E261" s="10" t="n"/>
      <c r="F261" s="41">
        <f>D261*E261</f>
        <v/>
      </c>
      <c r="G261" s="41">
        <f>D261+F261</f>
        <v/>
      </c>
    </row>
    <row r="262">
      <c r="B262" s="8" t="n"/>
      <c r="C262" s="8" t="n"/>
      <c r="D262" s="41" t="n"/>
      <c r="E262" s="10" t="n"/>
      <c r="F262" s="41">
        <f>D262*E262</f>
        <v/>
      </c>
      <c r="G262" s="41">
        <f>D262+F262</f>
        <v/>
      </c>
    </row>
    <row r="263">
      <c r="B263" s="8" t="n"/>
      <c r="C263" s="8" t="n"/>
      <c r="D263" s="41" t="n"/>
      <c r="E263" s="10" t="n"/>
      <c r="F263" s="41">
        <f>D263*E263</f>
        <v/>
      </c>
      <c r="G263" s="41">
        <f>D263+F263</f>
        <v/>
      </c>
    </row>
    <row r="264">
      <c r="B264" s="8" t="n"/>
      <c r="C264" s="8" t="n"/>
      <c r="D264" s="41" t="n"/>
      <c r="E264" s="10" t="n"/>
      <c r="F264" s="41">
        <f>D264*E264</f>
        <v/>
      </c>
      <c r="G264" s="41">
        <f>D264+F264</f>
        <v/>
      </c>
    </row>
    <row r="265">
      <c r="B265" s="8" t="n"/>
      <c r="C265" s="8" t="n"/>
      <c r="D265" s="41" t="n"/>
      <c r="E265" s="10" t="n"/>
      <c r="F265" s="41">
        <f>D265*E265</f>
        <v/>
      </c>
      <c r="G265" s="41">
        <f>D265+F265</f>
        <v/>
      </c>
    </row>
    <row r="266">
      <c r="B266" s="8" t="n"/>
      <c r="C266" s="8" t="n"/>
      <c r="D266" s="41" t="n"/>
      <c r="E266" s="10" t="n"/>
      <c r="F266" s="41">
        <f>D266*E266</f>
        <v/>
      </c>
      <c r="G266" s="41">
        <f>D266+F266</f>
        <v/>
      </c>
    </row>
    <row r="267">
      <c r="B267" s="8" t="n"/>
      <c r="C267" s="8" t="n"/>
      <c r="D267" s="41" t="n"/>
      <c r="E267" s="10" t="n"/>
      <c r="F267" s="41">
        <f>D267*E267</f>
        <v/>
      </c>
      <c r="G267" s="41">
        <f>D267+F267</f>
        <v/>
      </c>
    </row>
    <row r="268">
      <c r="B268" s="8" t="n"/>
      <c r="C268" s="8" t="n"/>
      <c r="D268" s="41" t="n"/>
      <c r="E268" s="10" t="n"/>
      <c r="F268" s="41">
        <f>D268*E268</f>
        <v/>
      </c>
      <c r="G268" s="41">
        <f>D268+F268</f>
        <v/>
      </c>
    </row>
    <row r="269">
      <c r="B269" s="8" t="n"/>
      <c r="C269" s="8" t="n"/>
      <c r="D269" s="41" t="n"/>
      <c r="E269" s="10" t="n"/>
      <c r="F269" s="41">
        <f>D269*E269</f>
        <v/>
      </c>
      <c r="G269" s="41">
        <f>D269+F269</f>
        <v/>
      </c>
    </row>
    <row r="270">
      <c r="B270" s="8" t="n"/>
      <c r="C270" s="8" t="n"/>
      <c r="D270" s="41" t="n"/>
      <c r="E270" s="10" t="n"/>
      <c r="F270" s="41">
        <f>D270*E270</f>
        <v/>
      </c>
      <c r="G270" s="41">
        <f>D270+F270</f>
        <v/>
      </c>
    </row>
    <row r="271">
      <c r="B271" s="8" t="n"/>
      <c r="C271" s="8" t="n"/>
      <c r="D271" s="41" t="n"/>
      <c r="E271" s="10" t="n"/>
      <c r="F271" s="41">
        <f>D271*E271</f>
        <v/>
      </c>
      <c r="G271" s="41">
        <f>D271+F271</f>
        <v/>
      </c>
    </row>
    <row r="272">
      <c r="B272" s="8" t="n"/>
      <c r="C272" s="8" t="n"/>
      <c r="D272" s="41" t="n"/>
      <c r="E272" s="10" t="n"/>
      <c r="F272" s="41">
        <f>D272*E272</f>
        <v/>
      </c>
      <c r="G272" s="41">
        <f>D272+F272</f>
        <v/>
      </c>
    </row>
    <row r="273">
      <c r="B273" s="8" t="n"/>
      <c r="C273" s="8" t="n"/>
      <c r="D273" s="41" t="n"/>
      <c r="E273" s="10" t="n"/>
      <c r="F273" s="41">
        <f>D273*E273</f>
        <v/>
      </c>
      <c r="G273" s="41">
        <f>D273+F273</f>
        <v/>
      </c>
    </row>
    <row r="274">
      <c r="B274" s="8" t="n"/>
      <c r="C274" s="8" t="n"/>
      <c r="D274" s="41" t="n"/>
      <c r="E274" s="10" t="n"/>
      <c r="F274" s="41">
        <f>D274*E274</f>
        <v/>
      </c>
      <c r="G274" s="41">
        <f>D274+F274</f>
        <v/>
      </c>
    </row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B3:G3">
    <sortState ref="B4:G110">
      <sortCondition ref="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I28" sqref="I28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MEDIA CAJA DE HUERVO</t>
        </is>
      </c>
      <c r="C7" s="23">
        <f>1+1+1+1</f>
        <v/>
      </c>
      <c r="D7" s="43" t="n">
        <v>45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PANCETA ADOBADA</t>
        </is>
      </c>
      <c r="C8" s="23">
        <f>3.9+4.1+3.1+3.9+6.8+6.9+7.4</f>
        <v/>
      </c>
      <c r="D8" s="43" t="n">
        <v>8.800000000000001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HUESO FRESCO</t>
        </is>
      </c>
      <c r="C9" s="23" t="n">
        <v>6</v>
      </c>
      <c r="D9" s="43" t="n">
        <v>2</v>
      </c>
      <c r="E9" s="2" t="n">
        <v>0</v>
      </c>
      <c r="F9" s="43">
        <f>(C9*D9)-((C9*D9)*E9)</f>
        <v/>
      </c>
    </row>
    <row r="10">
      <c r="B10" t="inlineStr">
        <is>
          <t>HUESO DE TUETANO</t>
        </is>
      </c>
      <c r="C10" s="23" t="n">
        <v>6</v>
      </c>
      <c r="D10" s="43" t="n">
        <v>3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MORCILLA ASTURIANA</t>
        </is>
      </c>
      <c r="C11" t="n">
        <v>8.6</v>
      </c>
      <c r="D11" t="n">
        <v>9</v>
      </c>
      <c r="E11" s="2" t="n">
        <v>0</v>
      </c>
      <c r="F11" s="43">
        <f>(C11*D11)-((C11*D11)*E11)</f>
        <v/>
      </c>
      <c r="H11" s="18" t="inlineStr">
        <is>
          <t>A2608-0010</t>
        </is>
      </c>
      <c r="I11" s="56" t="n">
        <v>45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MORRO DE TERNERA</t>
        </is>
      </c>
      <c r="C12" t="n">
        <v>4</v>
      </c>
      <c r="D12" t="n">
        <v>8.5</v>
      </c>
      <c r="E12" s="2" t="n">
        <v>0</v>
      </c>
      <c r="F12" s="43">
        <f>(C12*D12)-((C12*D12)*E12)</f>
        <v/>
      </c>
      <c r="H12" s="18" t="inlineStr">
        <is>
          <t>A2608-0213</t>
        </is>
      </c>
      <c r="I12" s="56" t="n">
        <v>285.02</v>
      </c>
      <c r="J12" s="20" t="n">
        <v>0.1</v>
      </c>
      <c r="K12" s="52">
        <f>I12*J12</f>
        <v/>
      </c>
      <c r="L12" s="52">
        <f>K12+I12</f>
        <v/>
      </c>
    </row>
    <row r="13">
      <c r="B13" t="inlineStr">
        <is>
          <t>FALDA DE TERNERA</t>
        </is>
      </c>
      <c r="C13" t="n">
        <v>6.4</v>
      </c>
      <c r="D13" t="n">
        <v>11.5</v>
      </c>
      <c r="E13" s="2" t="n">
        <v>0</v>
      </c>
      <c r="F13" s="43">
        <f>(C13*D13)-((C13*D13)*E13)</f>
        <v/>
      </c>
      <c r="H13" s="18" t="inlineStr">
        <is>
          <t>A2608-0233</t>
        </is>
      </c>
      <c r="I13" s="56" t="n">
        <v>111.68</v>
      </c>
      <c r="J13" s="20" t="n">
        <v>0.1</v>
      </c>
      <c r="K13" s="52">
        <f>I13*J13</f>
        <v/>
      </c>
      <c r="L13" s="52">
        <f>K13+I13</f>
        <v/>
      </c>
    </row>
    <row r="14">
      <c r="B14" t="inlineStr">
        <is>
          <t>PATAS DE TERNERA</t>
        </is>
      </c>
      <c r="C14" t="n">
        <v>4.2</v>
      </c>
      <c r="D14" t="n">
        <v>8.5</v>
      </c>
      <c r="E14" s="2" t="n">
        <v>0</v>
      </c>
      <c r="F14" s="43">
        <f>(C14*D14)-((C14*D14)*E14)</f>
        <v/>
      </c>
      <c r="H14" s="18" t="inlineStr">
        <is>
          <t>A2608-0257</t>
        </is>
      </c>
      <c r="I14" s="56" t="n">
        <v>27.28</v>
      </c>
      <c r="J14" s="20" t="n">
        <v>0.1</v>
      </c>
      <c r="K14" s="52">
        <f>I14*J14</f>
        <v/>
      </c>
      <c r="L14" s="52">
        <f>K14+I14</f>
        <v/>
      </c>
    </row>
    <row r="15">
      <c r="B15" t="inlineStr">
        <is>
          <t>OREJA DE CERDO</t>
        </is>
      </c>
      <c r="C15">
        <f>5.1+5.5+4.3</f>
        <v/>
      </c>
      <c r="D15" t="n">
        <v>6</v>
      </c>
      <c r="E15" s="2" t="n">
        <v>0</v>
      </c>
      <c r="F15" s="43">
        <f>(C15*D15)-((C15*D15)*E15)</f>
        <v/>
      </c>
      <c r="H15" s="18" t="inlineStr">
        <is>
          <t>A2608-0274</t>
        </is>
      </c>
      <c r="I15" s="56" t="n">
        <v>67.31999999999999</v>
      </c>
      <c r="J15" s="20" t="n">
        <v>0.1</v>
      </c>
      <c r="K15" s="52">
        <f>I15*J15</f>
        <v/>
      </c>
      <c r="L15" s="52">
        <f>K15+I15</f>
        <v/>
      </c>
    </row>
    <row r="16">
      <c r="B16" t="inlineStr">
        <is>
          <t>CAJA HUEVOS DE CORRAL</t>
        </is>
      </c>
      <c r="C16" t="n">
        <v>1</v>
      </c>
      <c r="D16" t="n">
        <v>52.5</v>
      </c>
      <c r="E16" s="2" t="n">
        <v>0</v>
      </c>
      <c r="F16" s="43">
        <f>(C16*D16)-((C16*D16)*E16)</f>
        <v/>
      </c>
      <c r="H16" s="18" t="inlineStr">
        <is>
          <t>A2608-0327</t>
        </is>
      </c>
      <c r="I16" s="56" t="n">
        <v>45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A2608-0351</t>
        </is>
      </c>
      <c r="I17" s="56" t="n">
        <v>104.84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A2608-0356</t>
        </is>
      </c>
      <c r="I18" s="56" t="n">
        <v>60.72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inlineStr">
        <is>
          <t>A2608-0379</t>
        </is>
      </c>
      <c r="I19" s="56" t="n">
        <v>143.42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1.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82"/>
  <sheetViews>
    <sheetView workbookViewId="0">
      <selection activeCell="I11" sqref="I11:K12"/>
    </sheetView>
  </sheetViews>
  <sheetFormatPr baseColWidth="10" defaultColWidth="11.5" defaultRowHeight="15"/>
  <cols>
    <col width="6.6640625" customWidth="1" min="1" max="1"/>
    <col width="37.83203125" bestFit="1" customWidth="1" min="2" max="2"/>
    <col width="6.1640625" bestFit="1" customWidth="1" min="3" max="3"/>
    <col width="9.6640625" bestFit="1" customWidth="1" style="23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" bestFit="1" customWidth="1" style="43" min="10" max="10"/>
    <col width="6.33203125" bestFit="1" customWidth="1" style="2" min="11" max="11"/>
    <col width="8.33203125" bestFit="1" customWidth="1" min="12" max="12"/>
    <col width="9.33203125" bestFit="1" customWidth="1" min="13" max="13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s="23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MEDALLON P. SOLOMILLO VACUNO (precio+MER 0,07)</t>
        </is>
      </c>
      <c r="D7" s="23">
        <f>6.17+4.19+4.0</f>
        <v/>
      </c>
      <c r="E7" s="43" t="n">
        <v>36.97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ENTRECOT T. MORUCHA (precio+MER 0,07)</t>
        </is>
      </c>
      <c r="D8" s="23">
        <f>13.34+10.91</f>
        <v/>
      </c>
      <c r="E8" s="43" t="n">
        <v>27.57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  <c r="K8" s="54">
        <f>J8-S6</f>
        <v/>
      </c>
    </row>
    <row r="9">
      <c r="D9" s="23" t="n"/>
      <c r="E9" s="43" t="n"/>
      <c r="F9" s="2" t="n">
        <v>0</v>
      </c>
      <c r="G9" s="43">
        <f>(D9*E9)-((D9*E9)*F9)</f>
        <v/>
      </c>
    </row>
    <row r="10">
      <c r="D10" s="23" t="n"/>
      <c r="E10" s="43" t="n"/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F11" s="2" t="n">
        <v>0</v>
      </c>
      <c r="G11" s="43">
        <f>(D11*E11)-((D11*E11)*F11)</f>
        <v/>
      </c>
      <c r="I11" s="18" t="inlineStr">
        <is>
          <t>M26/935</t>
        </is>
      </c>
      <c r="J11" s="56" t="n">
        <v>228.11</v>
      </c>
      <c r="K11" s="20" t="n">
        <v>0.1</v>
      </c>
      <c r="L11" s="52">
        <f>J11*K11</f>
        <v/>
      </c>
      <c r="M11" s="52">
        <f>L11+J11</f>
        <v/>
      </c>
    </row>
    <row r="12">
      <c r="F12" s="2" t="n">
        <v>0</v>
      </c>
      <c r="G12" s="43">
        <f>(D12*E12)-((D12*E12)*F12)</f>
        <v/>
      </c>
      <c r="I12" s="18" t="inlineStr">
        <is>
          <t>M26/952</t>
        </is>
      </c>
      <c r="J12" s="56" t="n">
        <v>522.6799999999999</v>
      </c>
      <c r="K12" s="20" t="n">
        <v>0.1</v>
      </c>
      <c r="L12" s="52">
        <f>J12*K12</f>
        <v/>
      </c>
      <c r="M12" s="52">
        <f>L12+J12</f>
        <v/>
      </c>
    </row>
    <row r="13">
      <c r="F13" s="2" t="n">
        <v>0</v>
      </c>
      <c r="G13" s="43">
        <f>(D13*E13)-((D13*E13)*F13)</f>
        <v/>
      </c>
      <c r="I13" s="18" t="inlineStr">
        <is>
          <t>M26/928</t>
        </is>
      </c>
      <c r="J13" s="56" t="n">
        <v>448.67</v>
      </c>
      <c r="K13" s="20" t="n">
        <v>0.1</v>
      </c>
      <c r="L13" s="52">
        <f>J13*K13</f>
        <v/>
      </c>
      <c r="M13" s="52">
        <f>L13+J13</f>
        <v/>
      </c>
    </row>
    <row r="14">
      <c r="F14" s="2" t="n">
        <v>0</v>
      </c>
      <c r="G14" s="43">
        <f>(D14*E14)-((D14*E14)*F14)</f>
        <v/>
      </c>
      <c r="I14" s="18" t="n"/>
      <c r="J14" s="56" t="n"/>
      <c r="K14" s="20" t="n">
        <v>0.1</v>
      </c>
      <c r="L14" s="52">
        <f>J14*K14</f>
        <v/>
      </c>
      <c r="M14" s="52">
        <f>L14+J14</f>
        <v/>
      </c>
    </row>
    <row r="15">
      <c r="F15" s="2" t="n">
        <v>0</v>
      </c>
      <c r="G15" s="43">
        <f>(D15*E15)-((D15*E15)*F15)</f>
        <v/>
      </c>
      <c r="I15" s="18" t="n"/>
      <c r="J15" s="56" t="n"/>
      <c r="K15" s="20" t="n">
        <v>0.1</v>
      </c>
      <c r="L15" s="52">
        <f>J15*K15</f>
        <v/>
      </c>
      <c r="M15" s="52">
        <f>L15+J15</f>
        <v/>
      </c>
    </row>
    <row r="16">
      <c r="F16" s="2" t="n">
        <v>0</v>
      </c>
      <c r="G16" s="43">
        <f>(D16*E16)-((D16*E16)*F16)</f>
        <v/>
      </c>
      <c r="I16" s="18" t="n"/>
      <c r="J16" s="56" t="n"/>
      <c r="K16" s="20" t="n">
        <v>0.1</v>
      </c>
      <c r="L16" s="52">
        <f>J16*K16</f>
        <v/>
      </c>
      <c r="M16" s="52">
        <f>L16+J16</f>
        <v/>
      </c>
    </row>
    <row r="17">
      <c r="F17" s="2" t="n">
        <v>0</v>
      </c>
      <c r="G17" s="43">
        <f>(D17*E17)-((D17*E17)*F17)</f>
        <v/>
      </c>
      <c r="I17" s="18" t="n"/>
      <c r="J17" s="56" t="n"/>
      <c r="K17" s="20" t="n">
        <v>0.1</v>
      </c>
      <c r="L17" s="52">
        <f>J17*K17</f>
        <v/>
      </c>
      <c r="M17" s="52">
        <f>L17+J17</f>
        <v/>
      </c>
    </row>
    <row r="18">
      <c r="F18" s="2" t="n">
        <v>0</v>
      </c>
      <c r="G18" s="43">
        <f>(D18*E18)-((D18*E18)*F18)</f>
        <v/>
      </c>
      <c r="I18" s="18" t="n"/>
      <c r="J18" s="56" t="n"/>
      <c r="K18" s="20" t="n">
        <v>0.1</v>
      </c>
      <c r="L18" s="52">
        <f>J18*K18</f>
        <v/>
      </c>
      <c r="M18" s="52">
        <f>L18+J18</f>
        <v/>
      </c>
    </row>
    <row r="19">
      <c r="F19" s="2" t="n">
        <v>0</v>
      </c>
      <c r="G19" s="43">
        <f>(D19*E19)-((D19*E19)*F19)</f>
        <v/>
      </c>
      <c r="I19" s="18" t="n"/>
      <c r="J19" s="56" t="n"/>
      <c r="K19" s="20" t="n">
        <v>0.1</v>
      </c>
      <c r="L19" s="52">
        <f>J19*K19</f>
        <v/>
      </c>
      <c r="M19" s="52">
        <f>L19+J19</f>
        <v/>
      </c>
    </row>
    <row r="20">
      <c r="F20" s="2" t="n">
        <v>0</v>
      </c>
      <c r="G20" s="43">
        <f>(D20*E20)-((D20*E20)*F20)</f>
        <v/>
      </c>
      <c r="I20" s="18" t="n"/>
      <c r="J20" s="56" t="n"/>
      <c r="K20" s="20" t="n">
        <v>0.1</v>
      </c>
      <c r="L20" s="52">
        <f>J20*K20</f>
        <v/>
      </c>
      <c r="M20" s="52">
        <f>L20+J20</f>
        <v/>
      </c>
    </row>
    <row r="21">
      <c r="F21" s="2" t="n">
        <v>0</v>
      </c>
      <c r="G21" s="43">
        <f>(D21*E21)-((D21*E21)*F21)</f>
        <v/>
      </c>
      <c r="K21" s="2" t="n">
        <v>0.21</v>
      </c>
      <c r="L21" s="52">
        <f>J21*K21</f>
        <v/>
      </c>
      <c r="M21" s="52">
        <f>L21+J21</f>
        <v/>
      </c>
    </row>
    <row r="22">
      <c r="F22" s="2" t="n">
        <v>0</v>
      </c>
      <c r="G22" s="43">
        <f>(D22*E22)-((D22*E22)*F22)</f>
        <v/>
      </c>
      <c r="K22" s="2" t="n">
        <v>0.1</v>
      </c>
      <c r="L22" s="52">
        <f>J22*K22</f>
        <v/>
      </c>
      <c r="M22" s="52">
        <f>L22+J22</f>
        <v/>
      </c>
    </row>
    <row r="23">
      <c r="F23" s="2" t="n">
        <v>0</v>
      </c>
      <c r="G23" s="43">
        <f>(D23*E23)-((D23*E23)*F23)</f>
        <v/>
      </c>
      <c r="K23" s="2" t="n">
        <v>0.21</v>
      </c>
      <c r="L23" s="52">
        <f>J23*K23</f>
        <v/>
      </c>
      <c r="M23" s="52">
        <f>L23+J23</f>
        <v/>
      </c>
    </row>
    <row r="24">
      <c r="F24" s="2" t="n">
        <v>0</v>
      </c>
      <c r="G24" s="43">
        <f>(D24*E24)-((D24*E24)*F24)</f>
        <v/>
      </c>
      <c r="K24" s="2" t="n">
        <v>0.1</v>
      </c>
      <c r="L24" s="52">
        <f>J24*K24</f>
        <v/>
      </c>
      <c r="M24" s="52">
        <f>L24+J24</f>
        <v/>
      </c>
    </row>
    <row r="25">
      <c r="F25" s="2" t="n">
        <v>0</v>
      </c>
      <c r="G25" s="43">
        <f>(D25*E25)-((D25*E25)*F25)</f>
        <v/>
      </c>
      <c r="H25" s="17" t="n"/>
      <c r="K25" s="2" t="n">
        <v>0.21</v>
      </c>
      <c r="L25" s="52">
        <f>J25*K25</f>
        <v/>
      </c>
      <c r="M25" s="52">
        <f>L25+J25</f>
        <v/>
      </c>
    </row>
    <row r="26">
      <c r="F26" s="2" t="n">
        <v>0</v>
      </c>
      <c r="G26" s="43">
        <f>(D26*E26)-((D26*E26)*F26)</f>
        <v/>
      </c>
    </row>
    <row r="27">
      <c r="F27" s="2" t="n">
        <v>0</v>
      </c>
      <c r="G27" s="43">
        <f>(D27*E27)-((D27*E27)*F27)</f>
        <v/>
      </c>
    </row>
    <row r="28">
      <c r="F28" s="2" t="n">
        <v>0</v>
      </c>
      <c r="G28" s="43">
        <f>(D28*E28)-((D28*E28)*F28)</f>
        <v/>
      </c>
    </row>
    <row r="29">
      <c r="F29" s="2" t="n">
        <v>0</v>
      </c>
      <c r="G29" s="43">
        <f>(D29*E29)-((D29*E29)*F29)</f>
        <v/>
      </c>
    </row>
    <row r="30">
      <c r="F30" s="2" t="n">
        <v>0</v>
      </c>
      <c r="G30" s="43">
        <f>(D30*E30)-((D30*E30)*F30)</f>
        <v/>
      </c>
    </row>
    <row r="31">
      <c r="F31" s="2" t="n">
        <v>0</v>
      </c>
      <c r="G31" s="43">
        <f>(D31*E31)-((D31*E31)*F31)</f>
        <v/>
      </c>
    </row>
    <row r="32">
      <c r="F32" s="2" t="n">
        <v>0</v>
      </c>
      <c r="G32" s="43">
        <f>(D32*E32)-((D32*E32)*F32)</f>
        <v/>
      </c>
    </row>
    <row r="33">
      <c r="F33" s="2" t="n">
        <v>0</v>
      </c>
      <c r="G33" s="43">
        <f>(D33*E33)-((D33*E33)*F33)</f>
        <v/>
      </c>
    </row>
    <row r="34">
      <c r="F34" s="2" t="n">
        <v>0</v>
      </c>
      <c r="G34" s="43">
        <f>(D34*E34)-((D34*E34)*F34)</f>
        <v/>
      </c>
    </row>
    <row r="35">
      <c r="F35" s="2" t="n">
        <v>0</v>
      </c>
      <c r="G35" s="43">
        <f>(D35*E35)-((D35*E35)*F35)</f>
        <v/>
      </c>
    </row>
    <row r="36">
      <c r="F36" s="2" t="n">
        <v>0</v>
      </c>
      <c r="G36" s="43">
        <f>(D36*E36)-((D36*E36)*F36)</f>
        <v/>
      </c>
    </row>
    <row r="37">
      <c r="F37" s="2" t="n">
        <v>0</v>
      </c>
      <c r="G37" s="43">
        <f>(D37*E37)-((D37*E37)*F37)</f>
        <v/>
      </c>
    </row>
    <row r="38">
      <c r="F38" s="2" t="n">
        <v>0</v>
      </c>
      <c r="G38" s="43">
        <f>(D38*E38)-((D38*E38)*F38)</f>
        <v/>
      </c>
    </row>
    <row r="39">
      <c r="F39" s="2" t="n">
        <v>0</v>
      </c>
      <c r="G39" s="43">
        <f>(D39*E39)-((D39*E39)*F39)</f>
        <v/>
      </c>
    </row>
    <row r="40">
      <c r="F40" s="2" t="n">
        <v>0</v>
      </c>
      <c r="G40" s="43">
        <f>(D40*E40)-((D40*E40)*F40)</f>
        <v/>
      </c>
    </row>
    <row r="41">
      <c r="F41" s="2" t="n">
        <v>0</v>
      </c>
      <c r="G41" s="43">
        <f>(D41*E41)-((D41*E41)*F41)</f>
        <v/>
      </c>
    </row>
    <row r="42">
      <c r="F42" s="2" t="n">
        <v>0</v>
      </c>
      <c r="G42" s="43">
        <f>(D42*E42)-((D42*E42)*F42)</f>
        <v/>
      </c>
    </row>
    <row r="43">
      <c r="F43" s="2" t="n">
        <v>0</v>
      </c>
      <c r="G43" s="43">
        <f>(D43*E43)-((D43*E43)*F43)</f>
        <v/>
      </c>
    </row>
    <row r="44">
      <c r="F44" s="2" t="n">
        <v>0</v>
      </c>
      <c r="G44" s="43">
        <f>(D44*E44)-((D44*E44)*F44)</f>
        <v/>
      </c>
    </row>
    <row r="45">
      <c r="F45" s="2" t="n">
        <v>0</v>
      </c>
      <c r="G45" s="43">
        <f>(D45*E45)-((D45*E45)*F45)</f>
        <v/>
      </c>
    </row>
    <row r="46">
      <c r="F46" s="2" t="n">
        <v>0</v>
      </c>
      <c r="G46" s="43">
        <f>(D46*E46)-((D46*E46)*F46)</f>
        <v/>
      </c>
    </row>
    <row r="47">
      <c r="F47" s="2" t="n">
        <v>0</v>
      </c>
      <c r="G47" s="43">
        <f>(D47*E47)-((D47*E47)*F47)</f>
        <v/>
      </c>
    </row>
    <row r="48">
      <c r="F48" s="2" t="n">
        <v>0</v>
      </c>
      <c r="G48" s="43">
        <f>(D48*E48)-((D48*E48)*F48)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7.83203125" bestFit="1" customWidth="1" min="2" max="2"/>
    <col width="6.1640625" bestFit="1" customWidth="1" min="3" max="3"/>
    <col width="9.6640625" bestFit="1" customWidth="1" style="23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" bestFit="1" customWidth="1" style="43" min="10" max="10"/>
    <col width="6.33203125" bestFit="1" customWidth="1" style="2" min="11" max="11"/>
    <col width="8.33203125" bestFit="1" customWidth="1" min="12" max="12"/>
    <col width="9.33203125" bestFit="1" customWidth="1" min="13" max="13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s="23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 xml:space="preserve">BID. PET A.GIRASOL ALTO OLEICO </t>
        </is>
      </c>
      <c r="C7">
        <f>2+1</f>
        <v/>
      </c>
      <c r="D7" s="23">
        <f>C7*1</f>
        <v/>
      </c>
      <c r="E7" s="43" t="n">
        <v>45.95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BID. PET CUAD. A.O. SUAVE GUADALIMAR 5L</t>
        </is>
      </c>
      <c r="C8" t="n">
        <v>3</v>
      </c>
      <c r="D8" s="23">
        <f>C8*3</f>
        <v/>
      </c>
      <c r="E8" s="43" t="n">
        <v>24.95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  <c r="K8" s="54">
        <f>J8-S6</f>
        <v/>
      </c>
    </row>
    <row r="9">
      <c r="B9" t="inlineStr">
        <is>
          <t xml:space="preserve">BID. PET A.GIRASOL ALTO OLEICO </t>
        </is>
      </c>
      <c r="C9">
        <f>1+1</f>
        <v/>
      </c>
      <c r="D9" s="23">
        <f>C9*1</f>
        <v/>
      </c>
      <c r="E9" s="43" t="n">
        <v>44.95</v>
      </c>
      <c r="F9" s="2" t="n">
        <v>0</v>
      </c>
      <c r="G9" s="43">
        <f>(D9*E9)-((D9*E9)*F9)</f>
        <v/>
      </c>
    </row>
    <row r="10">
      <c r="B10" t="inlineStr">
        <is>
          <t>BID. PET CUAD. A.O. SUAVE GUADALIMAR 5L</t>
        </is>
      </c>
      <c r="C10">
        <f>2+2+1</f>
        <v/>
      </c>
      <c r="D10">
        <f>C10*3</f>
        <v/>
      </c>
      <c r="E10" t="n">
        <v>23.95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LATA A.O.V.E. AU LINGOTE TEMPRANO</t>
        </is>
      </c>
      <c r="C11" t="n">
        <v>1</v>
      </c>
      <c r="D11">
        <f>C11*15</f>
        <v/>
      </c>
      <c r="E11" t="n">
        <v>7.95</v>
      </c>
      <c r="F11" s="2" t="n">
        <v>0</v>
      </c>
      <c r="G11" s="43">
        <f>(D11*E11)-((D11*E11)*F11)</f>
        <v/>
      </c>
      <c r="I11" s="18" t="n">
        <v>19624</v>
      </c>
      <c r="J11" s="56" t="n">
        <v>91.90000000000001</v>
      </c>
      <c r="K11" s="20" t="n">
        <v>0.1</v>
      </c>
      <c r="L11" s="52">
        <f>J11*K11</f>
        <v/>
      </c>
      <c r="M11" s="52">
        <f>L11+J11</f>
        <v/>
      </c>
    </row>
    <row r="12">
      <c r="F12" s="2" t="n">
        <v>0</v>
      </c>
      <c r="G12" s="43">
        <f>(D12*E12)-((D12*E12)*F12)</f>
        <v/>
      </c>
      <c r="I12" s="18" t="n">
        <v>19624</v>
      </c>
      <c r="J12" s="56" t="n">
        <v>224.55</v>
      </c>
      <c r="K12" s="20" t="n">
        <v>0.04</v>
      </c>
      <c r="L12" s="52">
        <f>J12*K12</f>
        <v/>
      </c>
      <c r="M12" s="52">
        <f>L12+J12</f>
        <v/>
      </c>
    </row>
    <row r="13">
      <c r="F13" s="2" t="n">
        <v>0</v>
      </c>
      <c r="G13" s="43">
        <f>(D13*E13)-((D13*E13)*F13)</f>
        <v/>
      </c>
      <c r="I13" s="18" t="n">
        <v>20748</v>
      </c>
      <c r="J13" s="56" t="n">
        <v>44.95</v>
      </c>
      <c r="K13" s="20" t="n">
        <v>0.1</v>
      </c>
      <c r="L13" s="52">
        <f>J13*K13</f>
        <v/>
      </c>
      <c r="M13" s="52">
        <f>L13+J13</f>
        <v/>
      </c>
    </row>
    <row r="14">
      <c r="F14" s="2" t="n">
        <v>0</v>
      </c>
      <c r="G14" s="43">
        <f>(D14*E14)-((D14*E14)*F14)</f>
        <v/>
      </c>
      <c r="I14" s="18" t="n">
        <v>20748</v>
      </c>
      <c r="J14" s="56" t="n">
        <v>262.95</v>
      </c>
      <c r="K14" s="20" t="n">
        <v>0.04</v>
      </c>
      <c r="L14" s="52">
        <f>J14*K14</f>
        <v/>
      </c>
      <c r="M14" s="52">
        <f>L14+J14</f>
        <v/>
      </c>
    </row>
    <row r="15">
      <c r="F15" s="2" t="n">
        <v>0</v>
      </c>
      <c r="G15" s="43">
        <f>(D15*E15)-((D15*E15)*F15)</f>
        <v/>
      </c>
      <c r="I15" s="18" t="n">
        <v>21111</v>
      </c>
      <c r="J15" s="56" t="n">
        <v>44.95</v>
      </c>
      <c r="K15" s="20" t="n">
        <v>0.1</v>
      </c>
      <c r="L15" s="52">
        <f>J15*K15</f>
        <v/>
      </c>
      <c r="M15" s="52">
        <f>L15+J15</f>
        <v/>
      </c>
    </row>
    <row r="16">
      <c r="F16" s="2" t="n">
        <v>0</v>
      </c>
      <c r="G16" s="43">
        <f>(D16*E16)-((D16*E16)*F16)</f>
        <v/>
      </c>
      <c r="I16" s="18" t="n">
        <v>21111</v>
      </c>
      <c r="J16" s="56" t="n">
        <v>143.7</v>
      </c>
      <c r="K16" s="20" t="n">
        <v>0.04</v>
      </c>
      <c r="L16" s="52">
        <f>J16*K16</f>
        <v/>
      </c>
      <c r="M16" s="52">
        <f>L16+J16</f>
        <v/>
      </c>
    </row>
    <row r="17">
      <c r="F17" s="2" t="n">
        <v>0</v>
      </c>
      <c r="G17" s="43">
        <f>(D17*E17)-((D17*E17)*F17)</f>
        <v/>
      </c>
      <c r="I17" s="18" t="n">
        <v>21604</v>
      </c>
      <c r="J17" s="56" t="n">
        <v>45.95</v>
      </c>
      <c r="K17" s="20" t="n">
        <v>0.1</v>
      </c>
      <c r="L17" s="52">
        <f>J17*K17</f>
        <v/>
      </c>
      <c r="M17" s="52">
        <f>L17+J17</f>
        <v/>
      </c>
    </row>
    <row r="18">
      <c r="F18" s="2" t="n">
        <v>0</v>
      </c>
      <c r="G18" s="43">
        <f>(D18*E18)-((D18*E18)*F18)</f>
        <v/>
      </c>
      <c r="I18" s="18" t="n">
        <v>21604</v>
      </c>
      <c r="J18" s="56" t="n">
        <v>71.84999999999999</v>
      </c>
      <c r="K18" s="20" t="n">
        <v>0.04</v>
      </c>
      <c r="L18" s="52">
        <f>J18*K18</f>
        <v/>
      </c>
      <c r="M18" s="52">
        <f>L18+J18</f>
        <v/>
      </c>
    </row>
    <row r="19">
      <c r="F19" s="2" t="n">
        <v>0</v>
      </c>
      <c r="G19" s="43">
        <f>(D19*E19)-((D19*E19)*F19)</f>
        <v/>
      </c>
      <c r="I19" s="18" t="n"/>
      <c r="J19" s="56" t="n"/>
      <c r="K19" s="20" t="n">
        <v>0.04</v>
      </c>
      <c r="L19" s="52">
        <f>J19*K19</f>
        <v/>
      </c>
      <c r="M19" s="52">
        <f>L19+J19</f>
        <v/>
      </c>
    </row>
    <row r="20">
      <c r="F20" s="2" t="n">
        <v>0</v>
      </c>
      <c r="G20" s="43">
        <f>(D20*E20)-((D20*E20)*F20)</f>
        <v/>
      </c>
      <c r="I20" s="18" t="n"/>
      <c r="J20" s="56" t="n"/>
      <c r="K20" s="20" t="n">
        <v>0.1</v>
      </c>
      <c r="L20" s="52">
        <f>J20*K20</f>
        <v/>
      </c>
      <c r="M20" s="52">
        <f>L20+J20</f>
        <v/>
      </c>
    </row>
    <row r="21">
      <c r="F21" s="2" t="n">
        <v>0</v>
      </c>
      <c r="G21" s="43">
        <f>(D21*E21)-((D21*E21)*F21)</f>
        <v/>
      </c>
      <c r="I21" s="18" t="n"/>
      <c r="J21" s="56" t="n"/>
      <c r="K21" s="20" t="n">
        <v>0.04</v>
      </c>
      <c r="L21" s="52">
        <f>J21*K21</f>
        <v/>
      </c>
      <c r="M21" s="52">
        <f>L21+J21</f>
        <v/>
      </c>
    </row>
    <row r="22">
      <c r="F22" s="2" t="n">
        <v>0</v>
      </c>
      <c r="G22" s="43">
        <f>(D22*E22)-((D22*E22)*F22)</f>
        <v/>
      </c>
      <c r="I22" s="18" t="n"/>
      <c r="J22" s="56" t="n"/>
      <c r="K22" s="20" t="n">
        <v>0.1</v>
      </c>
      <c r="L22" s="52">
        <f>J22*K22</f>
        <v/>
      </c>
      <c r="M22" s="52">
        <f>L22+J22</f>
        <v/>
      </c>
    </row>
    <row r="23">
      <c r="F23" s="2" t="n">
        <v>0</v>
      </c>
      <c r="G23" s="43">
        <f>(D23*E23)-((D23*E23)*F23)</f>
        <v/>
      </c>
      <c r="I23" s="18" t="n"/>
      <c r="J23" s="56" t="n"/>
      <c r="K23" s="20" t="n">
        <v>0.04</v>
      </c>
      <c r="L23" s="52">
        <f>J23*K23</f>
        <v/>
      </c>
      <c r="M23" s="52">
        <f>L23+J23</f>
        <v/>
      </c>
    </row>
    <row r="24">
      <c r="F24" s="2" t="n">
        <v>0</v>
      </c>
      <c r="G24" s="43">
        <f>(D24*E24)-((D24*E24)*F24)</f>
        <v/>
      </c>
      <c r="K24" s="2" t="n">
        <v>0.1</v>
      </c>
      <c r="L24" s="52">
        <f>J24*K24</f>
        <v/>
      </c>
      <c r="M24" s="52">
        <f>L24+J24</f>
        <v/>
      </c>
    </row>
    <row r="25">
      <c r="F25" s="2" t="n">
        <v>0</v>
      </c>
      <c r="G25" s="43">
        <f>(D25*E25)-((D25*E25)*F25)</f>
        <v/>
      </c>
      <c r="H25" s="17" t="n"/>
      <c r="K25" s="2" t="n">
        <v>0.21</v>
      </c>
      <c r="L25" s="52">
        <f>J25*K25</f>
        <v/>
      </c>
      <c r="M25" s="52">
        <f>L25+J25</f>
        <v/>
      </c>
    </row>
    <row r="26">
      <c r="F26" s="2" t="n">
        <v>0</v>
      </c>
      <c r="G26" s="43">
        <f>(D26*E26)-((D26*E26)*F26)</f>
        <v/>
      </c>
    </row>
    <row r="27">
      <c r="F27" s="2" t="n">
        <v>0</v>
      </c>
      <c r="G27" s="43">
        <f>(D27*E27)-((D27*E27)*F27)</f>
        <v/>
      </c>
    </row>
    <row r="28">
      <c r="F28" s="2" t="n">
        <v>0</v>
      </c>
      <c r="G28" s="43">
        <f>(D28*E28)-((D28*E28)*F28)</f>
        <v/>
      </c>
    </row>
    <row r="29">
      <c r="F29" s="2" t="n">
        <v>0</v>
      </c>
      <c r="G29" s="43">
        <f>(D29*E29)-((D29*E29)*F29)</f>
        <v/>
      </c>
    </row>
    <row r="30">
      <c r="F30" s="2" t="n">
        <v>0</v>
      </c>
      <c r="G30" s="43">
        <f>(D30*E30)-((D30*E30)*F30)</f>
        <v/>
      </c>
    </row>
    <row r="31">
      <c r="F31" s="2" t="n">
        <v>0</v>
      </c>
      <c r="G31" s="43">
        <f>(D31*E31)-((D31*E31)*F31)</f>
        <v/>
      </c>
    </row>
    <row r="32">
      <c r="F32" s="2" t="n">
        <v>0</v>
      </c>
      <c r="G32" s="43">
        <f>(D32*E32)-((D32*E32)*F32)</f>
        <v/>
      </c>
    </row>
    <row r="33">
      <c r="F33" s="2" t="n">
        <v>0</v>
      </c>
      <c r="G33" s="43">
        <f>(D33*E33)-((D33*E33)*F33)</f>
        <v/>
      </c>
    </row>
    <row r="34">
      <c r="F34" s="2" t="n">
        <v>0</v>
      </c>
      <c r="G34" s="43">
        <f>(D34*E34)-((D34*E34)*F34)</f>
        <v/>
      </c>
    </row>
    <row r="35">
      <c r="F35" s="2" t="n">
        <v>0</v>
      </c>
      <c r="G35" s="43">
        <f>(D35*E35)-((D35*E35)*F35)</f>
        <v/>
      </c>
    </row>
    <row r="36">
      <c r="F36" s="2" t="n">
        <v>0</v>
      </c>
      <c r="G36" s="43">
        <f>(D36*E36)-((D36*E36)*F36)</f>
        <v/>
      </c>
    </row>
    <row r="37">
      <c r="F37" s="2" t="n">
        <v>0</v>
      </c>
      <c r="G37" s="43">
        <f>(D37*E37)-((D37*E37)*F37)</f>
        <v/>
      </c>
    </row>
    <row r="38">
      <c r="F38" s="2" t="n">
        <v>0</v>
      </c>
      <c r="G38" s="43">
        <f>(D38*E38)-((D38*E38)*F38)</f>
        <v/>
      </c>
    </row>
    <row r="39">
      <c r="F39" s="2" t="n">
        <v>0</v>
      </c>
      <c r="G39" s="43">
        <f>(D39*E39)-((D39*E39)*F39)</f>
        <v/>
      </c>
    </row>
    <row r="40">
      <c r="F40" s="2" t="n">
        <v>0</v>
      </c>
      <c r="G40" s="43">
        <f>(D40*E40)-((D40*E40)*F40)</f>
        <v/>
      </c>
    </row>
    <row r="41">
      <c r="F41" s="2" t="n">
        <v>0</v>
      </c>
      <c r="G41" s="43">
        <f>(D41*E41)-((D41*E41)*F41)</f>
        <v/>
      </c>
    </row>
    <row r="42">
      <c r="F42" s="2" t="n">
        <v>0</v>
      </c>
      <c r="G42" s="43">
        <f>(D42*E42)-((D42*E42)*F42)</f>
        <v/>
      </c>
    </row>
    <row r="43">
      <c r="F43" s="2" t="n">
        <v>0</v>
      </c>
      <c r="G43" s="43">
        <f>(D43*E43)-((D43*E43)*F43)</f>
        <v/>
      </c>
    </row>
    <row r="44">
      <c r="F44" s="2" t="n">
        <v>0</v>
      </c>
      <c r="G44" s="43">
        <f>(D44*E44)-((D44*E44)*F44)</f>
        <v/>
      </c>
    </row>
    <row r="45">
      <c r="F45" s="2" t="n">
        <v>0</v>
      </c>
      <c r="G45" s="43">
        <f>(D45*E45)-((D45*E45)*F45)</f>
        <v/>
      </c>
    </row>
    <row r="46">
      <c r="F46" s="2" t="n">
        <v>0</v>
      </c>
      <c r="G46" s="43">
        <f>(D46*E46)-((D46*E46)*F46)</f>
        <v/>
      </c>
    </row>
    <row r="47">
      <c r="F47" s="2" t="n">
        <v>0</v>
      </c>
      <c r="G47" s="43">
        <f>(D47*E47)-((D47*E47)*F47)</f>
        <v/>
      </c>
    </row>
    <row r="48">
      <c r="F48" s="2" t="n">
        <v>0</v>
      </c>
      <c r="G48" s="43">
        <f>(D48*E48)-((D48*E48)*F48)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ANCHOAS CANTABRICO COSTERA</t>
        </is>
      </c>
      <c r="C7" s="23">
        <f>8+8</f>
        <v/>
      </c>
      <c r="D7" s="43" t="n">
        <v>16.9</v>
      </c>
      <c r="E7" s="2" t="n">
        <v>0.02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VENTRESCA DE BONITO EXTRA</t>
        </is>
      </c>
      <c r="C8" s="23" t="n">
        <v>24</v>
      </c>
      <c r="D8" s="43" t="n">
        <v>5.86</v>
      </c>
      <c r="E8" s="2" t="n">
        <v>0.02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ANCHOAS DEL CANTABRICO GRAN RESERVA</t>
        </is>
      </c>
      <c r="C9" s="23" t="n">
        <v>16</v>
      </c>
      <c r="D9" s="43" t="n">
        <v>28.66</v>
      </c>
      <c r="E9" s="2" t="n">
        <v>0.02</v>
      </c>
      <c r="F9" s="43">
        <f>(C9*D9)-((C9*D9)*E9)</f>
        <v/>
      </c>
    </row>
    <row r="10">
      <c r="B10" t="inlineStr">
        <is>
          <t>MEJILLONES ESCABECHE RIAS GALLEGAS OL-120 6/8</t>
        </is>
      </c>
      <c r="C10" t="n">
        <v>24</v>
      </c>
      <c r="D10" t="n">
        <v>5.96</v>
      </c>
      <c r="E10" s="2" t="n">
        <v>0.02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MOJAMA EXTRA SUPERIOR LA CHANCA</t>
        </is>
      </c>
      <c r="C11" t="n">
        <v>1.94</v>
      </c>
      <c r="D11" t="n">
        <v>36.4</v>
      </c>
      <c r="E11" s="2" t="n">
        <v>0.02</v>
      </c>
      <c r="F11" s="43">
        <f>(C11*D11)-((C11*D11)*E11)</f>
        <v/>
      </c>
      <c r="H11" s="18" t="inlineStr">
        <is>
          <t>26A01042</t>
        </is>
      </c>
      <c r="I11" s="56" t="n">
        <v>859.89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26A01059</t>
        </is>
      </c>
      <c r="I12" s="56" t="n">
        <v>201.7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RACION J. BELLOTA 100% 100gr</t>
        </is>
      </c>
      <c r="C7" s="23" t="n">
        <v>20</v>
      </c>
      <c r="D7" s="43" t="n">
        <v>13.9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RACION CECINA PREMIUM 100gr (BLACK ANGUS)</t>
        </is>
      </c>
      <c r="C8" s="23" t="n">
        <v>20</v>
      </c>
      <c r="D8" s="43" t="n">
        <v>7.35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26/11925</t>
        </is>
      </c>
      <c r="I11" s="56" t="n">
        <v>425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C7" s="23" t="n"/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/>
      <c r="I11" s="56" t="n"/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PICOS ARTESANOS 500gr</t>
        </is>
      </c>
      <c r="C7" s="23">
        <f>2+2+3</f>
        <v/>
      </c>
      <c r="D7" s="43" t="n">
        <v>11.48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DELIFLAUTA 17 PERRITO 90  uds</t>
        </is>
      </c>
      <c r="C8" s="23">
        <f>1+2+3+3+3</f>
        <v/>
      </c>
      <c r="D8" s="43" t="n">
        <v>17.73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PAN MOLDE BRIOCHE (7 ud)</t>
        </is>
      </c>
      <c r="C9" s="23" t="n">
        <v>1</v>
      </c>
      <c r="D9" s="43" t="n">
        <v>88.09</v>
      </c>
      <c r="E9" s="2" t="n">
        <v>0</v>
      </c>
      <c r="F9" s="43">
        <f>(C9*D9)-((C9*D9)*E9)</f>
        <v/>
      </c>
    </row>
    <row r="10">
      <c r="C10" s="23" t="n"/>
      <c r="D10" s="43" t="n"/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A2/9526</t>
        </is>
      </c>
      <c r="I11" s="56" t="n">
        <v>88.09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A2/9526</t>
        </is>
      </c>
      <c r="I12" s="56" t="n">
        <v>40.69</v>
      </c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A2/9861</t>
        </is>
      </c>
      <c r="I13" s="56" t="n">
        <v>35.46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A2/10002</t>
        </is>
      </c>
      <c r="I14" s="56" t="n">
        <v>76.15000000000001</v>
      </c>
      <c r="J14" s="20" t="n">
        <v>0.04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A2/10106</t>
        </is>
      </c>
      <c r="I15" s="56" t="n">
        <v>53.19</v>
      </c>
      <c r="J15" s="20" t="n">
        <v>0.04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A2/10260</t>
        </is>
      </c>
      <c r="I16" s="56" t="n">
        <v>87.63</v>
      </c>
      <c r="J16" s="20" t="n">
        <v>0.04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0" t="n">
        <v>0.04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0.04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0.04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0.04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0.04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82"/>
  <sheetViews>
    <sheetView workbookViewId="0">
      <selection activeCell="I15" sqref="I15:K15"/>
    </sheetView>
  </sheetViews>
  <sheetFormatPr baseColWidth="10" defaultColWidth="11.5" defaultRowHeight="15"/>
  <cols>
    <col width="6.6640625" customWidth="1" style="4" min="1" max="1"/>
    <col width="26.33203125" bestFit="1" customWidth="1" style="4" min="2" max="2"/>
    <col width="9.6640625" bestFit="1" customWidth="1" style="4" min="3" max="3"/>
    <col width="7.6640625" customWidth="1" style="24" min="4" max="4"/>
    <col width="8.5" bestFit="1" customWidth="1" style="55" min="5" max="5"/>
    <col width="4.5" bestFit="1" customWidth="1" style="5" min="6" max="6"/>
    <col width="8.33203125" bestFit="1" customWidth="1" style="55" min="7" max="7"/>
    <col width="11.5" customWidth="1" style="4" min="8" max="8"/>
    <col width="11.33203125" bestFit="1" customWidth="1" style="4" min="9" max="9"/>
    <col width="10" bestFit="1" customWidth="1" style="55" min="10" max="10"/>
    <col width="6.33203125" bestFit="1" customWidth="1" style="5" min="11" max="11"/>
    <col width="7.33203125" bestFit="1" customWidth="1" style="4" min="12" max="12"/>
    <col width="8.33203125" bestFit="1" customWidth="1" style="4" min="13" max="13"/>
    <col width="11.5" customWidth="1" style="4" min="14" max="16384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s="4" t="inlineStr">
        <is>
          <t>CONCEPTO</t>
        </is>
      </c>
      <c r="C6" s="4" t="inlineStr">
        <is>
          <t>UNIDADES</t>
        </is>
      </c>
      <c r="D6" s="24" t="inlineStr">
        <is>
          <t>KG</t>
        </is>
      </c>
      <c r="E6" s="55" t="inlineStr">
        <is>
          <t>PRECIO</t>
        </is>
      </c>
      <c r="F6" s="5" t="inlineStr">
        <is>
          <t>DTO</t>
        </is>
      </c>
      <c r="G6" s="55" t="inlineStr">
        <is>
          <t xml:space="preserve">TOTAL </t>
        </is>
      </c>
      <c r="I6" s="4" t="inlineStr">
        <is>
          <t>TOTAL</t>
        </is>
      </c>
      <c r="J6" s="55">
        <f>SUM(G7:G75)</f>
        <v/>
      </c>
    </row>
    <row r="7">
      <c r="B7" s="4" t="inlineStr">
        <is>
          <t>SACO AGRIA NUEVA ALICANTE</t>
        </is>
      </c>
      <c r="C7" s="4">
        <f>1+1+2+2+1+1+2+3</f>
        <v/>
      </c>
      <c r="D7" s="24">
        <f>C7*25</f>
        <v/>
      </c>
      <c r="E7" s="55" t="n">
        <v>0.88</v>
      </c>
      <c r="F7" s="5" t="n">
        <v>0</v>
      </c>
      <c r="G7" s="55">
        <f>(D7*E7)-((D7*E7)*F7)</f>
        <v/>
      </c>
      <c r="H7" s="57" t="n"/>
      <c r="I7" s="4" t="inlineStr">
        <is>
          <t>ALBARANES</t>
        </is>
      </c>
      <c r="J7" s="55">
        <f>SUM(J11:J82)</f>
        <v/>
      </c>
    </row>
    <row r="8">
      <c r="B8" s="4" t="inlineStr">
        <is>
          <t>SACO MONALISA</t>
        </is>
      </c>
      <c r="C8" s="4">
        <f>1+1</f>
        <v/>
      </c>
      <c r="D8" s="24">
        <f>C8*25</f>
        <v/>
      </c>
      <c r="E8" s="55" t="n">
        <v>0.93</v>
      </c>
      <c r="F8" s="5" t="n">
        <v>0</v>
      </c>
      <c r="G8" s="55">
        <f>(D8*E8)-((D8*E8)*F8)</f>
        <v/>
      </c>
      <c r="I8" s="4" t="inlineStr">
        <is>
          <t>DIFERENCIA</t>
        </is>
      </c>
      <c r="J8" s="58">
        <f>J6-J7</f>
        <v/>
      </c>
      <c r="K8" s="59">
        <f>J8-S6</f>
        <v/>
      </c>
    </row>
    <row r="9">
      <c r="B9" s="4" t="inlineStr">
        <is>
          <t>SACO MONALISA (alb. 696: 30 kg = 1,2 sacos)</t>
        </is>
      </c>
      <c r="C9" s="4" t="n">
        <v>1.2</v>
      </c>
      <c r="D9" s="24">
        <f>C9*25</f>
        <v/>
      </c>
      <c r="E9" s="55" t="n">
        <v>0.88</v>
      </c>
      <c r="F9" s="5" t="n">
        <v>0</v>
      </c>
      <c r="G9" s="55">
        <f>(D9*E9)-((D9*E9)*F9)</f>
        <v/>
      </c>
    </row>
    <row r="10">
      <c r="B10" s="4" t="n"/>
      <c r="C10" s="4" t="n"/>
      <c r="D10" s="24" t="n"/>
      <c r="E10" s="55" t="n"/>
      <c r="F10" s="5" t="n">
        <v>0</v>
      </c>
      <c r="G10" s="55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F11" s="5" t="n">
        <v>0</v>
      </c>
      <c r="G11" s="55">
        <f>(D11*E11)-((D11*E11)*F11)</f>
        <v/>
      </c>
      <c r="I11" s="29" t="n">
        <v>637</v>
      </c>
      <c r="J11" s="60" t="n">
        <v>45.25</v>
      </c>
      <c r="K11" s="31" t="n">
        <v>0.04</v>
      </c>
      <c r="L11" s="57">
        <f>J11*K11</f>
        <v/>
      </c>
      <c r="M11" s="57">
        <f>L11+J11</f>
        <v/>
      </c>
    </row>
    <row r="12">
      <c r="F12" s="5" t="n">
        <v>0</v>
      </c>
      <c r="G12" s="55">
        <f>(D12*E12)-((D12*E12)*F12)</f>
        <v/>
      </c>
      <c r="I12" s="29" t="n">
        <v>675</v>
      </c>
      <c r="J12" s="60" t="n">
        <v>22</v>
      </c>
      <c r="K12" s="31" t="n">
        <v>0.04</v>
      </c>
      <c r="L12" s="57">
        <f>J12*K12</f>
        <v/>
      </c>
      <c r="M12" s="57">
        <f>L12+J12</f>
        <v/>
      </c>
    </row>
    <row r="13">
      <c r="F13" s="5" t="n">
        <v>0</v>
      </c>
      <c r="G13" s="55">
        <f>(D13*E13)-((D13*E13)*F13)</f>
        <v/>
      </c>
      <c r="I13" s="29" t="n">
        <v>680</v>
      </c>
      <c r="J13" s="60" t="n">
        <v>67.25</v>
      </c>
      <c r="K13" s="31" t="n">
        <v>0.04</v>
      </c>
      <c r="L13" s="57">
        <f>J13*K13</f>
        <v/>
      </c>
      <c r="M13" s="57">
        <f>L13+J13</f>
        <v/>
      </c>
    </row>
    <row r="14">
      <c r="F14" s="5" t="n">
        <v>0</v>
      </c>
      <c r="G14" s="55">
        <f>(D14*E14)-((D14*E14)*F14)</f>
        <v/>
      </c>
      <c r="I14" s="29" t="n">
        <v>689</v>
      </c>
      <c r="J14" s="60" t="n">
        <v>44</v>
      </c>
      <c r="K14" s="31" t="n">
        <v>0.04</v>
      </c>
      <c r="L14" s="57">
        <f>J14*K14</f>
        <v/>
      </c>
      <c r="M14" s="57">
        <f>L14+J14</f>
        <v/>
      </c>
    </row>
    <row r="15">
      <c r="F15" s="5" t="n">
        <v>0</v>
      </c>
      <c r="G15" s="55">
        <f>(D15*E15)-((D15*E15)*F15)</f>
        <v/>
      </c>
      <c r="I15" s="29" t="n">
        <v>696</v>
      </c>
      <c r="J15" s="60" t="n">
        <v>48.4</v>
      </c>
      <c r="K15" s="31" t="n">
        <v>0.04</v>
      </c>
      <c r="L15" s="57">
        <f>J15*K15</f>
        <v/>
      </c>
      <c r="M15" s="57">
        <f>L15+J15</f>
        <v/>
      </c>
    </row>
    <row r="16">
      <c r="F16" s="5" t="n">
        <v>0</v>
      </c>
      <c r="G16" s="55">
        <f>(D16*E16)-((D16*E16)*F16)</f>
        <v/>
      </c>
      <c r="I16" s="29" t="n">
        <v>709</v>
      </c>
      <c r="J16" s="60" t="n">
        <v>22</v>
      </c>
      <c r="K16" s="31" t="n">
        <v>0.04</v>
      </c>
      <c r="L16" s="57">
        <f>J16*K16</f>
        <v/>
      </c>
      <c r="M16" s="57">
        <f>L16+J16</f>
        <v/>
      </c>
    </row>
    <row r="17">
      <c r="F17" s="5" t="n">
        <v>0</v>
      </c>
      <c r="G17" s="55">
        <f>(D17*E17)-((D17*E17)*F17)</f>
        <v/>
      </c>
      <c r="I17" s="29" t="n">
        <v>729</v>
      </c>
      <c r="J17" s="60" t="n">
        <v>44</v>
      </c>
      <c r="K17" s="31" t="n">
        <v>0.04</v>
      </c>
      <c r="L17" s="57">
        <f>J17*K17</f>
        <v/>
      </c>
      <c r="M17" s="57">
        <f>L17+J17</f>
        <v/>
      </c>
    </row>
    <row r="18">
      <c r="F18" s="5" t="n">
        <v>0</v>
      </c>
      <c r="G18" s="55">
        <f>(D18*E18)-((D18*E18)*F18)</f>
        <v/>
      </c>
      <c r="I18" s="29" t="n">
        <v>737</v>
      </c>
      <c r="J18" s="60" t="n">
        <v>66</v>
      </c>
      <c r="K18" s="31" t="n">
        <v>0.04</v>
      </c>
      <c r="L18" s="57">
        <f>J18*K18</f>
        <v/>
      </c>
      <c r="M18" s="57">
        <f>L18+J18</f>
        <v/>
      </c>
    </row>
    <row r="19">
      <c r="F19" s="5" t="n">
        <v>0</v>
      </c>
      <c r="G19" s="55">
        <f>(D19*E19)-((D19*E19)*F19)</f>
        <v/>
      </c>
      <c r="I19" s="29" t="n"/>
      <c r="J19" s="60" t="n"/>
      <c r="K19" s="31" t="n">
        <v>0.04</v>
      </c>
      <c r="L19" s="57">
        <f>J19*K19</f>
        <v/>
      </c>
      <c r="M19" s="57">
        <f>L19+J19</f>
        <v/>
      </c>
    </row>
    <row r="20">
      <c r="F20" s="5" t="n">
        <v>0</v>
      </c>
      <c r="G20" s="55">
        <f>(D20*E20)-((D20*E20)*F20)</f>
        <v/>
      </c>
      <c r="I20" s="29" t="n"/>
      <c r="J20" s="60" t="n"/>
      <c r="K20" s="31" t="n">
        <v>0.04</v>
      </c>
      <c r="L20" s="57">
        <f>J20*K20</f>
        <v/>
      </c>
      <c r="M20" s="57">
        <f>L20+J20</f>
        <v/>
      </c>
    </row>
    <row r="21">
      <c r="F21" s="5" t="n">
        <v>0</v>
      </c>
      <c r="G21" s="55">
        <f>(D21*E21)-((D21*E21)*F21)</f>
        <v/>
      </c>
      <c r="I21" s="29" t="n"/>
      <c r="J21" s="60" t="n"/>
      <c r="K21" s="31" t="n">
        <v>0.04</v>
      </c>
      <c r="L21" s="57">
        <f>J21*K21</f>
        <v/>
      </c>
      <c r="M21" s="57">
        <f>L21+J21</f>
        <v/>
      </c>
    </row>
    <row r="22">
      <c r="F22" s="5" t="n">
        <v>0</v>
      </c>
      <c r="G22" s="55">
        <f>(D22*E22)-((D22*E22)*F22)</f>
        <v/>
      </c>
      <c r="I22" s="29" t="n"/>
      <c r="J22" s="60" t="n"/>
      <c r="K22" s="31" t="n">
        <v>0.04</v>
      </c>
      <c r="L22" s="57">
        <f>J22*K22</f>
        <v/>
      </c>
      <c r="M22" s="57">
        <f>L22+J22</f>
        <v/>
      </c>
    </row>
    <row r="23">
      <c r="F23" s="5" t="n">
        <v>0</v>
      </c>
      <c r="G23" s="55">
        <f>(D23*E23)-((D23*E23)*F23)</f>
        <v/>
      </c>
      <c r="I23" s="29" t="n"/>
      <c r="J23" s="60" t="n"/>
      <c r="K23" s="31" t="n">
        <v>0.04</v>
      </c>
      <c r="L23" s="57">
        <f>J23*K23</f>
        <v/>
      </c>
      <c r="M23" s="57">
        <f>L23+J23</f>
        <v/>
      </c>
    </row>
    <row r="24">
      <c r="F24" s="5" t="n">
        <v>0</v>
      </c>
      <c r="G24" s="55">
        <f>(D24*E24)-((D24*E24)*F24)</f>
        <v/>
      </c>
      <c r="I24" s="29" t="n"/>
      <c r="J24" s="60" t="n"/>
      <c r="K24" s="31" t="n">
        <v>0.04</v>
      </c>
      <c r="L24" s="57">
        <f>J24*K24</f>
        <v/>
      </c>
      <c r="M24" s="57">
        <f>L24+J24</f>
        <v/>
      </c>
    </row>
    <row r="25">
      <c r="F25" s="5" t="n">
        <v>0</v>
      </c>
      <c r="G25" s="55">
        <f>(D25*E25)-((D25*E25)*F25)</f>
        <v/>
      </c>
      <c r="H25" s="28" t="n"/>
      <c r="I25" s="29" t="n"/>
      <c r="J25" s="60" t="n"/>
      <c r="K25" s="31" t="n">
        <v>0.04</v>
      </c>
      <c r="L25" s="57">
        <f>J25*K25</f>
        <v/>
      </c>
      <c r="M25" s="57">
        <f>L25+J25</f>
        <v/>
      </c>
    </row>
    <row r="26">
      <c r="F26" s="5" t="n">
        <v>0</v>
      </c>
      <c r="G26" s="55">
        <f>(D26*E26)-((D26*E26)*F26)</f>
        <v/>
      </c>
      <c r="I26" s="29" t="n"/>
      <c r="J26" s="60" t="n"/>
      <c r="K26" s="31" t="n">
        <v>0.04</v>
      </c>
      <c r="L26" s="57">
        <f>J26*K26</f>
        <v/>
      </c>
      <c r="M26" s="57">
        <f>L26+J26</f>
        <v/>
      </c>
    </row>
    <row r="27">
      <c r="F27" s="5" t="n">
        <v>0</v>
      </c>
      <c r="G27" s="55">
        <f>(D27*E27)-((D27*E27)*F27)</f>
        <v/>
      </c>
      <c r="I27" s="29" t="n"/>
      <c r="J27" s="60" t="n"/>
      <c r="K27" s="31" t="n">
        <v>0.04</v>
      </c>
      <c r="L27" s="57">
        <f>J27*K27</f>
        <v/>
      </c>
      <c r="M27" s="57">
        <f>L27+J27</f>
        <v/>
      </c>
    </row>
    <row r="28">
      <c r="F28" s="5" t="n">
        <v>0</v>
      </c>
      <c r="G28" s="55">
        <f>(D28*E28)-((D28*E28)*F28)</f>
        <v/>
      </c>
      <c r="I28" s="29" t="n"/>
      <c r="J28" s="60" t="n"/>
      <c r="K28" s="31" t="n">
        <v>0.04</v>
      </c>
      <c r="L28" s="57">
        <f>J28*K28</f>
        <v/>
      </c>
      <c r="M28" s="57">
        <f>L28+J28</f>
        <v/>
      </c>
    </row>
    <row r="29">
      <c r="F29" s="5" t="n">
        <v>0</v>
      </c>
      <c r="G29" s="55">
        <f>(D29*E29)-((D29*E29)*F29)</f>
        <v/>
      </c>
    </row>
    <row r="30">
      <c r="F30" s="5" t="n">
        <v>0</v>
      </c>
      <c r="G30" s="55">
        <f>(D30*E30)-((D30*E30)*F30)</f>
        <v/>
      </c>
    </row>
    <row r="31">
      <c r="F31" s="5" t="n">
        <v>0</v>
      </c>
      <c r="G31" s="55">
        <f>(D31*E31)-((D31*E31)*F31)</f>
        <v/>
      </c>
    </row>
    <row r="32">
      <c r="F32" s="5" t="n">
        <v>0</v>
      </c>
      <c r="G32" s="55">
        <f>(D32*E32)-((D32*E32)*F32)</f>
        <v/>
      </c>
    </row>
    <row r="33">
      <c r="F33" s="5" t="n">
        <v>0</v>
      </c>
      <c r="G33" s="55">
        <f>(D33*E33)-((D33*E33)*F33)</f>
        <v/>
      </c>
    </row>
    <row r="34">
      <c r="F34" s="5" t="n">
        <v>0</v>
      </c>
      <c r="G34" s="55">
        <f>(D34*E34)-((D34*E34)*F34)</f>
        <v/>
      </c>
    </row>
    <row r="35">
      <c r="F35" s="5" t="n">
        <v>0</v>
      </c>
      <c r="G35" s="55">
        <f>(D35*E35)-((D35*E35)*F35)</f>
        <v/>
      </c>
    </row>
    <row r="36">
      <c r="F36" s="5" t="n">
        <v>0</v>
      </c>
      <c r="G36" s="55">
        <f>(D36*E36)-((D36*E36)*F36)</f>
        <v/>
      </c>
    </row>
    <row r="37">
      <c r="F37" s="5" t="n">
        <v>0</v>
      </c>
      <c r="G37" s="55">
        <f>(D37*E37)-((D37*E37)*F37)</f>
        <v/>
      </c>
    </row>
    <row r="38">
      <c r="F38" s="5" t="n">
        <v>0</v>
      </c>
      <c r="G38" s="55">
        <f>(D38*E38)-((D38*E38)*F38)</f>
        <v/>
      </c>
    </row>
    <row r="39">
      <c r="F39" s="5" t="n">
        <v>0</v>
      </c>
      <c r="G39" s="55">
        <f>(D39*E39)-((D39*E39)*F39)</f>
        <v/>
      </c>
    </row>
    <row r="40">
      <c r="F40" s="5" t="n">
        <v>0</v>
      </c>
      <c r="G40" s="55">
        <f>(D40*E40)-((D40*E40)*F40)</f>
        <v/>
      </c>
    </row>
    <row r="41">
      <c r="F41" s="5" t="n">
        <v>0</v>
      </c>
      <c r="G41" s="55">
        <f>(D41*E41)-((D41*E41)*F41)</f>
        <v/>
      </c>
    </row>
    <row r="42">
      <c r="F42" s="5" t="n">
        <v>0</v>
      </c>
      <c r="G42" s="55">
        <f>(D42*E42)-((D42*E42)*F42)</f>
        <v/>
      </c>
    </row>
    <row r="43">
      <c r="F43" s="5" t="n">
        <v>0</v>
      </c>
      <c r="G43" s="55">
        <f>(D43*E43)-((D43*E43)*F43)</f>
        <v/>
      </c>
    </row>
    <row r="44">
      <c r="F44" s="5" t="n">
        <v>0</v>
      </c>
      <c r="G44" s="55">
        <f>(D44*E44)-((D44*E44)*F44)</f>
        <v/>
      </c>
    </row>
    <row r="45">
      <c r="F45" s="5" t="n">
        <v>0</v>
      </c>
      <c r="G45" s="55">
        <f>(D45*E45)-((D45*E45)*F45)</f>
        <v/>
      </c>
    </row>
    <row r="46">
      <c r="F46" s="5" t="n">
        <v>0</v>
      </c>
      <c r="G46" s="55">
        <f>(D46*E46)-((D46*E46)*F46)</f>
        <v/>
      </c>
    </row>
    <row r="47">
      <c r="F47" s="5" t="n">
        <v>0</v>
      </c>
      <c r="G47" s="55">
        <f>(D47*E47)-((D47*E47)*F47)</f>
        <v/>
      </c>
    </row>
    <row r="48">
      <c r="F48" s="5" t="n">
        <v>0</v>
      </c>
      <c r="G48" s="55">
        <f>(D48*E48)-((D48*E48)*F48)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SOLOMILLO VACA</t>
        </is>
      </c>
      <c r="C7" s="23">
        <f>6.65+4.375</f>
        <v/>
      </c>
      <c r="D7" s="43" t="n">
        <v>35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CHULETA CORDERO LECHAL</t>
        </is>
      </c>
      <c r="C8" s="23">
        <f>5.925+4.25</f>
        <v/>
      </c>
      <c r="D8" s="43" t="n">
        <v>25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A1/221</t>
        </is>
      </c>
      <c r="I11" s="56" t="n">
        <v>380.88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A1/227</t>
        </is>
      </c>
      <c r="I12" s="56" t="n">
        <v>259.38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BELLOTA 100%</t>
        </is>
      </c>
      <c r="C7" s="23" t="n">
        <v>1.1</v>
      </c>
      <c r="D7" s="43" t="n">
        <v>51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SALCHICHON IBERICO</t>
        </is>
      </c>
      <c r="C8" s="23" t="n">
        <v>1.29</v>
      </c>
      <c r="D8" s="43" t="n">
        <v>22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t="inlineStr">
        <is>
          <t>0613</t>
        </is>
      </c>
      <c r="I11" s="43" t="n">
        <v>84.48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I12" s="43" t="n"/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I13" s="43" t="n"/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H14" sqref="H14:J15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RAF IBERICO</t>
        </is>
      </c>
      <c r="C7" s="23">
        <f>11.025+8.085</f>
        <v/>
      </c>
      <c r="D7" s="43" t="n">
        <v>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RAF IBERICO</t>
        </is>
      </c>
      <c r="C8">
        <f>8.16+3.13+8+6+6.3</f>
        <v/>
      </c>
      <c r="D8" t="n">
        <v>6.5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21" t="n">
        <v>46235</v>
      </c>
      <c r="I11" s="56" t="n">
        <v>66.15000000000001</v>
      </c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21" t="n">
        <v>46239</v>
      </c>
      <c r="I12" s="56" t="n">
        <v>48.51</v>
      </c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21" t="n">
        <v>46252</v>
      </c>
      <c r="I13" s="56" t="n">
        <v>53.04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21" t="n">
        <v>46258</v>
      </c>
      <c r="I14" s="56" t="n">
        <v>20.35</v>
      </c>
      <c r="J14" s="20" t="n">
        <v>0.04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21" t="n">
        <v>46259</v>
      </c>
      <c r="I15" s="56" t="n">
        <v>52</v>
      </c>
      <c r="J15" s="20" t="n">
        <v>0.04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21" t="n">
        <v>46261</v>
      </c>
      <c r="I16" s="56" t="n">
        <v>39</v>
      </c>
      <c r="J16" s="20" t="n">
        <v>0.04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21" t="n">
        <v>46263</v>
      </c>
      <c r="I17" s="56" t="n">
        <v>40.95</v>
      </c>
      <c r="J17" s="20" t="n">
        <v>0.04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21" t="n"/>
      <c r="I18" s="56" t="n"/>
      <c r="J18" s="20" t="n">
        <v>0.04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21" t="n"/>
      <c r="I19" s="56" t="n"/>
      <c r="J19" s="20" t="n">
        <v>0.04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21" t="n"/>
      <c r="I20" s="56" t="n"/>
      <c r="J20" s="20" t="n">
        <v>0.04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21" t="n"/>
      <c r="I21" s="56" t="n"/>
      <c r="J21" s="20" t="n">
        <v>0.04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21" t="n"/>
      <c r="I22" s="56" t="n"/>
      <c r="J22" s="20" t="n">
        <v>0.04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21" t="n"/>
      <c r="I23" s="56" t="n"/>
      <c r="J23" s="20" t="n">
        <v>0.04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21" t="n"/>
      <c r="I24" s="56" t="n"/>
      <c r="J24" s="20" t="n">
        <v>0.04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H11" sqref="H11:J13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NEGRO SIN COLA LIMPIO</t>
        </is>
      </c>
      <c r="C7" s="23">
        <f>4.9+5.05+4.75</f>
        <v/>
      </c>
      <c r="D7" s="43" t="n">
        <v>39.05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GAMBA ROJA ALISTADA 15-20P</t>
        </is>
      </c>
      <c r="C8" s="23">
        <f>1.3+1+1.2</f>
        <v/>
      </c>
      <c r="D8" s="43" t="n">
        <v>84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BOQUERON GORDO</t>
        </is>
      </c>
      <c r="C9" s="23" t="n">
        <v>3</v>
      </c>
      <c r="D9" s="43" t="n">
        <v>11.95</v>
      </c>
      <c r="E9" s="2" t="n">
        <v>0</v>
      </c>
      <c r="F9" s="43">
        <f>(C9*D9)-((C9*D9)*E9)</f>
        <v/>
      </c>
    </row>
    <row r="10">
      <c r="B10" t="inlineStr">
        <is>
          <t>BOQUERON GORDO</t>
        </is>
      </c>
      <c r="C10">
        <f>3+3.5+3+4</f>
        <v/>
      </c>
      <c r="D10" t="n">
        <v>9.800000000000001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GAMBA ROJA ALISTADA 15-20P</t>
        </is>
      </c>
      <c r="C11" t="n">
        <v>1</v>
      </c>
      <c r="D11" t="n">
        <v>89</v>
      </c>
      <c r="E11" s="2" t="n">
        <v>0</v>
      </c>
      <c r="F11" s="43">
        <f>(C11*D11)-((C11*D11)*E11)</f>
        <v/>
      </c>
      <c r="H11" s="18" t="inlineStr">
        <is>
          <t>26 6717</t>
        </is>
      </c>
      <c r="I11" s="56" t="n">
        <v>300.55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26 6980</t>
        </is>
      </c>
      <c r="I12" s="56" t="n">
        <v>35.85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26 7006</t>
        </is>
      </c>
      <c r="I13" s="56" t="n">
        <v>84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26 7016</t>
        </is>
      </c>
      <c r="I14" s="56" t="n">
        <v>226.6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26 7048</t>
        </is>
      </c>
      <c r="I15" s="56" t="n">
        <v>100.8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26 7103</t>
        </is>
      </c>
      <c r="I16" s="56" t="n">
        <v>34.3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26 7151</t>
        </is>
      </c>
      <c r="I17" s="56" t="n">
        <v>0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26 7202</t>
        </is>
      </c>
      <c r="I18" s="56" t="n">
        <v>29.4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inlineStr">
        <is>
          <t>26 7226</t>
        </is>
      </c>
      <c r="I19" s="56" t="n">
        <v>185.49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inlineStr">
        <is>
          <t>26 7264</t>
        </is>
      </c>
      <c r="I20" s="56" t="n">
        <v>128.2</v>
      </c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ALISTADO 15/20 PARAPENAEUS</t>
        </is>
      </c>
      <c r="C7" s="23">
        <f>4+3.7</f>
        <v/>
      </c>
      <c r="D7" s="43" t="n">
        <v>48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143228</v>
      </c>
      <c r="I11" s="56" t="n">
        <v>192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143673</v>
      </c>
      <c r="I12" s="56" t="n">
        <v>177.6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H14" sqref="H14:J15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COLA GAMBON (abono)</t>
        </is>
      </c>
      <c r="C7" s="23" t="n">
        <v>-5</v>
      </c>
      <c r="D7" s="43" t="n">
        <v>22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VENTRESCA (abono)</t>
        </is>
      </c>
      <c r="C8" s="23" t="n">
        <v>-2</v>
      </c>
      <c r="D8" s="43" t="n">
        <v>59.8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VENTRESCA</t>
        </is>
      </c>
      <c r="C9" t="n">
        <v>2</v>
      </c>
      <c r="D9" t="n">
        <v>59.8</v>
      </c>
      <c r="E9" s="2" t="n">
        <v>0</v>
      </c>
      <c r="F9" s="43">
        <f>(C9*D9)-((C9*D9)*E9)</f>
        <v/>
      </c>
    </row>
    <row r="10">
      <c r="B10" t="inlineStr">
        <is>
          <t>GAMBA FR M</t>
        </is>
      </c>
      <c r="C10">
        <f>3+3+3+3+3+3+3+6</f>
        <v/>
      </c>
      <c r="D10" t="n">
        <v>26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COLA G</t>
        </is>
      </c>
      <c r="C11">
        <f>4.5+4.5</f>
        <v/>
      </c>
      <c r="D11" t="n">
        <v>20</v>
      </c>
      <c r="E11" s="2" t="n">
        <v>0</v>
      </c>
      <c r="F11" s="43">
        <f>(C11*D11)-((C11*D11)*E11)</f>
        <v/>
      </c>
      <c r="H11" s="18" t="inlineStr">
        <is>
          <t>20081 (ABONO)</t>
        </is>
      </c>
      <c r="I11" s="56" t="n">
        <v>-229.6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25081</v>
      </c>
      <c r="I12" s="56" t="n">
        <v>119.6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>
        <v>27084</v>
      </c>
      <c r="I13" s="56" t="n">
        <v>78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5081</v>
      </c>
      <c r="I14" s="56" t="n">
        <v>78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6083</v>
      </c>
      <c r="I15" s="56" t="n">
        <v>78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>
        <v>18086</v>
      </c>
      <c r="I16" s="56" t="n">
        <v>78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>
        <v>19083</v>
      </c>
      <c r="I17" s="56" t="n">
        <v>78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S/N 22-08</t>
        </is>
      </c>
      <c r="I18" s="56" t="n">
        <v>168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>
        <v>25085</v>
      </c>
      <c r="I19" s="56" t="n">
        <v>78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>
        <v>29082</v>
      </c>
      <c r="I20" s="56" t="n">
        <v>246</v>
      </c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H25" s="18" t="n"/>
      <c r="I25" s="56" t="n"/>
      <c r="J25" s="20" t="n">
        <v>0.1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  <c r="H26" s="18" t="n"/>
      <c r="I26" s="56" t="n"/>
      <c r="J26" s="20" t="n">
        <v>0.1</v>
      </c>
      <c r="K26" s="52">
        <f>I26*J26</f>
        <v/>
      </c>
      <c r="L26" s="52">
        <f>K26+I26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24 PERLE NOIRE N.2</t>
        </is>
      </c>
      <c r="C7" s="23">
        <f>2+2</f>
        <v/>
      </c>
      <c r="D7" s="43" t="n">
        <v>41.5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BOQUERON EN VINAGRE PANDERETA</t>
        </is>
      </c>
      <c r="C8" s="23" t="n">
        <v>8</v>
      </c>
      <c r="D8" s="43" t="n">
        <v>19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135823</v>
      </c>
      <c r="I11" s="56" t="n">
        <v>83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136005</v>
      </c>
      <c r="I12" s="56" t="n">
        <v>235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TARTA QUESO</t>
        </is>
      </c>
      <c r="C7" s="23">
        <f>3+3</f>
        <v/>
      </c>
      <c r="D7" s="43" t="n">
        <v>35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TARTA CHOCOLATE</t>
        </is>
      </c>
      <c r="C8" s="23">
        <f>3+3</f>
        <v/>
      </c>
      <c r="D8" s="43" t="n">
        <v>37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t="inlineStr">
        <is>
          <t>A26/2164</t>
        </is>
      </c>
      <c r="I11" s="43" t="n">
        <v>216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t="inlineStr">
        <is>
          <t>A26/2116</t>
        </is>
      </c>
      <c r="I12" s="43" t="n">
        <v>216</v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I13" s="43" t="n"/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I14" s="43" t="n"/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I15" s="43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I16" s="43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I17" s="43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H15" sqref="H15:J18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CARABINEROS</t>
        </is>
      </c>
      <c r="C7" s="23">
        <f>1.1+1.1+1.1+2.2+1.2+1.1</f>
        <v/>
      </c>
      <c r="D7" s="43" t="n">
        <v>98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NAVAJA</t>
        </is>
      </c>
      <c r="C8" s="23">
        <f>1+1+1+1+1+1+1+1</f>
        <v/>
      </c>
      <c r="D8" s="43" t="n">
        <v>25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PULPO</t>
        </is>
      </c>
      <c r="C9" s="23">
        <f>17.13+8.62+8.63+8.9+8.23+8.26+9.6</f>
        <v/>
      </c>
      <c r="D9" s="43" t="n">
        <v>30.5</v>
      </c>
      <c r="E9" s="2" t="n">
        <v>0</v>
      </c>
      <c r="F9" s="43">
        <f>(C9*D9)-((C9*D9)*E9)</f>
        <v/>
      </c>
    </row>
    <row r="10">
      <c r="B10" t="inlineStr">
        <is>
          <t>CALAMARES</t>
        </is>
      </c>
      <c r="C10" s="23">
        <f>4.4+3+6.2+6+6+2.5+2.9+7</f>
        <v/>
      </c>
      <c r="D10" s="43" t="n">
        <v>21.5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ALISTADOS</t>
        </is>
      </c>
      <c r="C11" s="23">
        <f>1+1+1</f>
        <v/>
      </c>
      <c r="D11" s="43" t="n">
        <v>88</v>
      </c>
      <c r="E11" s="2" t="n">
        <v>0</v>
      </c>
      <c r="F11" s="43">
        <f>(C11*D11)-((C11*D11)*E11)</f>
        <v/>
      </c>
      <c r="H11" s="21" t="n">
        <v>46235</v>
      </c>
      <c r="I11" s="56" t="n">
        <v>132.8</v>
      </c>
      <c r="J11" s="20" t="n">
        <v>0.1</v>
      </c>
      <c r="K11">
        <f>I11*J11</f>
        <v/>
      </c>
      <c r="L11">
        <f>K11+I11</f>
        <v/>
      </c>
    </row>
    <row r="12">
      <c r="B12" t="inlineStr">
        <is>
          <t>ZAMBURIÑAS</t>
        </is>
      </c>
      <c r="C12" s="23">
        <f>10+8+10+10</f>
        <v/>
      </c>
      <c r="D12" s="43" t="n">
        <v>15.5</v>
      </c>
      <c r="E12" s="2" t="n">
        <v>0</v>
      </c>
      <c r="F12" s="43">
        <f>(C12*D12)-((C12*D12)*E12)</f>
        <v/>
      </c>
      <c r="H12" s="21" t="n">
        <v>46238</v>
      </c>
      <c r="I12" s="56" t="n">
        <v>922.87</v>
      </c>
      <c r="J12" s="20" t="n">
        <v>0.1</v>
      </c>
      <c r="K12">
        <f>I12*J12</f>
        <v/>
      </c>
      <c r="L12">
        <f>K12+I12</f>
        <v/>
      </c>
    </row>
    <row r="13">
      <c r="B13" t="inlineStr">
        <is>
          <t>PARRILLATO</t>
        </is>
      </c>
      <c r="C13" s="23" t="n">
        <v>2.3</v>
      </c>
      <c r="D13" s="43" t="n">
        <v>14</v>
      </c>
      <c r="E13" s="2" t="n">
        <v>0</v>
      </c>
      <c r="F13" s="43">
        <f>(C13*D13)-((C13*D13)*E13)</f>
        <v/>
      </c>
      <c r="H13" s="21" t="n">
        <v>46240</v>
      </c>
      <c r="I13" s="56" t="n">
        <v>352.41</v>
      </c>
      <c r="J13" s="20" t="n">
        <v>0.1</v>
      </c>
      <c r="K13">
        <f>I13*J13</f>
        <v/>
      </c>
      <c r="L13">
        <f>K13+I13</f>
        <v/>
      </c>
    </row>
    <row r="14">
      <c r="B14" t="inlineStr">
        <is>
          <t>COQUINAS</t>
        </is>
      </c>
      <c r="C14" s="23" t="n">
        <v>4</v>
      </c>
      <c r="D14" s="43" t="n">
        <v>30</v>
      </c>
      <c r="E14" s="2" t="n">
        <v>0</v>
      </c>
      <c r="F14" s="43">
        <f>(C14*D14)-((C14*D14)*E14)</f>
        <v/>
      </c>
      <c r="H14" s="21" t="n">
        <v>46241</v>
      </c>
      <c r="I14" s="56" t="n">
        <v>195.8</v>
      </c>
      <c r="J14" s="20" t="n">
        <v>0.1</v>
      </c>
      <c r="K14">
        <f>I14*J14</f>
        <v/>
      </c>
      <c r="L14">
        <f>K14+I14</f>
        <v/>
      </c>
    </row>
    <row r="15">
      <c r="B15" t="inlineStr">
        <is>
          <t>COCOCHAS</t>
        </is>
      </c>
      <c r="C15" s="23" t="n">
        <v>1</v>
      </c>
      <c r="D15" s="43" t="n">
        <v>58</v>
      </c>
      <c r="E15" s="2" t="n">
        <v>0</v>
      </c>
      <c r="F15" s="43">
        <f>(C15*D15)-((C15*D15)*E15)</f>
        <v/>
      </c>
      <c r="H15" s="21" t="n">
        <v>46252</v>
      </c>
      <c r="I15" s="56" t="n">
        <v>190.5</v>
      </c>
      <c r="J15" s="20" t="n">
        <v>0.1</v>
      </c>
      <c r="K15">
        <f>I15*J15</f>
        <v/>
      </c>
      <c r="L15">
        <f>K15+I15</f>
        <v/>
      </c>
    </row>
    <row r="16">
      <c r="B16" t="inlineStr">
        <is>
          <t>COQUINAS</t>
        </is>
      </c>
      <c r="C16" s="23">
        <f>2+3</f>
        <v/>
      </c>
      <c r="D16" s="43" t="n">
        <v>32.5</v>
      </c>
      <c r="E16" s="2" t="n">
        <v>0</v>
      </c>
      <c r="F16" s="43">
        <f>(C16*D16)-((C16*D16)*E16)</f>
        <v/>
      </c>
      <c r="H16" s="21" t="n">
        <v>46253</v>
      </c>
      <c r="I16" s="56" t="n">
        <v>602.8099999999999</v>
      </c>
      <c r="J16" s="20" t="n">
        <v>0.1</v>
      </c>
      <c r="K16">
        <f>I16*J16</f>
        <v/>
      </c>
      <c r="L16">
        <f>K16+I16</f>
        <v/>
      </c>
    </row>
    <row r="17">
      <c r="B17" t="inlineStr">
        <is>
          <t>COCOCHAS</t>
        </is>
      </c>
      <c r="C17" s="23" t="n">
        <v>1</v>
      </c>
      <c r="D17" s="43" t="n">
        <v>60</v>
      </c>
      <c r="E17" s="2" t="n">
        <v>0</v>
      </c>
      <c r="F17" s="43">
        <f>(C17*D17)-((C17*D17)*E17)</f>
        <v/>
      </c>
      <c r="H17" s="21" t="n">
        <v>46254</v>
      </c>
      <c r="I17" s="56" t="n">
        <v>332</v>
      </c>
      <c r="J17" s="20" t="n">
        <v>0.1</v>
      </c>
      <c r="K17">
        <f>I17*J17</f>
        <v/>
      </c>
      <c r="L17">
        <f>K17+I17</f>
        <v/>
      </c>
    </row>
    <row r="18">
      <c r="C18" s="23" t="n"/>
      <c r="D18" s="43" t="n"/>
      <c r="E18" s="2" t="n">
        <v>0</v>
      </c>
      <c r="F18" s="43">
        <f>(C18*D18)-((C18*D18)*E18)</f>
        <v/>
      </c>
      <c r="H18" s="21" t="n">
        <v>46256</v>
      </c>
      <c r="I18" s="56" t="n">
        <v>194</v>
      </c>
      <c r="J18" s="20" t="n">
        <v>0.1</v>
      </c>
      <c r="K18">
        <f>I18*J18</f>
        <v/>
      </c>
      <c r="L18">
        <f>K18+I18</f>
        <v/>
      </c>
    </row>
    <row r="19">
      <c r="C19" s="23" t="n"/>
      <c r="D19" s="43" t="n"/>
      <c r="E19" s="2" t="n">
        <v>0</v>
      </c>
      <c r="F19" s="43">
        <f>(C19*D19)-((C19*D19)*E19)</f>
        <v/>
      </c>
      <c r="H19" s="21" t="n">
        <v>46259</v>
      </c>
      <c r="I19" s="56" t="n">
        <v>451.45</v>
      </c>
      <c r="J19" s="20" t="n">
        <v>0.1</v>
      </c>
      <c r="K19">
        <f>I19*J19</f>
        <v/>
      </c>
      <c r="L19">
        <f>K19+I19</f>
        <v/>
      </c>
    </row>
    <row r="20">
      <c r="C20" s="23" t="n"/>
      <c r="D20" s="43" t="n"/>
      <c r="E20" s="2" t="n">
        <v>0</v>
      </c>
      <c r="F20" s="43">
        <f>(C20*D20)-((C20*D20)*E20)</f>
        <v/>
      </c>
      <c r="H20" s="21" t="n">
        <v>46260</v>
      </c>
      <c r="I20" s="56" t="n">
        <v>304.77</v>
      </c>
      <c r="J20" s="20" t="n">
        <v>0.1</v>
      </c>
      <c r="K20">
        <f>I20*J20</f>
        <v/>
      </c>
      <c r="L20">
        <f>K20+I20</f>
        <v/>
      </c>
    </row>
    <row r="21">
      <c r="E21" s="2" t="n">
        <v>0</v>
      </c>
      <c r="F21" s="43">
        <f>(C21*D21)-((C21*D21)*E21)</f>
        <v/>
      </c>
      <c r="H21" s="21" t="n">
        <v>46261</v>
      </c>
      <c r="I21" s="56" t="n">
        <v>147.35</v>
      </c>
      <c r="J21" s="20" t="n">
        <v>0.1</v>
      </c>
      <c r="K21">
        <f>I21*J21</f>
        <v/>
      </c>
      <c r="L21">
        <f>K21+I21</f>
        <v/>
      </c>
    </row>
    <row r="22">
      <c r="E22" s="2" t="n">
        <v>0</v>
      </c>
      <c r="F22" s="43">
        <f>(C22*D22)-((C22*D22)*E22)</f>
        <v/>
      </c>
      <c r="H22" s="21" t="n">
        <v>46262</v>
      </c>
      <c r="I22" s="56" t="n">
        <v>457.53</v>
      </c>
      <c r="J22" s="20" t="n">
        <v>0.1</v>
      </c>
      <c r="K22">
        <f>I22*J22</f>
        <v/>
      </c>
      <c r="L22">
        <f>K22+I22</f>
        <v/>
      </c>
    </row>
    <row r="23">
      <c r="E23" s="2" t="n">
        <v>0</v>
      </c>
      <c r="F23" s="43">
        <f>(C23*D23)-((C23*D23)*E23)</f>
        <v/>
      </c>
      <c r="H23" s="21" t="n">
        <v>46263</v>
      </c>
      <c r="I23" s="56" t="n">
        <v>828.6</v>
      </c>
      <c r="J23" s="20" t="n">
        <v>0.1</v>
      </c>
      <c r="K23">
        <f>I23*J23</f>
        <v/>
      </c>
      <c r="L23">
        <f>K23+I23</f>
        <v/>
      </c>
    </row>
    <row r="24">
      <c r="E24" s="2" t="n">
        <v>0</v>
      </c>
      <c r="F24" s="43">
        <f>(C24*D24)-((C24*D24)*E24)</f>
        <v/>
      </c>
      <c r="H24" s="21" t="n"/>
      <c r="I24" s="56" t="n"/>
      <c r="J24" s="20" t="n">
        <v>0.1</v>
      </c>
      <c r="K24">
        <f>I24*J24</f>
        <v/>
      </c>
      <c r="L24">
        <f>K24+I24</f>
        <v/>
      </c>
    </row>
    <row r="25">
      <c r="E25" s="2" t="n">
        <v>0</v>
      </c>
      <c r="F25" s="43">
        <f>(C25*D25)-((C25*D25)*E25)</f>
        <v/>
      </c>
      <c r="G25" s="17" t="n"/>
      <c r="H25" s="21" t="n"/>
      <c r="I25" s="56" t="n"/>
      <c r="J25" s="20" t="n">
        <v>0.1</v>
      </c>
      <c r="K25">
        <f>I25*J25</f>
        <v/>
      </c>
      <c r="L25">
        <f>K25+I25</f>
        <v/>
      </c>
    </row>
    <row r="26">
      <c r="E26" s="2" t="n">
        <v>0</v>
      </c>
      <c r="F26" s="43">
        <f>(C26*D26)-((C26*D26)*E26)</f>
        <v/>
      </c>
      <c r="H26" s="21" t="n"/>
      <c r="I26" s="56" t="n"/>
      <c r="J26" s="20" t="n">
        <v>0.1</v>
      </c>
      <c r="K26">
        <f>I26*J26</f>
        <v/>
      </c>
      <c r="L26">
        <f>K26+I26</f>
        <v/>
      </c>
    </row>
    <row r="27">
      <c r="E27" s="2" t="n">
        <v>0</v>
      </c>
      <c r="F27" s="43">
        <f>(C27*D27)-((C27*D27)*E27)</f>
        <v/>
      </c>
      <c r="H27" s="21" t="n"/>
      <c r="I27" s="56" t="n"/>
      <c r="J27" s="20" t="n">
        <v>0.1</v>
      </c>
      <c r="K27">
        <f>I27*J27</f>
        <v/>
      </c>
      <c r="L27">
        <f>K27+I27</f>
        <v/>
      </c>
    </row>
    <row r="28">
      <c r="E28" s="2" t="n">
        <v>0</v>
      </c>
      <c r="F28" s="43">
        <f>(C28*D28)-((C28*D28)*E28)</f>
        <v/>
      </c>
      <c r="H28" s="21" t="n"/>
      <c r="I28" s="56" t="n"/>
      <c r="J28" s="20" t="n">
        <v>0.1</v>
      </c>
      <c r="K28">
        <f>I28*J28</f>
        <v/>
      </c>
      <c r="L28">
        <f>K28+I28</f>
        <v/>
      </c>
    </row>
    <row r="29">
      <c r="E29" s="2" t="n">
        <v>0</v>
      </c>
      <c r="F29" s="43">
        <f>(C29*D29)-((C29*D29)*E29)</f>
        <v/>
      </c>
      <c r="H29" s="21" t="n"/>
      <c r="I29" s="56" t="n"/>
      <c r="J29" s="20" t="n">
        <v>0.1</v>
      </c>
      <c r="K29">
        <f>I29*J29</f>
        <v/>
      </c>
      <c r="L29">
        <f>K29+I29</f>
        <v/>
      </c>
    </row>
    <row r="30">
      <c r="E30" s="2" t="n">
        <v>0</v>
      </c>
      <c r="F30" s="43">
        <f>(C30*D30)-((C30*D30)*E30)</f>
        <v/>
      </c>
      <c r="H30" s="21" t="n"/>
      <c r="I30" s="56" t="n"/>
      <c r="J30" s="20" t="n">
        <v>0.1</v>
      </c>
      <c r="K30">
        <f>I30*J30</f>
        <v/>
      </c>
      <c r="L30">
        <f>K30+I30</f>
        <v/>
      </c>
    </row>
    <row r="31">
      <c r="E31" s="2" t="n">
        <v>0</v>
      </c>
      <c r="F31" s="43">
        <f>(C31*D31)-((C31*D31)*E31)</f>
        <v/>
      </c>
      <c r="H31" s="21" t="n"/>
      <c r="I31" s="56" t="n"/>
      <c r="J31" s="20" t="n">
        <v>0.1</v>
      </c>
      <c r="K31">
        <f>I31*J31</f>
        <v/>
      </c>
      <c r="L31">
        <f>K31+I31</f>
        <v/>
      </c>
    </row>
    <row r="32">
      <c r="E32" s="2" t="n">
        <v>0</v>
      </c>
      <c r="F32" s="43">
        <f>(C32*D32)-((C32*D32)*E32)</f>
        <v/>
      </c>
      <c r="H32" s="21" t="n"/>
      <c r="I32" s="56" t="n"/>
      <c r="J32" s="20" t="n">
        <v>0.1</v>
      </c>
      <c r="K32">
        <f>I32*J32</f>
        <v/>
      </c>
      <c r="L32">
        <f>K32+I32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82"/>
  <sheetViews>
    <sheetView topLeftCell="A8" workbookViewId="0">
      <selection activeCell="I14" sqref="I14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PINCHO MORUNO DE POLLO</t>
        </is>
      </c>
      <c r="C7" s="23">
        <f>3.64+4.07+2.01+1.9</f>
        <v/>
      </c>
      <c r="D7" s="43" t="n">
        <v>8.9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PINCHOS MORUNOS</t>
        </is>
      </c>
      <c r="C8" s="23">
        <f>1.8+1.84+1.79+1.78</f>
        <v/>
      </c>
      <c r="D8" s="43" t="n">
        <v>8.9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MOLLEJAS DE CORDERO</t>
        </is>
      </c>
      <c r="C9" s="23">
        <f>6.32+6.3</f>
        <v/>
      </c>
      <c r="D9" s="43" t="n">
        <v>27.9</v>
      </c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12129</v>
      </c>
      <c r="I11" s="56" t="n">
        <v>48.42</v>
      </c>
      <c r="J11" s="20" t="n">
        <v>0.1</v>
      </c>
      <c r="K11">
        <f>I11*J11</f>
        <v/>
      </c>
      <c r="L11">
        <f>K11+I11</f>
        <v/>
      </c>
    </row>
    <row r="12">
      <c r="E12" s="2" t="n">
        <v>0</v>
      </c>
      <c r="F12" s="43">
        <f>(C12*D12)-((C12*D12)*E12)</f>
        <v/>
      </c>
      <c r="H12" s="18" t="n">
        <v>12269</v>
      </c>
      <c r="I12" s="56" t="n">
        <v>228.93</v>
      </c>
      <c r="J12" s="20" t="n">
        <v>0.1</v>
      </c>
      <c r="K12">
        <f>I12*J12</f>
        <v/>
      </c>
      <c r="L12">
        <f>K12+I12</f>
        <v/>
      </c>
    </row>
    <row r="13">
      <c r="E13" s="2" t="n">
        <v>0</v>
      </c>
      <c r="F13" s="43">
        <f>(C13*D13)-((C13*D13)*E13)</f>
        <v/>
      </c>
      <c r="H13" s="18" t="n">
        <v>12312</v>
      </c>
      <c r="I13" s="56" t="n">
        <v>209.59</v>
      </c>
      <c r="J13" s="20" t="n">
        <v>0.1</v>
      </c>
      <c r="K13">
        <f>I13*J13</f>
        <v/>
      </c>
      <c r="L13">
        <f>K13+I13</f>
        <v/>
      </c>
    </row>
    <row r="14">
      <c r="E14" s="2" t="n">
        <v>0</v>
      </c>
      <c r="F14" s="43">
        <f>(C14*D14)-((C14*D14)*E14)</f>
        <v/>
      </c>
      <c r="H14" s="18" t="n">
        <v>12339</v>
      </c>
      <c r="I14" s="56" t="n">
        <v>32.75</v>
      </c>
      <c r="J14" s="20" t="n">
        <v>0.1</v>
      </c>
      <c r="K14">
        <f>I14*J14</f>
        <v/>
      </c>
      <c r="L14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0" t="n">
        <v>0.1</v>
      </c>
      <c r="K15">
        <f>I15*J15</f>
        <v/>
      </c>
      <c r="L15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0" t="n">
        <v>0.1</v>
      </c>
      <c r="K16">
        <f>I16*J16</f>
        <v/>
      </c>
      <c r="L16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0" t="n">
        <v>0.1</v>
      </c>
      <c r="K17">
        <f>I17*J17</f>
        <v/>
      </c>
      <c r="L17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>
        <f>I18*J18</f>
        <v/>
      </c>
      <c r="L18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D9" s="43" t="n"/>
      <c r="E9" s="2" t="n">
        <v>0</v>
      </c>
      <c r="F9" s="43">
        <f>(C9*D9)-((C9*D9)*E9)</f>
        <v/>
      </c>
    </row>
    <row r="10">
      <c r="D10" s="43" t="n"/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D11" s="43" t="n"/>
      <c r="E11" s="2" t="n">
        <v>0</v>
      </c>
      <c r="F11" s="43">
        <f>(C11*D11)-((C11*D11)*E11)</f>
        <v/>
      </c>
      <c r="H11" s="21" t="n"/>
      <c r="I11" s="56" t="n"/>
      <c r="J11" s="20" t="n">
        <v>0.04</v>
      </c>
    </row>
    <row r="12">
      <c r="D12" s="43" t="n"/>
      <c r="E12" s="2" t="n">
        <v>0</v>
      </c>
      <c r="F12" s="43">
        <f>(C12*D12)-((C12*D12)*E12)</f>
        <v/>
      </c>
      <c r="H12" s="21" t="n"/>
      <c r="I12" s="56" t="n"/>
      <c r="J12" s="20" t="n">
        <v>0.04</v>
      </c>
      <c r="K12">
        <f>I12*J12</f>
        <v/>
      </c>
      <c r="L12">
        <f>K12+I12</f>
        <v/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J82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2" t="n"/>
      <c r="I11" s="61" t="n"/>
      <c r="J11" s="14" t="n">
        <v>0.21</v>
      </c>
    </row>
    <row r="12"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82"/>
  <sheetViews>
    <sheetView tabSelected="1" workbookViewId="0">
      <selection activeCell="C12" sqref="C11:C12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D9" s="43" t="n"/>
      <c r="E9" s="2" t="n">
        <v>0</v>
      </c>
      <c r="F9" s="43">
        <f>(C9*D9)-((C9*D9)*E9)</f>
        <v/>
      </c>
    </row>
    <row r="10">
      <c r="D10" s="43" t="n"/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D11" s="43" t="n"/>
      <c r="E11" s="2" t="n">
        <v>0</v>
      </c>
      <c r="F11" s="43">
        <f>(C11*D11)-((C11*D11)*E11)</f>
        <v/>
      </c>
      <c r="H11" s="18" t="n"/>
      <c r="I11" s="56" t="n"/>
      <c r="J11" s="20" t="n">
        <v>0.1</v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0.21</v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H33" sqref="H33"/>
    </sheetView>
  </sheetViews>
  <sheetFormatPr baseColWidth="10" defaultColWidth="11.5" defaultRowHeight="15"/>
  <cols>
    <col width="7.1640625" customWidth="1" min="1" max="1"/>
    <col width="26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4.8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COCACOLA VR237 C24 (neto caja)</t>
        </is>
      </c>
      <c r="C7" t="n">
        <v>3</v>
      </c>
      <c r="D7" s="43" t="n">
        <v>20.28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COCACOLA ZERO VR237 C24 (neto caja)</t>
        </is>
      </c>
      <c r="C8" t="n">
        <v>6</v>
      </c>
      <c r="D8" s="43" t="n">
        <v>20.2783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COCACOLA ZERO ZERO VR237 C24 (neto caja)</t>
        </is>
      </c>
      <c r="C9">
        <f>2+1</f>
        <v/>
      </c>
      <c r="D9" s="43" t="n">
        <v>20.28</v>
      </c>
      <c r="E9" s="2" t="n">
        <v>0</v>
      </c>
      <c r="F9" s="43">
        <f>(C9*D9)-((C9*D9)*E9)</f>
        <v/>
      </c>
    </row>
    <row r="10">
      <c r="B10" t="inlineStr">
        <is>
          <t>COCACOLA PET 2L C6 (neto caja)</t>
        </is>
      </c>
      <c r="C10" t="n">
        <v>1</v>
      </c>
      <c r="D10" s="43" t="n">
        <v>15.02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COCACOLA VR237 C24 (neto caja)</t>
        </is>
      </c>
      <c r="C11" t="n">
        <v>6</v>
      </c>
      <c r="D11" s="43" t="n">
        <v>20.2783</v>
      </c>
      <c r="E11" s="2" t="n">
        <v>0</v>
      </c>
      <c r="F11" s="43">
        <f>(C11*D11)-((C11*D11)*E11)</f>
        <v/>
      </c>
      <c r="H11" s="18" t="n">
        <v>4536210096</v>
      </c>
      <c r="I11" s="56" t="n">
        <v>238.09</v>
      </c>
      <c r="J11" s="20" t="n">
        <v>0.21</v>
      </c>
      <c r="K11">
        <f>I11*J11</f>
        <v/>
      </c>
      <c r="L11">
        <f>K11+I11</f>
        <v/>
      </c>
    </row>
    <row r="12">
      <c r="B12" t="inlineStr">
        <is>
          <t>COCACOLA ZERO VR237 C24 (neto caja)</t>
        </is>
      </c>
      <c r="C12" t="n">
        <v>4</v>
      </c>
      <c r="D12" s="43" t="n">
        <v>20.28</v>
      </c>
      <c r="E12" s="2" t="n">
        <v>0</v>
      </c>
      <c r="F12" s="43">
        <f>(C12*D12)-((C12*D12)*E12)</f>
        <v/>
      </c>
      <c r="H12" s="18" t="n">
        <v>4536386996</v>
      </c>
      <c r="I12" s="56" t="n">
        <v>223.07</v>
      </c>
      <c r="J12" s="20" t="n">
        <v>0.21</v>
      </c>
      <c r="K12">
        <f>I12*J12</f>
        <v/>
      </c>
      <c r="L12">
        <f>K12+I12</f>
        <v/>
      </c>
    </row>
    <row r="13">
      <c r="B13" t="inlineStr">
        <is>
          <t>MINUTE MAID TOMATE VNR20 C24 (neto caja)</t>
        </is>
      </c>
      <c r="C13" t="n">
        <v>2</v>
      </c>
      <c r="D13" s="43" t="n">
        <v>17.48</v>
      </c>
      <c r="E13" s="2" t="n">
        <v>0</v>
      </c>
      <c r="F13" s="43">
        <f>(C13*D13)-((C13*D13)*E13)</f>
        <v/>
      </c>
      <c r="H13" s="18" t="n">
        <v>4536386996</v>
      </c>
      <c r="I13" s="56" t="n">
        <v>34.96</v>
      </c>
      <c r="J13" s="20" t="n">
        <v>0.1</v>
      </c>
      <c r="K13">
        <f>I13*J13</f>
        <v/>
      </c>
      <c r="L13">
        <f>K13+I13</f>
        <v/>
      </c>
    </row>
    <row r="14">
      <c r="B14" t="inlineStr">
        <is>
          <t>DEVOLUCION CAJA+BOTELLAS VR237</t>
        </is>
      </c>
      <c r="C14" t="n">
        <v>-8</v>
      </c>
      <c r="D14" t="n">
        <v>4.8</v>
      </c>
      <c r="E14" s="2" t="n">
        <v>0</v>
      </c>
      <c r="F14" s="43">
        <f>(C14*D14)-((C14*D14)*E14)</f>
        <v/>
      </c>
      <c r="H14" s="18" t="n">
        <v>4536386995</v>
      </c>
      <c r="I14" s="56" t="n">
        <v>-38.4</v>
      </c>
      <c r="J14" s="20" t="n">
        <v>0.21</v>
      </c>
      <c r="K14">
        <f>I14*J14</f>
        <v/>
      </c>
      <c r="L14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0" t="n">
        <v>0.21</v>
      </c>
    </row>
    <row r="16">
      <c r="E16" s="2" t="n">
        <v>0</v>
      </c>
      <c r="F16" s="43">
        <f>(C16*D16)-((C16*D16)*E16)</f>
        <v/>
      </c>
      <c r="H16" s="18" t="n"/>
      <c r="I16" s="56" t="n"/>
      <c r="J16" s="20" t="n">
        <v>0.1</v>
      </c>
    </row>
    <row r="17">
      <c r="E17" s="2" t="n">
        <v>0</v>
      </c>
      <c r="F17" s="43">
        <f>(C17*D17)-((C17*D17)*E17)</f>
        <v/>
      </c>
      <c r="H17" s="18" t="n"/>
      <c r="I17" s="56" t="n"/>
      <c r="J17" s="20" t="n">
        <v>0.21</v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0.21</v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0.21</v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MEJILLONES</t>
        </is>
      </c>
      <c r="C7" s="23">
        <f>5+5+5</f>
        <v/>
      </c>
      <c r="D7" s="43" t="n">
        <v>2.7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CHOCHAS GDA</t>
        </is>
      </c>
      <c r="C8" s="23">
        <f>2+3+2+2+2+2+2+4</f>
        <v/>
      </c>
      <c r="D8" s="43" t="n">
        <v>50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BERBERECHO</t>
        </is>
      </c>
      <c r="C9" s="23">
        <f>2+1</f>
        <v/>
      </c>
      <c r="D9" s="43" t="n">
        <v>22</v>
      </c>
      <c r="E9" s="2" t="n">
        <v>0</v>
      </c>
      <c r="F9" s="43">
        <f>(C9*D9)-((C9*D9)*E9)</f>
        <v/>
      </c>
    </row>
    <row r="10">
      <c r="B10" t="inlineStr">
        <is>
          <t>CHOCHAS TDA</t>
        </is>
      </c>
      <c r="C10" s="23" t="n">
        <v>2</v>
      </c>
      <c r="D10" s="43" t="n">
        <v>50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CAMARON</t>
        </is>
      </c>
      <c r="C11" s="23" t="n">
        <v>0.5</v>
      </c>
      <c r="D11" s="43" t="n">
        <v>95</v>
      </c>
      <c r="E11" s="2" t="n">
        <v>0</v>
      </c>
      <c r="F11" s="43">
        <f>(C11*D11)-((C11*D11)*E11)</f>
        <v/>
      </c>
      <c r="H11" t="n">
        <v>35218</v>
      </c>
      <c r="I11" s="43" t="n">
        <v>13.5</v>
      </c>
      <c r="J11" s="2" t="n">
        <v>0.1</v>
      </c>
      <c r="K11" s="52">
        <f>I11*J11</f>
        <v/>
      </c>
      <c r="L11" s="52">
        <f>K11+I11</f>
        <v/>
      </c>
    </row>
    <row r="12">
      <c r="B12" t="inlineStr">
        <is>
          <t>BERBERECHO</t>
        </is>
      </c>
      <c r="C12">
        <f>2+2+2</f>
        <v/>
      </c>
      <c r="D12" t="n">
        <v>24</v>
      </c>
      <c r="E12" s="2" t="n">
        <v>0</v>
      </c>
      <c r="F12" s="43">
        <f>(C12*D12)-((C12*D12)*E12)</f>
        <v/>
      </c>
      <c r="H12" t="n">
        <v>35223</v>
      </c>
      <c r="I12" s="43" t="n">
        <v>113.5</v>
      </c>
      <c r="J12" s="2" t="n">
        <v>0.1</v>
      </c>
      <c r="K12" s="52">
        <f>I12*J12</f>
        <v/>
      </c>
      <c r="L12" s="52">
        <f>K12+I12</f>
        <v/>
      </c>
    </row>
    <row r="13">
      <c r="B13" t="inlineStr">
        <is>
          <t>CAMARON</t>
        </is>
      </c>
      <c r="C13">
        <f>0.6+0.5</f>
        <v/>
      </c>
      <c r="D13" t="n">
        <v>98</v>
      </c>
      <c r="E13" s="2" t="n">
        <v>0</v>
      </c>
      <c r="F13" s="43">
        <f>(C13*D13)-((C13*D13)*E13)</f>
        <v/>
      </c>
      <c r="H13" t="n">
        <v>35230</v>
      </c>
      <c r="I13" s="43" t="n">
        <v>144</v>
      </c>
      <c r="J13" s="2" t="n">
        <v>0.1</v>
      </c>
      <c r="K13" s="52">
        <f>I13*J13</f>
        <v/>
      </c>
      <c r="L13" s="52">
        <f>K13+I13</f>
        <v/>
      </c>
    </row>
    <row r="14">
      <c r="B14" t="inlineStr">
        <is>
          <t>PERCEBES GDO</t>
        </is>
      </c>
      <c r="C14">
        <f>0.7+0.5</f>
        <v/>
      </c>
      <c r="D14" t="n">
        <v>95</v>
      </c>
      <c r="E14" s="2" t="n">
        <v>0</v>
      </c>
      <c r="F14" s="43">
        <f>(C14*D14)-((C14*D14)*E14)</f>
        <v/>
      </c>
      <c r="H14" t="n">
        <v>35237</v>
      </c>
      <c r="I14" s="43" t="n">
        <v>69.5</v>
      </c>
      <c r="J14" s="2" t="n">
        <v>0.1</v>
      </c>
      <c r="K14" s="52">
        <f>I14*J14</f>
        <v/>
      </c>
      <c r="L14" s="52">
        <f>K14+I14</f>
        <v/>
      </c>
    </row>
    <row r="15">
      <c r="B15" t="inlineStr">
        <is>
          <t>CAMARON</t>
        </is>
      </c>
      <c r="C15" t="n">
        <v>0.5</v>
      </c>
      <c r="D15" t="n">
        <v>96</v>
      </c>
      <c r="E15" s="2" t="n">
        <v>0</v>
      </c>
      <c r="F15" s="43">
        <f>(C15*D15)-((C15*D15)*E15)</f>
        <v/>
      </c>
      <c r="H15" t="n">
        <v>35250</v>
      </c>
      <c r="I15" s="43" t="n">
        <v>150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t="n">
        <v>35194</v>
      </c>
      <c r="I16" s="43" t="n">
        <v>206.8</v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t="n">
        <v>35274</v>
      </c>
      <c r="I17" s="43" t="n">
        <v>149</v>
      </c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t="n">
        <v>26913</v>
      </c>
      <c r="I18" s="43" t="n">
        <v>166.5</v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t="n">
        <v>35284</v>
      </c>
      <c r="I19" s="43" t="n">
        <v>209</v>
      </c>
      <c r="J19" s="2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t="n">
        <v>35287</v>
      </c>
      <c r="I20" s="43" t="n">
        <v>148</v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t="n">
        <v>35292</v>
      </c>
      <c r="I21" s="43" t="n">
        <v>48</v>
      </c>
      <c r="J21" s="2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t="n">
        <v>35204</v>
      </c>
      <c r="I22" s="43" t="n">
        <v>200</v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I23" s="43" t="n"/>
      <c r="J23" s="2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I24" s="43" t="n"/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I25" s="43" t="n"/>
      <c r="J25" s="2" t="n">
        <v>0.1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  <c r="I26" s="43" t="n"/>
      <c r="J26" s="2" t="n">
        <v>0.1</v>
      </c>
      <c r="K26" s="52">
        <f>I26*J26</f>
        <v/>
      </c>
      <c r="L26" s="52">
        <f>K26+I26</f>
        <v/>
      </c>
    </row>
    <row r="27">
      <c r="E27" s="2" t="n">
        <v>0</v>
      </c>
      <c r="F27" s="43">
        <f>(C27*D27)-((C27*D27)*E27)</f>
        <v/>
      </c>
      <c r="I27" s="43" t="n"/>
      <c r="J27" s="2" t="n">
        <v>0.1</v>
      </c>
      <c r="K27" s="52">
        <f>I27*J27</f>
        <v/>
      </c>
      <c r="L27" s="52">
        <f>K27+I27</f>
        <v/>
      </c>
    </row>
    <row r="28">
      <c r="E28" s="2" t="n">
        <v>0</v>
      </c>
      <c r="F28" s="43">
        <f>(C28*D28)-((C28*D28)*E28)</f>
        <v/>
      </c>
      <c r="I28" s="43" t="n"/>
      <c r="J28" s="2" t="n">
        <v>0.1</v>
      </c>
      <c r="K28" s="52">
        <f>I28*J28</f>
        <v/>
      </c>
      <c r="L28" s="52">
        <f>K28+I28</f>
        <v/>
      </c>
    </row>
    <row r="29">
      <c r="E29" s="2" t="n">
        <v>0</v>
      </c>
      <c r="F29" s="43">
        <f>(C29*D29)-((C29*D29)*E29)</f>
        <v/>
      </c>
      <c r="I29" s="43" t="n"/>
      <c r="J29" s="2" t="n">
        <v>0.1</v>
      </c>
      <c r="K29" s="52">
        <f>I29*J29</f>
        <v/>
      </c>
      <c r="L29" s="52">
        <f>K29+I29</f>
        <v/>
      </c>
    </row>
    <row r="30">
      <c r="E30" s="2" t="n">
        <v>0</v>
      </c>
      <c r="F30" s="43">
        <f>(C30*D30)-((C30*D30)*E30)</f>
        <v/>
      </c>
      <c r="I30" s="43" t="n"/>
      <c r="J30" s="2" t="n">
        <v>0.1</v>
      </c>
      <c r="K30" s="52">
        <f>I30*J30</f>
        <v/>
      </c>
      <c r="L30" s="52">
        <f>K30+I30</f>
        <v/>
      </c>
    </row>
    <row r="31">
      <c r="E31" s="2" t="n">
        <v>0</v>
      </c>
      <c r="F31" s="43">
        <f>(C31*D31)-((C31*D31)*E31)</f>
        <v/>
      </c>
      <c r="I31" s="43" t="n"/>
      <c r="J31" s="2" t="n">
        <v>0.1</v>
      </c>
      <c r="K31" s="52">
        <f>I31*J31</f>
        <v/>
      </c>
      <c r="L31" s="52">
        <f>K31+I31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N82"/>
  <sheetViews>
    <sheetView workbookViewId="0">
      <selection activeCell="I11" sqref="I11:K16"/>
    </sheetView>
  </sheetViews>
  <sheetFormatPr baseColWidth="10" defaultColWidth="11.5" defaultRowHeight="15"/>
  <cols>
    <col width="5" customWidth="1" min="1" max="1"/>
    <col width="23.5" bestFit="1" customWidth="1" min="2" max="2"/>
    <col width="6.1640625" bestFit="1" customWidth="1" min="3" max="3"/>
    <col width="9.6640625" bestFit="1" customWidth="1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.6640625" bestFit="1" customWidth="1" style="43" min="10" max="10"/>
    <col width="5.6640625" bestFit="1" customWidth="1" style="2" min="11" max="11"/>
    <col width="10" bestFit="1" customWidth="1" min="12" max="12"/>
  </cols>
  <sheetData>
    <row r="1" ht="16" customHeight="1" thickBot="1"/>
    <row r="2" ht="14.5" customHeight="1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4.5" customHeight="1">
      <c r="B3" s="47" t="n"/>
      <c r="K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ALBARIÑO MAR DE FRADES</t>
        </is>
      </c>
      <c r="C7">
        <f>8+2</f>
        <v/>
      </c>
      <c r="D7">
        <f>C7*6</f>
        <v/>
      </c>
      <c r="E7" s="43" t="n">
        <v>11.42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CHARDONAY LIAS ECOLOGICO F.ELEZ</t>
        </is>
      </c>
      <c r="C8" t="n">
        <v>3</v>
      </c>
      <c r="D8">
        <f>C8*6</f>
        <v/>
      </c>
      <c r="E8" s="43" t="n">
        <v>9.02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</row>
    <row r="9">
      <c r="B9" t="inlineStr">
        <is>
          <t>SEÑORIO DE FITERO ROBLE</t>
        </is>
      </c>
      <c r="C9">
        <f>5+3</f>
        <v/>
      </c>
      <c r="D9">
        <f>C9*6</f>
        <v/>
      </c>
      <c r="E9" s="43" t="n">
        <v>2.82</v>
      </c>
      <c r="F9" s="2" t="n">
        <v>0</v>
      </c>
      <c r="G9" s="43">
        <f>(D9*E9)-((D9*E9)*F9)</f>
        <v/>
      </c>
    </row>
    <row r="10">
      <c r="B10" t="inlineStr">
        <is>
          <t>GODELLO VIÑAREDO</t>
        </is>
      </c>
      <c r="C10">
        <f>2+2</f>
        <v/>
      </c>
      <c r="D10">
        <f>C10*12</f>
        <v/>
      </c>
      <c r="E10" s="43" t="n">
        <v>7.03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  <c r="L10" t="inlineStr">
        <is>
          <t>CUOTA IVA</t>
        </is>
      </c>
    </row>
    <row r="11">
      <c r="E11" s="43" t="n"/>
      <c r="F11" s="2" t="n">
        <v>0</v>
      </c>
      <c r="G11" s="43">
        <f>(D11*E11)-((D11*E11)*F11)</f>
        <v/>
      </c>
      <c r="I11" s="12" t="inlineStr">
        <is>
          <t>FD 2485</t>
        </is>
      </c>
      <c r="J11" s="61" t="n">
        <v>795.12</v>
      </c>
      <c r="K11" s="14" t="n">
        <v>0.21</v>
      </c>
      <c r="L11">
        <f>J11*K11</f>
        <v/>
      </c>
      <c r="M11" s="52">
        <f>L11+J11</f>
        <v/>
      </c>
      <c r="N11" s="52" t="n"/>
    </row>
    <row r="12">
      <c r="E12" s="43" t="n"/>
      <c r="F12" s="2" t="n">
        <v>0</v>
      </c>
      <c r="G12" s="43">
        <f>(D12*E12)-((D12*E12)*F12)</f>
        <v/>
      </c>
      <c r="I12" s="12" t="inlineStr">
        <is>
          <t>FD 2606</t>
        </is>
      </c>
      <c r="J12" s="61" t="n">
        <v>356.52</v>
      </c>
      <c r="K12" s="14" t="n">
        <v>0.21</v>
      </c>
      <c r="L12">
        <f>J12*K12</f>
        <v/>
      </c>
      <c r="M12" s="52">
        <f>L12+J12</f>
        <v/>
      </c>
    </row>
    <row r="13">
      <c r="F13" s="2" t="n">
        <v>0</v>
      </c>
      <c r="G13" s="43">
        <f>(D13*E13)-((D13*E13)*F13)</f>
        <v/>
      </c>
      <c r="I13" s="12" t="inlineStr">
        <is>
          <t>FD 2650</t>
        </is>
      </c>
      <c r="J13" s="61" t="n">
        <v>168.72</v>
      </c>
      <c r="K13" s="14" t="n">
        <v>0.21</v>
      </c>
      <c r="L13">
        <f>J13*K13</f>
        <v/>
      </c>
      <c r="M13" s="52">
        <f>L13+J13</f>
        <v/>
      </c>
    </row>
    <row r="14">
      <c r="F14" s="2" t="n">
        <v>0</v>
      </c>
      <c r="G14" s="43">
        <f>(D14*E14)-((D14*E14)*F14)</f>
        <v/>
      </c>
      <c r="I14" s="12" t="n"/>
      <c r="J14" s="61" t="n"/>
      <c r="K14" s="14" t="n">
        <v>0.21</v>
      </c>
    </row>
    <row r="15">
      <c r="F15" s="2" t="n">
        <v>0</v>
      </c>
      <c r="G15" s="43">
        <f>(D15*E15)-((D15*E15)*F15)</f>
        <v/>
      </c>
      <c r="I15" s="12" t="n"/>
      <c r="J15" s="61" t="n"/>
      <c r="K15" s="14" t="n">
        <v>0.21</v>
      </c>
    </row>
    <row r="16">
      <c r="F16" s="2" t="n">
        <v>0</v>
      </c>
      <c r="G16" s="43">
        <f>(D16*E16)-((D16*E16)*F16)</f>
        <v/>
      </c>
      <c r="I16" s="12" t="n"/>
      <c r="J16" s="61" t="n"/>
      <c r="K16" s="14" t="n">
        <v>0.21</v>
      </c>
    </row>
    <row r="17">
      <c r="F17" s="2" t="n">
        <v>0</v>
      </c>
      <c r="G17" s="43">
        <f>(D17*E17)-((D17*E17)*F17)</f>
        <v/>
      </c>
      <c r="K17" s="2" t="n">
        <v>0.21</v>
      </c>
    </row>
    <row r="18">
      <c r="F18" s="2" t="n">
        <v>0</v>
      </c>
      <c r="G18" s="43">
        <f>(D18*E18)-((D18*E18)*F18)</f>
        <v/>
      </c>
      <c r="K18" s="2" t="n">
        <v>0.21</v>
      </c>
    </row>
    <row r="19">
      <c r="F19" s="2" t="n">
        <v>0</v>
      </c>
      <c r="G19" s="43">
        <f>(D19*E19)-((D19*E19)*F19)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autoFilter ref="B6:G6">
    <sortState ref="B7:G19">
      <sortCondition ref="B6"/>
    </sortState>
  </autoFilter>
  <mergeCells count="1">
    <mergeCell ref="B2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M82"/>
  <sheetViews>
    <sheetView workbookViewId="0">
      <selection activeCell="H11" sqref="H11:J15"/>
    </sheetView>
  </sheetViews>
  <sheetFormatPr baseColWidth="10" defaultColWidth="11.5" defaultRowHeight="15"/>
  <cols>
    <col width="5" customWidth="1" min="1" max="1"/>
    <col width="17.33203125" bestFit="1" customWidth="1" min="2" max="2"/>
    <col width="11.5" customWidth="1" style="43" min="4" max="4"/>
    <col width="11.5" customWidth="1" style="2" min="5" max="5"/>
    <col width="11.6640625" bestFit="1" customWidth="1" style="43" min="6" max="6"/>
    <col width="11.5" customWidth="1" style="43" min="9" max="9"/>
    <col width="11.5" customWidth="1" style="2" min="10" max="10"/>
    <col hidden="1" width="13" customWidth="1" min="11" max="11"/>
  </cols>
  <sheetData>
    <row r="1" ht="16" customHeight="1" thickBot="1"/>
    <row r="2" ht="14.5" customHeight="1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 ht="14.5" customHeight="1">
      <c r="B3" s="47" t="n"/>
      <c r="J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IZAGUIRRE BOX 20L</t>
        </is>
      </c>
      <c r="C7" t="n">
        <v>1</v>
      </c>
      <c r="D7" s="43" t="n">
        <v>120.15</v>
      </c>
      <c r="E7" s="2" t="n">
        <v>0.03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ALBARAN</t>
        </is>
      </c>
      <c r="C8">
        <f>1+1</f>
        <v/>
      </c>
      <c r="D8" s="43" t="n">
        <v>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</row>
    <row r="9">
      <c r="B9" t="inlineStr">
        <is>
          <t>SCHWEPPES TONICA RET 28 UDS</t>
        </is>
      </c>
      <c r="C9" t="n">
        <v>5</v>
      </c>
      <c r="D9" s="43" t="n">
        <v>24.84</v>
      </c>
      <c r="E9" s="2" t="n">
        <v>0</v>
      </c>
      <c r="F9" s="43">
        <f>(C9*D9)-((C9*D9)*E9)</f>
        <v/>
      </c>
    </row>
    <row r="10">
      <c r="B10" t="inlineStr">
        <is>
          <t>COCA COLA ZERO NAC RET</t>
        </is>
      </c>
      <c r="C10" t="n">
        <v>4</v>
      </c>
      <c r="D10" s="43" t="n">
        <v>21.78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  <c r="K10" t="inlineStr">
        <is>
          <t>CUOTA IVA</t>
        </is>
      </c>
    </row>
    <row r="11">
      <c r="B11" t="inlineStr">
        <is>
          <t>MAHOU 0,0 TOSTADA</t>
        </is>
      </c>
      <c r="C11" t="n">
        <v>3</v>
      </c>
      <c r="D11" s="43" t="n">
        <v>23.85</v>
      </c>
      <c r="E11" s="2" t="n">
        <v>0</v>
      </c>
      <c r="F11" s="43">
        <f>(C11*D11)-((C11*D11)*E11)</f>
        <v/>
      </c>
      <c r="H11" s="12" t="inlineStr">
        <is>
          <t>2026/1/23727</t>
        </is>
      </c>
      <c r="I11" s="61" t="n">
        <v>117.55</v>
      </c>
      <c r="J11" s="14" t="n">
        <v>0.21</v>
      </c>
      <c r="K11">
        <f>I11*J11</f>
        <v/>
      </c>
      <c r="L11" s="52">
        <f>K11+I11</f>
        <v/>
      </c>
      <c r="M11" s="52" t="n"/>
    </row>
    <row r="12">
      <c r="B12" t="inlineStr">
        <is>
          <t>ALBARAN</t>
        </is>
      </c>
      <c r="C12" t="n">
        <v>1</v>
      </c>
      <c r="D12" s="43" t="n">
        <v>1</v>
      </c>
      <c r="E12" s="2" t="n">
        <v>0.03</v>
      </c>
      <c r="F12" s="43">
        <f>(C12*D12)-((C12*D12)*E12)</f>
        <v/>
      </c>
      <c r="H12" s="12" t="inlineStr">
        <is>
          <t>2026/1/24261</t>
        </is>
      </c>
      <c r="I12" s="61" t="n">
        <v>283.84</v>
      </c>
      <c r="J12" s="14" t="n">
        <v>0.21</v>
      </c>
      <c r="K12">
        <f>I12*J12</f>
        <v/>
      </c>
      <c r="L12" s="52">
        <f>K12+I12</f>
        <v/>
      </c>
    </row>
    <row r="13">
      <c r="B13" t="inlineStr">
        <is>
          <t>SOLAN DE CABRAS CON GAS</t>
        </is>
      </c>
      <c r="C13" t="n">
        <v>2</v>
      </c>
      <c r="D13" s="43" t="n">
        <v>26.8</v>
      </c>
      <c r="E13" s="2" t="n">
        <v>0</v>
      </c>
      <c r="F13" s="43">
        <f>(C13*D13)-((C13*D13)*E13)</f>
        <v/>
      </c>
      <c r="H13" s="12" t="inlineStr">
        <is>
          <t>2026/1/24376</t>
        </is>
      </c>
      <c r="I13" s="61" t="n">
        <v>53.6</v>
      </c>
      <c r="J13" s="14" t="n">
        <v>0.1</v>
      </c>
      <c r="K13">
        <f>I13*J13</f>
        <v/>
      </c>
      <c r="L13" s="52">
        <f>K13+I13</f>
        <v/>
      </c>
    </row>
    <row r="14">
      <c r="B14" t="inlineStr">
        <is>
          <t>BARCELO AÑEJO</t>
        </is>
      </c>
      <c r="C14" t="n">
        <v>12</v>
      </c>
      <c r="D14" t="n">
        <v>12.72</v>
      </c>
      <c r="E14" s="2" t="n">
        <v>0.03</v>
      </c>
      <c r="F14" s="43">
        <f>(C14*D14)-((C14*D14)*E14)</f>
        <v/>
      </c>
      <c r="H14" s="12" t="inlineStr">
        <is>
          <t>2026/1/24376</t>
        </is>
      </c>
      <c r="I14" s="61" t="n">
        <v>1</v>
      </c>
      <c r="J14" s="14" t="n">
        <v>0.21</v>
      </c>
      <c r="K14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2" t="inlineStr">
        <is>
          <t>2026/1/24385</t>
        </is>
      </c>
      <c r="I15" s="61" t="n">
        <v>148.06</v>
      </c>
      <c r="J15" s="14" t="n">
        <v>0.21</v>
      </c>
      <c r="K15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</row>
    <row r="17">
      <c r="E17" s="2" t="n">
        <v>0</v>
      </c>
      <c r="F17" s="43">
        <f>(C17*D17)-((C17*D17)*E17)</f>
        <v/>
      </c>
    </row>
    <row r="18">
      <c r="E18" s="2" t="n">
        <v>0</v>
      </c>
      <c r="F18" s="43">
        <f>(C18*D18)-((C18*D18)*E18)</f>
        <v/>
      </c>
    </row>
    <row r="19">
      <c r="E19" s="2" t="n">
        <v>0</v>
      </c>
      <c r="F19" s="43">
        <f>(C19*D19)-((C19*D19)*E19)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N82"/>
  <sheetViews>
    <sheetView workbookViewId="0">
      <selection activeCell="I11" sqref="I11:K16"/>
    </sheetView>
  </sheetViews>
  <sheetFormatPr baseColWidth="10" defaultColWidth="11.5" defaultRowHeight="15"/>
  <cols>
    <col width="5" customWidth="1" min="1" max="1"/>
    <col width="35.1640625" bestFit="1" customWidth="1" min="2" max="2"/>
    <col width="6.1640625" bestFit="1" customWidth="1" min="3" max="3"/>
    <col width="9.6640625" bestFit="1" customWidth="1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.6640625" bestFit="1" customWidth="1" style="43" min="10" max="10"/>
    <col width="5.6640625" bestFit="1" customWidth="1" style="2" min="11" max="11"/>
    <col width="10" bestFit="1" customWidth="1" min="12" max="12"/>
  </cols>
  <sheetData>
    <row r="1" ht="16" customHeight="1" thickBot="1"/>
    <row r="2" ht="14.5" customHeight="1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4.5" customHeight="1">
      <c r="B3" s="47" t="n"/>
      <c r="K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RAMON BILBAO BLANCO VERDEJO 3/4</t>
        </is>
      </c>
      <c r="C7">
        <f>8+3</f>
        <v/>
      </c>
      <c r="D7">
        <f>C7*6</f>
        <v/>
      </c>
      <c r="E7" s="43" t="n">
        <v>4.67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RAMON BILBAO VIÑEDOS DE ALTURA 3/4</t>
        </is>
      </c>
      <c r="C8" t="n">
        <v>4</v>
      </c>
      <c r="D8">
        <f>C8*6</f>
        <v/>
      </c>
      <c r="E8" s="43" t="n">
        <v>8.779999999999999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</row>
    <row r="9">
      <c r="B9" t="inlineStr">
        <is>
          <t>CEPAS VELLAS GODEVAL</t>
        </is>
      </c>
      <c r="C9" t="n">
        <v>7</v>
      </c>
      <c r="D9">
        <f>C9*6</f>
        <v/>
      </c>
      <c r="E9" s="43" t="n">
        <v>11.77</v>
      </c>
      <c r="F9" s="2" t="n">
        <v>0</v>
      </c>
      <c r="G9" s="43">
        <f>(D9*E9)-((D9*E9)*F9)</f>
        <v/>
      </c>
    </row>
    <row r="10">
      <c r="B10" t="inlineStr">
        <is>
          <t>PACO GARCIA CRIANZA 3/4</t>
        </is>
      </c>
      <c r="C10">
        <f>2+2</f>
        <v/>
      </c>
      <c r="D10">
        <f>C10*12</f>
        <v/>
      </c>
      <c r="E10" s="43" t="n">
        <v>5.3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CORIMBO</t>
        </is>
      </c>
      <c r="C11">
        <f>3+2+1</f>
        <v/>
      </c>
      <c r="D11">
        <f>C11*6</f>
        <v/>
      </c>
      <c r="E11" s="43" t="n">
        <v>13.91</v>
      </c>
      <c r="F11" s="2" t="n">
        <v>0</v>
      </c>
      <c r="G11" s="43">
        <f>(D11*E11)-((D11*E11)*F11)</f>
        <v/>
      </c>
      <c r="I11" s="12" t="inlineStr">
        <is>
          <t>FM 2789</t>
        </is>
      </c>
      <c r="J11" s="61" t="n">
        <v>1306.8</v>
      </c>
      <c r="K11" s="14" t="n">
        <v>0.21</v>
      </c>
      <c r="L11">
        <f>J11*K11</f>
        <v/>
      </c>
      <c r="M11" s="52">
        <f>L11+J11</f>
        <v/>
      </c>
      <c r="N11" s="52" t="n"/>
    </row>
    <row r="12">
      <c r="B12" t="inlineStr">
        <is>
          <t>VINAGRE DE JEREZ RESERVA AL MOSCATEL</t>
        </is>
      </c>
      <c r="C12" t="n">
        <v>2</v>
      </c>
      <c r="D12">
        <f>C12*6</f>
        <v/>
      </c>
      <c r="E12" s="43" t="n">
        <v>5.44</v>
      </c>
      <c r="F12" s="2" t="n">
        <v>0</v>
      </c>
      <c r="G12" s="43">
        <f>(D12*E12)-((D12*E12)*F12)</f>
        <v/>
      </c>
      <c r="I12" s="12" t="inlineStr">
        <is>
          <t>FM 2789</t>
        </is>
      </c>
      <c r="J12" s="61" t="n">
        <v>65.28</v>
      </c>
      <c r="K12" s="14" t="n">
        <v>0.1</v>
      </c>
      <c r="L12">
        <f>J12*K12</f>
        <v/>
      </c>
      <c r="M12" s="52">
        <f>L12+J12</f>
        <v/>
      </c>
    </row>
    <row r="13">
      <c r="B13" t="inlineStr">
        <is>
          <t>BARBADILLO VI MOSCATO FRIZZANTE</t>
        </is>
      </c>
      <c r="C13" t="n">
        <v>1</v>
      </c>
      <c r="D13">
        <f>C13*6</f>
        <v/>
      </c>
      <c r="E13" s="43" t="n">
        <v>5.63</v>
      </c>
      <c r="F13" s="2" t="n">
        <v>0</v>
      </c>
      <c r="G13" s="43">
        <f>(D13*E13)-((D13*E13)*F13)</f>
        <v/>
      </c>
      <c r="I13" s="12" t="inlineStr">
        <is>
          <t>FM 2940</t>
        </is>
      </c>
      <c r="J13" s="61" t="n">
        <v>337.8</v>
      </c>
      <c r="K13" s="14" t="n">
        <v>0.21</v>
      </c>
      <c r="L13">
        <f>J13*K13</f>
        <v/>
      </c>
      <c r="M13" s="52">
        <f>L13+J13</f>
        <v/>
      </c>
    </row>
    <row r="14">
      <c r="B14" t="inlineStr">
        <is>
          <t>MANZANILLA SOLEAR 3/8</t>
        </is>
      </c>
      <c r="C14" t="n">
        <v>1</v>
      </c>
      <c r="D14">
        <f>C14*12</f>
        <v/>
      </c>
      <c r="E14" s="43" t="n">
        <v>4.42</v>
      </c>
      <c r="F14" s="2" t="n">
        <v>0</v>
      </c>
      <c r="G14" s="43">
        <f>(D14*E14)-((D14*E14)*F14)</f>
        <v/>
      </c>
      <c r="I14" s="12" t="inlineStr">
        <is>
          <t>FM 2902</t>
        </is>
      </c>
      <c r="J14" s="61" t="n">
        <v>210.66</v>
      </c>
      <c r="K14" s="14" t="n">
        <v>0.21</v>
      </c>
      <c r="L14">
        <f>J14*K14</f>
        <v/>
      </c>
      <c r="M14" s="52">
        <f>L14+J14</f>
        <v/>
      </c>
    </row>
    <row r="15">
      <c r="F15" s="2" t="n">
        <v>0</v>
      </c>
      <c r="G15" s="43">
        <f>(D15*E15)-((D15*E15)*F15)</f>
        <v/>
      </c>
      <c r="I15" s="12" t="n"/>
      <c r="J15" s="61" t="n"/>
      <c r="K15" s="14" t="n">
        <v>0.21</v>
      </c>
    </row>
    <row r="16">
      <c r="F16" s="2" t="n">
        <v>0</v>
      </c>
      <c r="G16" s="43">
        <f>(D16*E16)-((D16*E16)*F16)</f>
        <v/>
      </c>
      <c r="I16" s="12" t="n"/>
      <c r="J16" s="61" t="n"/>
      <c r="K16" s="14" t="n">
        <v>0.21</v>
      </c>
    </row>
    <row r="17">
      <c r="F17" s="2" t="n">
        <v>0</v>
      </c>
      <c r="G17" s="43">
        <f>(D17*E17)-((D17*E17)*F17)</f>
        <v/>
      </c>
      <c r="K17" s="2" t="n">
        <v>0.21</v>
      </c>
    </row>
    <row r="18">
      <c r="F18" s="2" t="n">
        <v>0</v>
      </c>
      <c r="G18" s="43">
        <f>(D18*E18)-((D18*E18)*F18)</f>
        <v/>
      </c>
      <c r="K18" s="2" t="n">
        <v>0.21</v>
      </c>
    </row>
    <row r="19">
      <c r="F19" s="2" t="n">
        <v>0</v>
      </c>
      <c r="G19" s="43">
        <f>(D19*E19)-((D19*E19)*F19)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autoFilter ref="B6:G6">
    <sortState ref="B7:G19">
      <sortCondition ref="B6"/>
    </sortState>
  </autoFilter>
  <mergeCells count="1">
    <mergeCell ref="B2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L82"/>
  <sheetViews>
    <sheetView topLeftCell="A4" workbookViewId="0">
      <selection activeCell="J38" sqref="J38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10.66406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GREY GOOSE VODKA 0,70L NR</t>
        </is>
      </c>
      <c r="C7" t="n">
        <v>2</v>
      </c>
      <c r="D7" s="43" t="n">
        <v>37.45</v>
      </c>
      <c r="E7" s="2" t="n">
        <v>0.04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MAESTRO DOBEL DIAMANTE REPOSADO 0.70</t>
        </is>
      </c>
      <c r="C8" t="n">
        <v>2</v>
      </c>
      <c r="D8" s="43" t="n">
        <v>55.17</v>
      </c>
      <c r="E8" s="2" t="n">
        <v>0.04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SEAGRAMS 0,0 0,70L</t>
        </is>
      </c>
      <c r="C9" t="n">
        <v>1</v>
      </c>
      <c r="D9" s="43" t="n">
        <v>12.99</v>
      </c>
      <c r="E9" s="2" t="n">
        <v>0.04</v>
      </c>
      <c r="F9" s="43">
        <f>(C9*D9)-((C9*D9)*E9)</f>
        <v/>
      </c>
    </row>
    <row r="10">
      <c r="B10" t="inlineStr">
        <is>
          <t>TANQUERAY 0,70L</t>
        </is>
      </c>
      <c r="C10" t="n">
        <v>1</v>
      </c>
      <c r="D10" s="43" t="n">
        <v>12.12</v>
      </c>
      <c r="E10" s="2" t="n">
        <v>0.04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ABSOLUT 0,70L</t>
        </is>
      </c>
      <c r="C11">
        <f>2+3</f>
        <v/>
      </c>
      <c r="D11" s="43" t="n">
        <v>11.85</v>
      </c>
      <c r="E11" s="2" t="n">
        <v>0.04</v>
      </c>
      <c r="F11" s="43">
        <f>(C11*D11)-((C11*D11)*E11)</f>
        <v/>
      </c>
      <c r="H11" s="18" t="inlineStr">
        <is>
          <t>SF 8750</t>
        </is>
      </c>
      <c r="I11" s="56" t="n">
        <v>225.69</v>
      </c>
      <c r="J11" s="20" t="n">
        <v>0.21</v>
      </c>
      <c r="K11">
        <f>I11*J11</f>
        <v/>
      </c>
      <c r="L11">
        <f>K11+I11</f>
        <v/>
      </c>
    </row>
    <row r="12">
      <c r="B12" t="inlineStr">
        <is>
          <t>SERVICIOS LOGISTICOS</t>
        </is>
      </c>
      <c r="C12">
        <f>1+1</f>
        <v/>
      </c>
      <c r="D12" s="43" t="n">
        <v>1</v>
      </c>
      <c r="E12" s="2" t="n">
        <v>0</v>
      </c>
      <c r="F12" s="43">
        <f>(C12*D12)-((C12*D12)*E12)</f>
        <v/>
      </c>
      <c r="H12" s="18" t="inlineStr">
        <is>
          <t>SF 8939</t>
        </is>
      </c>
      <c r="I12" s="56" t="n">
        <v>487.25</v>
      </c>
      <c r="J12" s="20" t="n">
        <v>0.21</v>
      </c>
      <c r="K12">
        <f>I12*J12</f>
        <v/>
      </c>
      <c r="L12">
        <f>K12+I12</f>
        <v/>
      </c>
    </row>
    <row r="13">
      <c r="B13" t="inlineStr">
        <is>
          <t>GIN NORDÉS 0,70L</t>
        </is>
      </c>
      <c r="C13" t="n">
        <v>2</v>
      </c>
      <c r="D13" s="43" t="n">
        <v>19.9</v>
      </c>
      <c r="E13" s="2" t="n">
        <v>0.04</v>
      </c>
      <c r="F13" s="43">
        <f>(C13*D13)-((C13*D13)*E13)</f>
        <v/>
      </c>
      <c r="H13" s="18" t="n"/>
      <c r="I13" s="56" t="n"/>
      <c r="J13" s="20" t="n">
        <v>0.21</v>
      </c>
    </row>
    <row r="14">
      <c r="B14" t="inlineStr">
        <is>
          <t>HENDRICKS 0,70L</t>
        </is>
      </c>
      <c r="C14" t="n">
        <v>1</v>
      </c>
      <c r="D14" s="43" t="n">
        <v>24.08</v>
      </c>
      <c r="E14" s="2" t="n">
        <v>0.04</v>
      </c>
      <c r="F14" s="43">
        <f>(C14*D14)-((C14*D14)*E14)</f>
        <v/>
      </c>
      <c r="H14" s="18" t="n"/>
      <c r="I14" s="56" t="n"/>
      <c r="J14" s="20" t="n">
        <v>0.21</v>
      </c>
    </row>
    <row r="15">
      <c r="B15" t="inlineStr">
        <is>
          <t>LARIOS 1L NR</t>
        </is>
      </c>
      <c r="C15" t="n">
        <v>1</v>
      </c>
      <c r="D15" s="43" t="n">
        <v>10.32</v>
      </c>
      <c r="E15" s="2" t="n">
        <v>0.04</v>
      </c>
      <c r="F15" s="43">
        <f>(C15*D15)-((C15*D15)*E15)</f>
        <v/>
      </c>
      <c r="H15" s="18" t="n"/>
      <c r="I15" s="56" t="n"/>
      <c r="J15" s="20" t="n">
        <v>0.21</v>
      </c>
    </row>
    <row r="16">
      <c r="B16" t="inlineStr">
        <is>
          <t>WHITE LABEL 0,70L NR</t>
        </is>
      </c>
      <c r="C16" t="n">
        <v>7</v>
      </c>
      <c r="D16" s="43" t="n">
        <v>11.09</v>
      </c>
      <c r="E16" s="2" t="n">
        <v>0.04</v>
      </c>
      <c r="F16" s="43">
        <f>(C16*D16)-((C16*D16)*E16)</f>
        <v/>
      </c>
      <c r="J16" s="2" t="n">
        <v>0.21</v>
      </c>
    </row>
    <row r="17">
      <c r="B17" t="inlineStr">
        <is>
          <t>JAMESON 0,70L</t>
        </is>
      </c>
      <c r="C17" t="n">
        <v>2</v>
      </c>
      <c r="D17" s="43" t="n">
        <v>14.48</v>
      </c>
      <c r="E17" s="2" t="n">
        <v>0.04</v>
      </c>
      <c r="F17" s="43">
        <f>(C17*D17)-((C17*D17)*E17)</f>
        <v/>
      </c>
      <c r="J17" s="2" t="n">
        <v>0.21</v>
      </c>
    </row>
    <row r="18">
      <c r="B18" t="inlineStr">
        <is>
          <t>APEROL LITRO</t>
        </is>
      </c>
      <c r="C18" t="n">
        <v>3</v>
      </c>
      <c r="D18" s="43" t="n">
        <v>11.17</v>
      </c>
      <c r="E18" s="2" t="n">
        <v>0.04</v>
      </c>
      <c r="F18" s="43">
        <f>(C18*D18)-((C18*D18)*E18)</f>
        <v/>
      </c>
      <c r="J18" s="2" t="n">
        <v>0.21</v>
      </c>
    </row>
    <row r="19">
      <c r="B19" t="inlineStr">
        <is>
          <t>MARTINI ROJO 1L</t>
        </is>
      </c>
      <c r="C19" t="n">
        <v>3</v>
      </c>
      <c r="D19" s="43" t="n">
        <v>8.359999999999999</v>
      </c>
      <c r="E19" s="2" t="n">
        <v>0.04</v>
      </c>
      <c r="F19" s="43">
        <f>(C19*D19)-((C19*D19)*E19)</f>
        <v/>
      </c>
      <c r="J19" s="2" t="n">
        <v>0.21</v>
      </c>
    </row>
    <row r="20">
      <c r="B20" t="inlineStr">
        <is>
          <t>MARTINI ROJO 1L (regalo)</t>
        </is>
      </c>
      <c r="C20" t="n">
        <v>1</v>
      </c>
      <c r="D20" s="43" t="n">
        <v>8.359999999999999</v>
      </c>
      <c r="E20" s="2" t="n">
        <v>1</v>
      </c>
      <c r="F20" s="43">
        <f>(C20*D20)-((C20*D20)*E20)</f>
        <v/>
      </c>
      <c r="J20" s="2" t="n">
        <v>0.21</v>
      </c>
    </row>
    <row r="21">
      <c r="B21" t="inlineStr">
        <is>
          <t>MARTINI BLANCO 1L</t>
        </is>
      </c>
      <c r="C21" t="n">
        <v>2</v>
      </c>
      <c r="D21" s="43" t="n">
        <v>8.359999999999999</v>
      </c>
      <c r="E21" s="2" t="n">
        <v>0.04</v>
      </c>
      <c r="F21" s="43">
        <f>(C21*D21)-((C21*D21)*E21)</f>
        <v/>
      </c>
      <c r="J21" s="2" t="n">
        <v>0.21</v>
      </c>
    </row>
    <row r="22">
      <c r="B22" t="inlineStr">
        <is>
          <t>CREMA ORUJO 3L MOS DE PAS</t>
        </is>
      </c>
      <c r="C22" t="n">
        <v>1</v>
      </c>
      <c r="D22" s="43" t="n">
        <v>15.6</v>
      </c>
      <c r="E22" s="2" t="n">
        <v>0.04</v>
      </c>
      <c r="F22" s="43">
        <f>(C22*D22)-((C22*D22)*E22)</f>
        <v/>
      </c>
      <c r="J22" s="2" t="n">
        <v>0.21</v>
      </c>
    </row>
    <row r="23">
      <c r="B23" t="inlineStr">
        <is>
          <t>PACHARAN 3L MOS DE PAS</t>
        </is>
      </c>
      <c r="C23" t="n">
        <v>1</v>
      </c>
      <c r="D23" s="43" t="n">
        <v>14.57</v>
      </c>
      <c r="E23" s="2" t="n">
        <v>0.04</v>
      </c>
      <c r="F23" s="43">
        <f>(C23*D23)-((C23*D23)*E23)</f>
        <v/>
      </c>
      <c r="J23" s="2" t="n">
        <v>0.21</v>
      </c>
    </row>
    <row r="24">
      <c r="B24" t="inlineStr">
        <is>
          <t>HIERBAS 3L MOS DE PAS</t>
        </is>
      </c>
      <c r="C24" t="n">
        <v>1</v>
      </c>
      <c r="D24" s="43" t="n">
        <v>15.1</v>
      </c>
      <c r="E24" s="2" t="n">
        <v>0.04</v>
      </c>
      <c r="F24" s="43">
        <f>(C24*D24)-((C24*D24)*E24)</f>
        <v/>
      </c>
      <c r="J24" s="2" t="n">
        <v>0.21</v>
      </c>
    </row>
    <row r="25">
      <c r="B25" t="inlineStr">
        <is>
          <t>LIMONCELO DE 3L BEREMOT</t>
        </is>
      </c>
      <c r="C25" t="n">
        <v>1</v>
      </c>
      <c r="D25" s="43" t="n">
        <v>15.96</v>
      </c>
      <c r="E25" s="2" t="n">
        <v>0.04</v>
      </c>
      <c r="F25" s="43">
        <f>(C25*D25)-((C25*D25)*E25)</f>
        <v/>
      </c>
      <c r="G25" s="17" t="n"/>
      <c r="J25" s="2" t="n">
        <v>0.21</v>
      </c>
    </row>
    <row r="26">
      <c r="B26" t="inlineStr">
        <is>
          <t>RED BULL 24U</t>
        </is>
      </c>
      <c r="C26" t="n">
        <v>2</v>
      </c>
      <c r="D26" s="43" t="n">
        <v>38.4</v>
      </c>
      <c r="E26" s="2" t="n">
        <v>0.04</v>
      </c>
      <c r="F26" s="43">
        <f>(C26*D26)-((C26*D26)*E26)</f>
        <v/>
      </c>
      <c r="J26" s="2" t="n">
        <v>0.21</v>
      </c>
    </row>
    <row r="27">
      <c r="B27" t="inlineStr">
        <is>
          <t>RED BULL 24U (regalo)</t>
        </is>
      </c>
      <c r="C27" t="n">
        <v>1</v>
      </c>
      <c r="D27" s="43" t="n">
        <v>38.4</v>
      </c>
      <c r="E27" s="2" t="n">
        <v>1</v>
      </c>
      <c r="F27" s="43">
        <f>(C27*D27)-((C27*D27)*E27)</f>
        <v/>
      </c>
    </row>
    <row r="28">
      <c r="B28" t="inlineStr">
        <is>
          <t>RED BULL LIGHT 24U</t>
        </is>
      </c>
      <c r="C28" t="n">
        <v>2</v>
      </c>
      <c r="D28" s="43" t="n">
        <v>38.4</v>
      </c>
      <c r="E28" s="2" t="n">
        <v>0.04</v>
      </c>
      <c r="F28" s="43">
        <f>(C28*D28)-((C28*D28)*E28)</f>
        <v/>
      </c>
    </row>
    <row r="29">
      <c r="B29" t="inlineStr">
        <is>
          <t>RED BULL LIGHT 24U (regalo)</t>
        </is>
      </c>
      <c r="C29" t="n">
        <v>1</v>
      </c>
      <c r="D29" s="43" t="n">
        <v>38.4</v>
      </c>
      <c r="E29" s="2" t="n">
        <v>1</v>
      </c>
      <c r="F29" s="43">
        <f>(C29*D29)-((C29*D29)*E29)</f>
        <v/>
      </c>
    </row>
    <row r="30">
      <c r="D30" s="43" t="n"/>
      <c r="E30" s="2" t="n">
        <v>0</v>
      </c>
      <c r="F30" s="43">
        <f>(C30*D30)-((C30*D30)*E30)</f>
        <v/>
      </c>
    </row>
    <row r="31">
      <c r="D31" s="43" t="n"/>
      <c r="E31" s="2" t="n">
        <v>0</v>
      </c>
      <c r="F31" s="43">
        <f>(C31*D31)-((C31*D31)*E31)</f>
        <v/>
      </c>
    </row>
    <row r="32">
      <c r="D32" s="43" t="n"/>
      <c r="E32" s="2" t="n">
        <v>0</v>
      </c>
      <c r="F32" s="43">
        <f>(C32*D32)-((C32*D32)*E32)</f>
        <v/>
      </c>
    </row>
    <row r="33">
      <c r="D33" s="43" t="n"/>
      <c r="E33" s="2" t="n">
        <v>0</v>
      </c>
      <c r="F33" s="43">
        <f>(C33*D33)-((C33*D33)*E33)</f>
        <v/>
      </c>
    </row>
    <row r="34">
      <c r="D34" s="43" t="n"/>
      <c r="E34" s="2" t="n">
        <v>0</v>
      </c>
      <c r="F34" s="43">
        <f>(C34*D34)-((C34*D34)*E34)</f>
        <v/>
      </c>
    </row>
    <row r="35">
      <c r="D35" s="43" t="n"/>
      <c r="E35" s="2" t="n">
        <v>0</v>
      </c>
      <c r="F35" s="43">
        <f>(C35*D35)-((C35*D35)*E35)</f>
        <v/>
      </c>
    </row>
    <row r="36">
      <c r="D36" s="43" t="n"/>
      <c r="E36" s="2" t="n">
        <v>0</v>
      </c>
      <c r="F36" s="43">
        <f>(C36*D36)-((C36*D36)*E36)</f>
        <v/>
      </c>
    </row>
    <row r="37">
      <c r="D37" s="43" t="n"/>
      <c r="E37" s="2" t="n">
        <v>0</v>
      </c>
      <c r="F37" s="43">
        <f>(C37*D37)-((C37*D37)*E37)</f>
        <v/>
      </c>
    </row>
    <row r="38">
      <c r="D38" s="43" t="n"/>
      <c r="E38" s="2" t="n">
        <v>0</v>
      </c>
      <c r="F38" s="43">
        <f>(C38*D38)-((C38*D38)*E38)</f>
        <v/>
      </c>
    </row>
    <row r="39">
      <c r="D39" s="43" t="n"/>
      <c r="E39" s="2" t="n">
        <v>0</v>
      </c>
      <c r="F39" s="43">
        <f>(C39*D39)-((C39*D39)*E39)</f>
        <v/>
      </c>
    </row>
    <row r="40">
      <c r="D40" s="43" t="n"/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J82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2" t="n"/>
      <c r="I11" s="61" t="n"/>
      <c r="J11" s="14" t="n">
        <v>0.21</v>
      </c>
    </row>
    <row r="12"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R82"/>
  <sheetViews>
    <sheetView topLeftCell="A3" workbookViewId="0">
      <selection activeCell="H11" sqref="H11:J11"/>
    </sheetView>
  </sheetViews>
  <sheetFormatPr baseColWidth="10" defaultColWidth="11.5" defaultRowHeight="15"/>
  <cols>
    <col width="5" customWidth="1" min="1" max="1"/>
    <col width="52.83203125" bestFit="1" customWidth="1" min="2" max="2"/>
    <col width="11.5" customWidth="1" style="43" min="4" max="4"/>
    <col width="11.5" customWidth="1" style="2" min="5" max="5"/>
    <col width="11.6640625" bestFit="1" customWidth="1" style="43" min="6" max="6"/>
    <col width="11.5" customWidth="1" style="43" min="9" max="9"/>
    <col width="11.5" customWidth="1" style="2" min="10" max="10"/>
    <col hidden="1" width="13" customWidth="1" min="11" max="11"/>
    <col width="11.5" customWidth="1" style="43" min="19" max="19"/>
    <col width="11.5" customWidth="1" style="2" min="20" max="20"/>
    <col width="11.5" customWidth="1" style="43" min="21" max="21"/>
  </cols>
  <sheetData>
    <row r="1" ht="16" customHeight="1" thickBot="1">
      <c r="D1" s="43">
        <f>10.2/144</f>
        <v/>
      </c>
    </row>
    <row r="2" ht="14.5" customHeight="1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  <c r="R2" s="52" t="n"/>
    </row>
    <row r="3" ht="14.5" customHeight="1">
      <c r="B3" s="47" t="n"/>
      <c r="J3" s="48" t="n"/>
      <c r="O3" s="43" t="n"/>
      <c r="P3" s="2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  <c r="O4" s="43" t="n"/>
      <c r="P4" s="2" t="n"/>
    </row>
    <row r="5" ht="16" customHeight="1" thickBot="1"/>
    <row r="6" ht="16" customHeight="1" thickBot="1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  <c r="R6" s="11">
        <f>SUM(R7:R36)</f>
        <v/>
      </c>
    </row>
    <row r="7">
      <c r="B7" t="inlineStr">
        <is>
          <t>TICKET VOLDIS 25/08 (detalle ilegible) base 10%</t>
        </is>
      </c>
      <c r="C7" t="n">
        <v>1</v>
      </c>
      <c r="D7" s="43" t="n">
        <v>4.38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TICKET VOLDIS 25/08 (detalle ilegible) base 21%</t>
        </is>
      </c>
      <c r="C8" t="n">
        <v>1</v>
      </c>
      <c r="D8" s="43" t="n">
        <v>484.47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TICKET VOLDIS 19/08 (detalle ilegible) base 10%</t>
        </is>
      </c>
      <c r="C9" t="n">
        <v>1</v>
      </c>
      <c r="D9" s="43" t="n">
        <v>29.52</v>
      </c>
      <c r="E9" s="2" t="n">
        <v>0</v>
      </c>
      <c r="F9" s="43">
        <f>(C9*D9)-((C9*D9)*E9)</f>
        <v/>
      </c>
    </row>
    <row r="10">
      <c r="B10" t="inlineStr">
        <is>
          <t>TICKET VOLDIS 19/08 (detalle ilegible) base 21%</t>
        </is>
      </c>
      <c r="C10" t="n">
        <v>1</v>
      </c>
      <c r="D10" s="43" t="n">
        <v>262.5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  <c r="K10" t="inlineStr">
        <is>
          <t>CUOTA IVA</t>
        </is>
      </c>
      <c r="N10" t="inlineStr">
        <is>
          <t>UNIDADES</t>
        </is>
      </c>
      <c r="O10" t="n">
        <v>4</v>
      </c>
    </row>
    <row r="11">
      <c r="D11" s="43" t="n"/>
      <c r="E11" s="2" t="n">
        <v>0</v>
      </c>
      <c r="F11" s="43">
        <f>(C11*D11)-((C11*D11)*E11)</f>
        <v/>
      </c>
      <c r="H11" s="12" t="inlineStr">
        <is>
          <t>AP26-? (25/08)</t>
        </is>
      </c>
      <c r="I11" s="61" t="n">
        <v>4.38</v>
      </c>
      <c r="J11" s="14" t="n">
        <v>0.1</v>
      </c>
      <c r="K11">
        <f>I11*J11</f>
        <v/>
      </c>
      <c r="L11" s="52">
        <f>K11+I11</f>
        <v/>
      </c>
      <c r="M11" s="52" t="n"/>
      <c r="N11" t="inlineStr">
        <is>
          <t>PRECIO</t>
        </is>
      </c>
    </row>
    <row r="12">
      <c r="D12" s="43" t="n"/>
      <c r="E12" s="2" t="n">
        <v>0</v>
      </c>
      <c r="F12" s="43">
        <f>(C12*D12)-((C12*D12)*E12)</f>
        <v/>
      </c>
      <c r="H12" s="12" t="inlineStr">
        <is>
          <t>AP26-? (25/08)</t>
        </is>
      </c>
      <c r="I12" s="61" t="n">
        <v>484.47</v>
      </c>
      <c r="J12" s="14" t="n">
        <v>0.21</v>
      </c>
      <c r="K12">
        <f>I12*J12</f>
        <v/>
      </c>
      <c r="L12" s="52">
        <f>K12+I12</f>
        <v/>
      </c>
      <c r="N12" t="inlineStr">
        <is>
          <t>DES</t>
        </is>
      </c>
      <c r="O12" t="n">
        <v>42.89</v>
      </c>
    </row>
    <row r="13">
      <c r="D13" s="43" t="n"/>
      <c r="E13" s="2" t="n">
        <v>0</v>
      </c>
      <c r="F13" s="43">
        <f>(C13*D13)-((C13*D13)*E13)</f>
        <v/>
      </c>
      <c r="H13" s="12" t="inlineStr">
        <is>
          <t>AP26-? (19/08)</t>
        </is>
      </c>
      <c r="I13" s="61" t="n">
        <v>29.52</v>
      </c>
      <c r="J13" s="14" t="n">
        <v>0.1</v>
      </c>
      <c r="K13">
        <f>I13*J13</f>
        <v/>
      </c>
      <c r="L13" s="52">
        <f>K13+I13</f>
        <v/>
      </c>
      <c r="N13" t="inlineStr">
        <is>
          <t>TOTAL</t>
        </is>
      </c>
      <c r="O13" t="n">
        <v>64.34</v>
      </c>
    </row>
    <row r="14">
      <c r="D14" s="43" t="n"/>
      <c r="E14" s="2" t="n">
        <v>0</v>
      </c>
      <c r="F14" s="43">
        <f>(C14*D14)-((C14*D14)*E14)</f>
        <v/>
      </c>
      <c r="H14" s="12" t="inlineStr">
        <is>
          <t>AP26-? (19/08)</t>
        </is>
      </c>
      <c r="I14" s="61" t="n">
        <v>262.5</v>
      </c>
      <c r="J14" s="14" t="n">
        <v>0.21</v>
      </c>
      <c r="K14">
        <f>I14*J14</f>
        <v/>
      </c>
      <c r="L14" s="52">
        <f>K14+I14</f>
        <v/>
      </c>
      <c r="N14" t="inlineStr">
        <is>
          <t>SIN DTO</t>
        </is>
      </c>
      <c r="O14">
        <f>O13+O12</f>
        <v/>
      </c>
    </row>
    <row r="15">
      <c r="D15" s="43" t="n"/>
      <c r="E15" s="2" t="n">
        <v>0</v>
      </c>
      <c r="F15" s="43">
        <f>(C15*D15)-((C15*D15)*E15)</f>
        <v/>
      </c>
      <c r="H15" s="12" t="n"/>
      <c r="I15" s="61" t="n"/>
      <c r="J15" s="14" t="n">
        <v>0.21</v>
      </c>
      <c r="N15" t="inlineStr">
        <is>
          <t>PRECIO REAL</t>
        </is>
      </c>
      <c r="O15">
        <f>O14/O10</f>
        <v/>
      </c>
    </row>
    <row r="16">
      <c r="D16" s="43" t="n"/>
      <c r="E16" s="2" t="n">
        <v>0</v>
      </c>
      <c r="F16" s="43">
        <f>(C16*D16)-((C16*D16)*E16)</f>
        <v/>
      </c>
      <c r="H16" s="12" t="n"/>
      <c r="I16" s="61" t="n"/>
      <c r="J16" s="14" t="n">
        <v>0.1</v>
      </c>
    </row>
    <row r="17">
      <c r="D17" s="43" t="n"/>
      <c r="E17" s="2" t="n">
        <v>0</v>
      </c>
      <c r="F17" s="43">
        <f>(C17*D17)-((C17*D17)*E17)</f>
        <v/>
      </c>
      <c r="H17" s="12" t="n"/>
      <c r="I17" s="61" t="n"/>
      <c r="J17" s="14" t="n">
        <v>0.21</v>
      </c>
    </row>
    <row r="18">
      <c r="D18" s="43" t="n"/>
      <c r="E18" s="2" t="n">
        <v>0</v>
      </c>
      <c r="F18" s="43">
        <f>(C18*D18)-((C18*D18)*E18)</f>
        <v/>
      </c>
      <c r="H18" s="12" t="n"/>
      <c r="I18" s="61" t="n"/>
      <c r="J18" s="14" t="n">
        <v>0.1</v>
      </c>
    </row>
    <row r="19">
      <c r="D19" s="43" t="n"/>
      <c r="E19" s="2" t="n">
        <v>0</v>
      </c>
      <c r="F19" s="43">
        <f>(C19*D19)-((C19*D19)*E19)</f>
        <v/>
      </c>
      <c r="H19" s="12" t="n"/>
      <c r="I19" s="61" t="n"/>
      <c r="J19" s="14" t="n">
        <v>0.21</v>
      </c>
    </row>
    <row r="20">
      <c r="D20" s="43" t="n"/>
      <c r="E20" s="2" t="n">
        <v>0</v>
      </c>
      <c r="F20" s="43">
        <f>(C20*D20)-((C20*D20)*E20)</f>
        <v/>
      </c>
      <c r="H20" s="12" t="n"/>
      <c r="I20" s="61" t="n"/>
      <c r="J20" s="14" t="n">
        <v>0.1</v>
      </c>
    </row>
    <row r="21">
      <c r="D21" s="43" t="n"/>
      <c r="E21" s="2" t="n">
        <v>0</v>
      </c>
      <c r="F21" s="43">
        <f>(C21*D21)-((C21*D21)*E21)</f>
        <v/>
      </c>
      <c r="H21" s="12" t="n"/>
      <c r="I21" s="61" t="n"/>
      <c r="J21" s="14" t="n">
        <v>0.21</v>
      </c>
    </row>
    <row r="22">
      <c r="D22" s="43" t="n"/>
      <c r="E22" s="2" t="n">
        <v>0</v>
      </c>
      <c r="F22" s="43">
        <f>(C22*D22)-((C22*D22)*E22)</f>
        <v/>
      </c>
      <c r="H22" s="12" t="n"/>
      <c r="I22" s="61" t="n"/>
      <c r="J22" s="14" t="n">
        <v>0.1</v>
      </c>
    </row>
    <row r="23">
      <c r="D23" s="43" t="n"/>
      <c r="E23" s="2" t="n">
        <v>0</v>
      </c>
      <c r="F23" s="43">
        <f>(C23*D23)-((C23*D23)*E23)</f>
        <v/>
      </c>
      <c r="H23" s="12" t="n"/>
      <c r="I23" s="61" t="n"/>
      <c r="J23" s="14" t="n">
        <v>0.21</v>
      </c>
    </row>
    <row r="24">
      <c r="D24" s="43" t="n"/>
      <c r="E24" s="2" t="n">
        <v>0</v>
      </c>
      <c r="F24" s="43">
        <f>(C24*D24)-((C24*D24)*E24)</f>
        <v/>
      </c>
      <c r="H24" s="12" t="n"/>
      <c r="I24" s="61" t="n"/>
      <c r="J24" s="14" t="n">
        <v>0.1</v>
      </c>
    </row>
    <row r="25">
      <c r="D25" s="43" t="n"/>
      <c r="E25" s="2" t="n">
        <v>0</v>
      </c>
      <c r="F25" s="43">
        <f>(C25*D25)-((C25*D25)*E25)</f>
        <v/>
      </c>
      <c r="H25" s="12" t="n"/>
      <c r="I25" s="61" t="n"/>
      <c r="J25" s="14" t="n">
        <v>0.21</v>
      </c>
    </row>
    <row r="26">
      <c r="D26" s="43" t="n"/>
      <c r="E26" s="2" t="n">
        <v>0</v>
      </c>
      <c r="F26" s="43">
        <f>(C26*D26)-((C26*D26)*E26)</f>
        <v/>
      </c>
    </row>
    <row r="27">
      <c r="D27" s="43" t="n"/>
      <c r="E27" s="2" t="n">
        <v>0</v>
      </c>
      <c r="F27" s="43">
        <f>(C27*D27)-((C27*D27)*E27)</f>
        <v/>
      </c>
    </row>
    <row r="28">
      <c r="D28" s="43" t="n"/>
      <c r="E28" s="2" t="n">
        <v>0</v>
      </c>
      <c r="F28" s="43">
        <f>(C28*D28)-((C28*D28)*E28)</f>
        <v/>
      </c>
    </row>
    <row r="29">
      <c r="D29" s="43" t="n"/>
      <c r="E29" s="2" t="n">
        <v>0</v>
      </c>
      <c r="F29" s="43">
        <f>(C29*D29)-((C29*D29)*E29)</f>
        <v/>
      </c>
    </row>
    <row r="30">
      <c r="D30" s="43" t="n"/>
      <c r="E30" s="2" t="n">
        <v>0</v>
      </c>
      <c r="F30" s="43">
        <f>(C30*D30)-((C30*D30)*E30)</f>
        <v/>
      </c>
    </row>
    <row r="31">
      <c r="D31" s="43" t="n"/>
      <c r="E31" s="2" t="n">
        <v>0</v>
      </c>
      <c r="F31" s="43">
        <f>(C31*D31)-((C31*D31)*E31)</f>
        <v/>
      </c>
    </row>
    <row r="32">
      <c r="D32" s="43" t="n"/>
      <c r="E32" s="2" t="n">
        <v>0</v>
      </c>
      <c r="F32" s="43">
        <f>(C32*D32)-((C32*D32)*E32)</f>
        <v/>
      </c>
    </row>
    <row r="33">
      <c r="D33" s="43" t="n"/>
      <c r="E33" s="2" t="n">
        <v>0</v>
      </c>
      <c r="F33" s="43">
        <f>(C33*D33)-((C33*D33)*E33)</f>
        <v/>
      </c>
    </row>
    <row r="34">
      <c r="D34" s="43" t="n"/>
      <c r="E34" s="2" t="n">
        <v>0</v>
      </c>
      <c r="F34" s="43">
        <f>(C34*D34)-((C34*D34)*E34)</f>
        <v/>
      </c>
    </row>
    <row r="35">
      <c r="D35" s="43" t="n"/>
      <c r="E35" s="2" t="n">
        <v>0</v>
      </c>
      <c r="F35" s="43">
        <f>(C35*D35)-((C35*D35)*E35)</f>
        <v/>
      </c>
    </row>
    <row r="36">
      <c r="D36" s="43" t="n"/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>
      <c r="F60" s="43" t="n"/>
    </row>
    <row r="61">
      <c r="F61" s="43" t="n"/>
    </row>
    <row r="62">
      <c r="F62" s="43" t="n"/>
    </row>
    <row r="63">
      <c r="F63" s="43" t="n"/>
    </row>
    <row r="64">
      <c r="F64" s="43" t="n"/>
    </row>
    <row r="65">
      <c r="F65" s="43" t="n"/>
    </row>
    <row r="66">
      <c r="F66" s="43" t="n"/>
    </row>
    <row r="67">
      <c r="F67" s="43" t="n"/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C7" s="23" t="n"/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/>
      <c r="I11" s="56" t="n"/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C7" s="23" t="n"/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/>
      <c r="I11" s="56" t="n"/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FLOR DE ALCACHOFA CONFITADA A. ORUJO (20 uds)</t>
        </is>
      </c>
      <c r="C7" s="23" t="n">
        <v>4</v>
      </c>
      <c r="D7" s="43" t="n">
        <v>22.9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01-08/26</t>
        </is>
      </c>
      <c r="I11" s="56" t="n">
        <v>91.59999999999999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DON BOCARTE MEDIO PULPO 360-400 gr</t>
        </is>
      </c>
      <c r="C7" s="23" t="n">
        <v>14.17</v>
      </c>
      <c r="D7" s="43" t="n">
        <v>27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5653</v>
      </c>
      <c r="I11" s="56" t="n">
        <v>382.59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C7" s="23" t="n"/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/>
      <c r="I11" s="56" t="n"/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PRESA 100% IBERICA</t>
        </is>
      </c>
      <c r="C7" s="23" t="n">
        <v>10.46</v>
      </c>
      <c r="D7" s="43" t="n">
        <v>25.2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PRESA IBERICA</t>
        </is>
      </c>
      <c r="C8" s="23" t="n">
        <v>15.5</v>
      </c>
      <c r="D8" s="43" t="n">
        <v>25.2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SEC 3</t>
        </is>
      </c>
      <c r="I11" s="56" t="n">
        <v>263.59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SEC 270</t>
        </is>
      </c>
      <c r="I12" s="56" t="n">
        <v>390.6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VACA VENERO CLARO C/H</t>
        </is>
      </c>
      <c r="C7" s="23" t="n">
        <v>10.43</v>
      </c>
      <c r="D7" s="43" t="n">
        <v>26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26VC-1939</t>
        </is>
      </c>
      <c r="I11" s="56" t="n">
        <v>271.18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C7" s="23" t="n"/>
      <c r="D7" s="43" t="n"/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/>
      <c r="I11" s="56" t="n"/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46235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VENTRESCA ATUN ROJO AHUMADO LONCHEADO 1 KG</t>
        </is>
      </c>
      <c r="C7" s="23" t="n">
        <v>6</v>
      </c>
      <c r="D7" s="43" t="n">
        <v>83.5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PORTES</t>
        </is>
      </c>
      <c r="C8" s="23" t="n">
        <v>1</v>
      </c>
      <c r="D8" s="43" t="n">
        <v>15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A3774</t>
        </is>
      </c>
      <c r="I11" s="56" t="n">
        <v>501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A3774</t>
        </is>
      </c>
      <c r="I12" s="56" t="n">
        <v>15</v>
      </c>
      <c r="J12" s="20" t="n">
        <v>0.21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fiscal wit</dc:creator>
  <dcterms:created xmlns:dcterms="http://purl.org/dc/terms/" xmlns:xsi="http://www.w3.org/2001/XMLSchema-instance" xsi:type="dcterms:W3CDTF">2026-09-14T07:54:33Z</dcterms:created>
  <dcterms:modified xmlns:dcterms="http://purl.org/dc/terms/" xmlns:xsi="http://www.w3.org/2001/XMLSchema-instance" xsi:type="dcterms:W3CDTF">2026-09-16T12:24:06Z</dcterms:modified>
  <cp:lastModifiedBy>Curro Ariza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0x0101001DF8F7E8818AA84E9585A5B18C9E5402</vt:lpwstr>
  </property>
</Properties>
</file>
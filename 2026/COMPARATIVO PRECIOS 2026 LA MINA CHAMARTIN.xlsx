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drawings/drawing25.xml" ContentType="application/vnd.openxmlformats-officedocument.drawing+xml"/>
  <Override PartName="/xl/charts/chart25.xml" ContentType="application/vnd.openxmlformats-officedocument.drawingml.chart+xml"/>
  <Override PartName="/xl/drawings/drawing26.xml" ContentType="application/vnd.openxmlformats-officedocument.drawing+xml"/>
  <Override PartName="/xl/charts/chart26.xml" ContentType="application/vnd.openxmlformats-officedocument.drawingml.chart+xml"/>
  <Override PartName="/xl/drawings/drawing27.xml" ContentType="application/vnd.openxmlformats-officedocument.drawing+xml"/>
  <Override PartName="/xl/charts/chart27.xml" ContentType="application/vnd.openxmlformats-officedocument.drawingml.chart+xml"/>
  <Override PartName="/xl/drawings/drawing28.xml" ContentType="application/vnd.openxmlformats-officedocument.drawing+xml"/>
  <Override PartName="/xl/charts/chart28.xml" ContentType="application/vnd.openxmlformats-officedocument.drawingml.chart+xml"/>
  <Override PartName="/xl/drawings/drawing29.xml" ContentType="application/vnd.openxmlformats-officedocument.drawing+xml"/>
  <Override PartName="/xl/charts/chart29.xml" ContentType="application/vnd.openxmlformats-officedocument.drawingml.chart+xml"/>
  <Override PartName="/xl/drawings/drawing30.xml" ContentType="application/vnd.openxmlformats-officedocument.drawing+xml"/>
  <Override PartName="/xl/charts/chart30.xml" ContentType="application/vnd.openxmlformats-officedocument.drawingml.chart+xml"/>
  <Override PartName="/xl/drawings/drawing31.xml" ContentType="application/vnd.openxmlformats-officedocument.drawing+xml"/>
  <Override PartName="/xl/charts/chart31.xml" ContentType="application/vnd.openxmlformats-officedocument.drawingml.chart+xml"/>
  <Override PartName="/xl/drawings/drawing32.xml" ContentType="application/vnd.openxmlformats-officedocument.drawing+xml"/>
  <Override PartName="/xl/charts/chart32.xml" ContentType="application/vnd.openxmlformats-officedocument.drawingml.chart+xml"/>
  <Override PartName="/xl/drawings/drawing33.xml" ContentType="application/vnd.openxmlformats-officedocument.drawing+xml"/>
  <Override PartName="/xl/charts/chart33.xml" ContentType="application/vnd.openxmlformats-officedocument.drawingml.chart+xml"/>
  <Override PartName="/xl/drawings/drawing34.xml" ContentType="application/vnd.openxmlformats-officedocument.drawing+xml"/>
  <Override PartName="/xl/charts/chart34.xml" ContentType="application/vnd.openxmlformats-officedocument.drawingml.chart+xml"/>
  <Override PartName="/xl/drawings/drawing35.xml" ContentType="application/vnd.openxmlformats-officedocument.drawing+xml"/>
  <Override PartName="/xl/charts/chart35.xml" ContentType="application/vnd.openxmlformats-officedocument.drawingml.chart+xml"/>
  <Override PartName="/xl/drawings/drawing36.xml" ContentType="application/vnd.openxmlformats-officedocument.drawing+xml"/>
  <Override PartName="/xl/charts/chart36.xml" ContentType="application/vnd.openxmlformats-officedocument.drawingml.chart+xml"/>
  <Override PartName="/xl/drawings/drawing37.xml" ContentType="application/vnd.openxmlformats-officedocument.drawing+xml"/>
  <Override PartName="/xl/charts/chart37.xml" ContentType="application/vnd.openxmlformats-officedocument.drawingml.chart+xml"/>
  <Override PartName="/xl/drawings/drawing38.xml" ContentType="application/vnd.openxmlformats-officedocument.drawing+xml"/>
  <Override PartName="/xl/charts/chart38.xml" ContentType="application/vnd.openxmlformats-officedocument.drawingml.chart+xml"/>
  <Override PartName="/xl/drawings/drawing39.xml" ContentType="application/vnd.openxmlformats-officedocument.drawing+xml"/>
  <Override PartName="/xl/charts/chart39.xml" ContentType="application/vnd.openxmlformats-officedocument.drawingml.chart+xml"/>
  <Override PartName="/xl/drawings/drawing40.xml" ContentType="application/vnd.openxmlformats-officedocument.drawing+xml"/>
  <Override PartName="/xl/charts/chart40.xml" ContentType="application/vnd.openxmlformats-officedocument.drawingml.chart+xml"/>
  <Override PartName="/xl/drawings/drawing41.xml" ContentType="application/vnd.openxmlformats-officedocument.drawing+xml"/>
  <Override PartName="/xl/charts/chart41.xml" ContentType="application/vnd.openxmlformats-officedocument.drawingml.chart+xml"/>
  <Override PartName="/xl/drawings/drawing42.xml" ContentType="application/vnd.openxmlformats-officedocument.drawing+xml"/>
  <Override PartName="/xl/charts/chart42.xml" ContentType="application/vnd.openxmlformats-officedocument.drawingml.chart+xml"/>
  <Override PartName="/xl/drawings/drawing43.xml" ContentType="application/vnd.openxmlformats-officedocument.drawing+xml"/>
  <Override PartName="/xl/charts/chart43.xml" ContentType="application/vnd.openxmlformats-officedocument.drawingml.chart+xml"/>
  <Override PartName="/xl/drawings/drawing44.xml" ContentType="application/vnd.openxmlformats-officedocument.drawing+xml"/>
  <Override PartName="/xl/charts/chart44.xml" ContentType="application/vnd.openxmlformats-officedocument.drawingml.chart+xml"/>
  <Override PartName="/xl/drawings/drawing45.xml" ContentType="application/vnd.openxmlformats-officedocument.drawing+xml"/>
  <Override PartName="/xl/charts/chart45.xml" ContentType="application/vnd.openxmlformats-officedocument.drawingml.chart+xml"/>
  <Override PartName="/xl/drawings/drawing46.xml" ContentType="application/vnd.openxmlformats-officedocument.drawing+xml"/>
  <Override PartName="/xl/charts/chart46.xml" ContentType="application/vnd.openxmlformats-officedocument.drawingml.chart+xml"/>
  <Override PartName="/xl/drawings/drawing47.xml" ContentType="application/vnd.openxmlformats-officedocument.drawing+xml"/>
  <Override PartName="/xl/charts/chart47.xml" ContentType="application/vnd.openxmlformats-officedocument.drawingml.chart+xml"/>
  <Override PartName="/xl/drawings/drawing48.xml" ContentType="application/vnd.openxmlformats-officedocument.drawing+xml"/>
  <Override PartName="/xl/charts/chart48.xml" ContentType="application/vnd.openxmlformats-officedocument.drawingml.chart+xml"/>
  <Override PartName="/xl/drawings/drawing49.xml" ContentType="application/vnd.openxmlformats-officedocument.drawing+xml"/>
  <Override PartName="/xl/charts/chart49.xml" ContentType="application/vnd.openxmlformats-officedocument.drawingml.chart+xml"/>
  <Override PartName="/xl/drawings/drawing50.xml" ContentType="application/vnd.openxmlformats-officedocument.drawing+xml"/>
  <Override PartName="/xl/charts/chart50.xml" ContentType="application/vnd.openxmlformats-officedocument.drawingml.chart+xml"/>
  <Override PartName="/xl/drawings/drawing51.xml" ContentType="application/vnd.openxmlformats-officedocument.drawing+xml"/>
  <Override PartName="/xl/charts/chart51.xml" ContentType="application/vnd.openxmlformats-officedocument.drawingml.chart+xml"/>
  <Override PartName="/xl/drawings/drawing52.xml" ContentType="application/vnd.openxmlformats-officedocument.drawing+xml"/>
  <Override PartName="/xl/charts/chart52.xml" ContentType="application/vnd.openxmlformats-officedocument.drawingml.chart+xml"/>
  <Override PartName="/xl/drawings/drawing53.xml" ContentType="application/vnd.openxmlformats-officedocument.drawing+xml"/>
  <Override PartName="/xl/charts/chart53.xml" ContentType="application/vnd.openxmlformats-officedocument.drawingml.chart+xml"/>
  <Override PartName="/xl/drawings/drawing54.xml" ContentType="application/vnd.openxmlformats-officedocument.drawing+xml"/>
  <Override PartName="/xl/charts/chart54.xml" ContentType="application/vnd.openxmlformats-officedocument.drawingml.chart+xml"/>
  <Override PartName="/xl/drawings/drawing55.xml" ContentType="application/vnd.openxmlformats-officedocument.drawing+xml"/>
  <Override PartName="/xl/charts/chart55.xml" ContentType="application/vnd.openxmlformats-officedocument.drawingml.chart+xml"/>
  <Override PartName="/xl/drawings/drawing56.xml" ContentType="application/vnd.openxmlformats-officedocument.drawing+xml"/>
  <Override PartName="/xl/charts/chart56.xml" ContentType="application/vnd.openxmlformats-officedocument.drawingml.chart+xml"/>
  <Override PartName="/xl/drawings/drawing57.xml" ContentType="application/vnd.openxmlformats-officedocument.drawing+xml"/>
  <Override PartName="/xl/charts/chart57.xml" ContentType="application/vnd.openxmlformats-officedocument.drawingml.chart+xml"/>
  <Override PartName="/xl/drawings/drawing58.xml" ContentType="application/vnd.openxmlformats-officedocument.drawing+xml"/>
  <Override PartName="/xl/charts/chart58.xml" ContentType="application/vnd.openxmlformats-officedocument.drawingml.chart+xml"/>
  <Override PartName="/xl/drawings/drawing59.xml" ContentType="application/vnd.openxmlformats-officedocument.drawing+xml"/>
  <Override PartName="/xl/charts/chart59.xml" ContentType="application/vnd.openxmlformats-officedocument.drawingml.chart+xml"/>
  <Override PartName="/xl/drawings/drawing60.xml" ContentType="application/vnd.openxmlformats-officedocument.drawing+xml"/>
  <Override PartName="/xl/charts/chart60.xml" ContentType="application/vnd.openxmlformats-officedocument.drawingml.chart+xml"/>
  <Override PartName="/xl/drawings/drawing61.xml" ContentType="application/vnd.openxmlformats-officedocument.drawing+xml"/>
  <Override PartName="/xl/charts/chart61.xml" ContentType="application/vnd.openxmlformats-officedocument.drawingml.chart+xml"/>
  <Override PartName="/xl/drawings/drawing62.xml" ContentType="application/vnd.openxmlformats-officedocument.drawing+xml"/>
  <Override PartName="/xl/charts/chart62.xml" ContentType="application/vnd.openxmlformats-officedocument.drawingml.chart+xml"/>
  <Override PartName="/xl/drawings/drawing63.xml" ContentType="application/vnd.openxmlformats-officedocument.drawing+xml"/>
  <Override PartName="/xl/charts/chart63.xml" ContentType="application/vnd.openxmlformats-officedocument.drawingml.chart+xml"/>
  <Override PartName="/xl/drawings/drawing64.xml" ContentType="application/vnd.openxmlformats-officedocument.drawing+xml"/>
  <Override PartName="/xl/charts/chart64.xml" ContentType="application/vnd.openxmlformats-officedocument.drawingml.chart+xml"/>
  <Override PartName="/xl/drawings/drawing65.xml" ContentType="application/vnd.openxmlformats-officedocument.drawing+xml"/>
  <Override PartName="/xl/charts/chart65.xml" ContentType="application/vnd.openxmlformats-officedocument.drawingml.chart+xml"/>
  <Override PartName="/xl/drawings/drawing66.xml" ContentType="application/vnd.openxmlformats-officedocument.drawing+xml"/>
  <Override PartName="/xl/charts/chart66.xml" ContentType="application/vnd.openxmlformats-officedocument.drawingml.chart+xml"/>
  <Override PartName="/xl/drawings/drawing67.xml" ContentType="application/vnd.openxmlformats-officedocument.drawing+xml"/>
  <Override PartName="/xl/charts/chart67.xml" ContentType="application/vnd.openxmlformats-officedocument.drawingml.chart+xml"/>
  <Override PartName="/xl/drawings/drawing68.xml" ContentType="application/vnd.openxmlformats-officedocument.drawing+xml"/>
  <Override PartName="/xl/charts/chart68.xml" ContentType="application/vnd.openxmlformats-officedocument.drawingml.chart+xml"/>
  <Override PartName="/xl/drawings/drawing69.xml" ContentType="application/vnd.openxmlformats-officedocument.drawing+xml"/>
  <Override PartName="/xl/charts/chart69.xml" ContentType="application/vnd.openxmlformats-officedocument.drawingml.chart+xml"/>
  <Override PartName="/xl/drawings/drawing70.xml" ContentType="application/vnd.openxmlformats-officedocument.drawing+xml"/>
  <Override PartName="/xl/charts/chart70.xml" ContentType="application/vnd.openxmlformats-officedocument.drawingml.chart+xml"/>
  <Override PartName="/xl/drawings/drawing71.xml" ContentType="application/vnd.openxmlformats-officedocument.drawing+xml"/>
  <Override PartName="/xl/charts/chart71.xml" ContentType="application/vnd.openxmlformats-officedocument.drawingml.chart+xml"/>
  <Override PartName="/xl/drawings/drawing72.xml" ContentType="application/vnd.openxmlformats-officedocument.drawing+xml"/>
  <Override PartName="/xl/charts/chart72.xml" ContentType="application/vnd.openxmlformats-officedocument.drawingml.chart+xml"/>
  <Override PartName="/xl/drawings/drawing73.xml" ContentType="application/vnd.openxmlformats-officedocument.drawing+xml"/>
  <Override PartName="/xl/charts/chart73.xml" ContentType="application/vnd.openxmlformats-officedocument.drawingml.chart+xml"/>
  <Override PartName="/xl/drawings/drawing74.xml" ContentType="application/vnd.openxmlformats-officedocument.drawing+xml"/>
  <Override PartName="/xl/charts/chart74.xml" ContentType="application/vnd.openxmlformats-officedocument.drawingml.chart+xml"/>
  <Override PartName="/xl/drawings/drawing75.xml" ContentType="application/vnd.openxmlformats-officedocument.drawing+xml"/>
  <Override PartName="/xl/charts/chart75.xml" ContentType="application/vnd.openxmlformats-officedocument.drawingml.chart+xml"/>
  <Override PartName="/xl/drawings/drawing76.xml" ContentType="application/vnd.openxmlformats-officedocument.drawing+xml"/>
  <Override PartName="/xl/charts/chart76.xml" ContentType="application/vnd.openxmlformats-officedocument.drawingml.chart+xml"/>
  <Override PartName="/xl/drawings/drawing77.xml" ContentType="application/vnd.openxmlformats-officedocument.drawing+xml"/>
  <Override PartName="/xl/charts/chart77.xml" ContentType="application/vnd.openxmlformats-officedocument.drawingml.chart+xml"/>
  <Override PartName="/xl/drawings/drawing78.xml" ContentType="application/vnd.openxmlformats-officedocument.drawing+xml"/>
  <Override PartName="/xl/charts/chart7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curroariza/Library/CloudStorage/OneDrive2-SharedLibraries-WITABOGADOS 2/SERVIDOR DATOS WIT ABOGADOS - Documentos/SOCIEDADES/LA MINA DE CHAMARTIN SL/2026/"/>
    </mc:Choice>
  </mc:AlternateContent>
  <xr:revisionPtr revIDLastSave="0" documentId="13_ncr:1_{AACEBE53-9653-4E40-9714-FFD0683AB3F1}" xr6:coauthVersionLast="47" xr6:coauthVersionMax="47" xr10:uidLastSave="{00000000-0000-0000-0000-000000000000}"/>
  <bookViews>
    <workbookView xWindow="0" yWindow="0" windowWidth="38400" windowHeight="21600" tabRatio="500" xr2:uid="{00000000-000D-0000-FFFF-FFFF00000000}"/>
  </bookViews>
  <sheets>
    <sheet name="RESUMEN SUBIDAS" sheetId="1" r:id="rId1"/>
    <sheet name="TODOS LOS PRODUCTOS" sheetId="2" r:id="rId2"/>
    <sheet name="NOTAS" sheetId="3" r:id="rId3"/>
    <sheet name="MORCILLA ASTURIANA" sheetId="4" r:id="rId4"/>
    <sheet name="CANTALAPIEDRA CHIVIRITERO 20" sheetId="5" r:id="rId5"/>
    <sheet name="ANCHOAS CANTABRICO RO 550 ET" sheetId="6" r:id="rId6"/>
    <sheet name="ZACAPA X O" sheetId="7" r:id="rId7"/>
    <sheet name="OREMUS 3" sheetId="8" r:id="rId8"/>
    <sheet name="GINEBRA MARTIN MILLER 3 4" sheetId="9" r:id="rId9"/>
    <sheet name="AQUARADE ZERO NARANJA VIDRIO" sheetId="10" r:id="rId10"/>
    <sheet name="VENTRESCA BONITO EXTRA" sheetId="11" r:id="rId11"/>
    <sheet name="SOLAN CABRAS CON GAS" sheetId="12" r:id="rId12"/>
    <sheet name="AGUA SOLAN CABRAS VIDRIO 50C" sheetId="13" r:id="rId13"/>
    <sheet name="AGUA CON GAS SOLAN CABRAS VI" sheetId="14" r:id="rId14"/>
    <sheet name="MOJAMA EXTRA SUPERIOR CHANCA" sheetId="15" r:id="rId15"/>
    <sheet name="BITTER KAS VIDRIO 20CL" sheetId="16" r:id="rId16"/>
    <sheet name="AQUARADE ZERO LIMON VIDRIO 3" sheetId="17" r:id="rId17"/>
    <sheet name="LOMO BELLOTA 100 SM" sheetId="18" r:id="rId18"/>
    <sheet name="COCA COLA ZERO NAC" sheetId="19" r:id="rId19"/>
    <sheet name="MANZANILLA SOLEAR 3 8" sheetId="20" r:id="rId20"/>
    <sheet name="PICOS ARTESANOS 500 GR" sheetId="21" r:id="rId21"/>
    <sheet name="ANCHOAS CANTABRICO GRAN RESE" sheetId="22" r:id="rId22"/>
    <sheet name="PEPE YLLERA 3 4" sheetId="23" r:id="rId23"/>
    <sheet name="SCHWEPPES TONICA 28 UDS" sheetId="24" r:id="rId24"/>
    <sheet name="CASERA LIMON 1L" sheetId="25" r:id="rId25"/>
    <sheet name="CASERA GASEOSA 1L" sheetId="26" r:id="rId26"/>
    <sheet name="PAN MOLDE BRIOCHE" sheetId="27" r:id="rId27"/>
    <sheet name="PACO GARCIA CRIANZA 3 4" sheetId="28" r:id="rId28"/>
    <sheet name="RAMON BILBAO BLANCO VERDEJO" sheetId="29" r:id="rId29"/>
    <sheet name="GODELLO VINAREDO" sheetId="30" r:id="rId30"/>
    <sheet name="SENORIO FITERO ROBLE" sheetId="31" r:id="rId31"/>
    <sheet name="CORIMBO" sheetId="32" r:id="rId32"/>
    <sheet name="SCHWEPPES TONICA VIDRIO 20CL" sheetId="33" r:id="rId33"/>
    <sheet name="RODA RESERVA 3 4" sheetId="34" r:id="rId34"/>
    <sheet name="ALBARINO MAR FRADES" sheetId="35" r:id="rId35"/>
    <sheet name="VINA MAYOR VERDEJO" sheetId="36" r:id="rId36"/>
    <sheet name="SEVEN UP FREE VIDRIO 20CL" sheetId="37" r:id="rId37"/>
    <sheet name="LIPTON ZERO LIMON VIDRIO 35C" sheetId="38" r:id="rId38"/>
    <sheet name="R B EDI LIM EARLY HARVEST RO" sheetId="39" r:id="rId39"/>
    <sheet name="POMMERY ROYAL BRUT 3 4" sheetId="40" r:id="rId40"/>
    <sheet name="GODELLO MAR FRADES" sheetId="41" r:id="rId41"/>
    <sheet name="SCHWEPPES LIMON LOW CAL VIDR" sheetId="42" r:id="rId42"/>
    <sheet name="SCHWEPPES NARANJA LOW CAL VI" sheetId="43" r:id="rId43"/>
    <sheet name="CUAD A O SUAVE GUADALIMAR 5L" sheetId="44" r:id="rId44"/>
    <sheet name="VINAGRE JEREZ RESERVA AL MOS" sheetId="45" r:id="rId45"/>
    <sheet name="FLOR ALCACHOFA CONFITADA EN" sheetId="46" r:id="rId46"/>
    <sheet name="BARBADILLO VI MOSCATO FRIZZA" sheetId="47" r:id="rId47"/>
    <sheet name="MAESTRO DOBEL DIAMANTE REPOS" sheetId="48" r:id="rId48"/>
    <sheet name="IZAGUIRRE BOX 20L" sheetId="49" r:id="rId49"/>
    <sheet name="MACALLAN 12" sheetId="50" r:id="rId50"/>
    <sheet name="ABSOLUT 0,70" sheetId="51" r:id="rId51"/>
    <sheet name="BARCELO ANEJO" sheetId="52" r:id="rId52"/>
    <sheet name="A GIRASOL ALTO OLEICO" sheetId="53" r:id="rId53"/>
    <sheet name="HAVANA 7 ANOS" sheetId="54" r:id="rId54"/>
    <sheet name="BEEFEATER 0,70" sheetId="55" r:id="rId55"/>
    <sheet name="TRUS CRIANZA 3 4" sheetId="56" r:id="rId56"/>
    <sheet name="BRUGAL 0,70" sheetId="57" r:id="rId57"/>
    <sheet name="LARIOS ESPECIAL 12" sheetId="58" r:id="rId58"/>
    <sheet name="LARIOS 1L" sheetId="59" r:id="rId59"/>
    <sheet name="SEAGRAMS 0,70" sheetId="60" r:id="rId60"/>
    <sheet name="DYC 8 ANOS 0,70" sheetId="61" r:id="rId61"/>
    <sheet name="ENTRECOT T MORUCHA" sheetId="62" r:id="rId62"/>
    <sheet name="MEDALLON P SOLOMILLO VACUNO" sheetId="63" r:id="rId63"/>
    <sheet name="CRUZ ALBA ROBLE 3 4" sheetId="64" r:id="rId64"/>
    <sheet name="HENDRICKS" sheetId="65" r:id="rId65"/>
    <sheet name="RACION CECINA PREMIUM 100GR" sheetId="66" r:id="rId66"/>
    <sheet name="SOLOMILLO VACA" sheetId="67" r:id="rId67"/>
    <sheet name="RACION CECINA PREMIUM 100 2" sheetId="68" r:id="rId68"/>
    <sheet name="LIMON" sheetId="69" r:id="rId69"/>
    <sheet name="BOQUERON GORDO" sheetId="70" r:id="rId70"/>
    <sheet name="PARROCHAS" sheetId="71" r:id="rId71"/>
    <sheet name="BOQUERON GORDO 2" sheetId="72" r:id="rId72"/>
    <sheet name="QUISQUILLA" sheetId="73" r:id="rId73"/>
    <sheet name="LANGOSTINOS" sheetId="74" r:id="rId74"/>
    <sheet name="CIGALAS" sheetId="75" r:id="rId75"/>
    <sheet name="ALISTADOS" sheetId="76" r:id="rId76"/>
    <sheet name="CARABINEROS" sheetId="77" r:id="rId77"/>
    <sheet name="TOMATE IBERICO" sheetId="78" r:id="rId78"/>
    <sheet name="CALAMARES" sheetId="79" r:id="rId79"/>
    <sheet name="NAVAJAS" sheetId="80" r:id="rId80"/>
    <sheet name="BERBERECHO" sheetId="81" r:id="rId81"/>
  </sheets>
  <definedNames>
    <definedName name="_xlnm._FilterDatabase" localSheetId="0" hidden="1">'RESUMEN SUBIDAS'!$A$5:$Q$83</definedName>
    <definedName name="_xlnm._FilterDatabase" localSheetId="1" hidden="1">'TODOS LOS PRODUCTOS'!$A$3:$N$266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2" i="81" l="1"/>
  <c r="D12" i="81"/>
  <c r="G13" i="81" s="1"/>
  <c r="C12" i="81"/>
  <c r="B12" i="81"/>
  <c r="E11" i="81"/>
  <c r="D11" i="81"/>
  <c r="C11" i="81"/>
  <c r="B11" i="81"/>
  <c r="G10" i="81"/>
  <c r="F10" i="81"/>
  <c r="E10" i="81"/>
  <c r="D10" i="81"/>
  <c r="F11" i="81" s="1"/>
  <c r="C10" i="81"/>
  <c r="B10" i="81"/>
  <c r="G9" i="81"/>
  <c r="E9" i="81"/>
  <c r="D9" i="81"/>
  <c r="F9" i="81" s="1"/>
  <c r="C9" i="81"/>
  <c r="B9" i="81"/>
  <c r="E8" i="81"/>
  <c r="D8" i="81"/>
  <c r="G8" i="81" s="1"/>
  <c r="C8" i="81"/>
  <c r="B8" i="81"/>
  <c r="E7" i="81"/>
  <c r="D7" i="81"/>
  <c r="G11" i="81" s="1"/>
  <c r="C7" i="81"/>
  <c r="B7" i="81"/>
  <c r="E12" i="80"/>
  <c r="D12" i="80"/>
  <c r="G13" i="80" s="1"/>
  <c r="C12" i="80"/>
  <c r="B12" i="80"/>
  <c r="F11" i="80"/>
  <c r="E11" i="80"/>
  <c r="D11" i="80"/>
  <c r="G11" i="80" s="1"/>
  <c r="C11" i="80"/>
  <c r="B11" i="80"/>
  <c r="E10" i="80"/>
  <c r="D10" i="80"/>
  <c r="C10" i="80"/>
  <c r="B10" i="80"/>
  <c r="E9" i="80"/>
  <c r="D9" i="80"/>
  <c r="G9" i="80" s="1"/>
  <c r="C9" i="80"/>
  <c r="B9" i="80"/>
  <c r="E8" i="80"/>
  <c r="D8" i="80"/>
  <c r="G8" i="80" s="1"/>
  <c r="C8" i="80"/>
  <c r="B8" i="80"/>
  <c r="E7" i="80"/>
  <c r="D7" i="80"/>
  <c r="G10" i="80" s="1"/>
  <c r="C7" i="80"/>
  <c r="B7" i="80"/>
  <c r="E12" i="79"/>
  <c r="D12" i="79"/>
  <c r="G13" i="79" s="1"/>
  <c r="C12" i="79"/>
  <c r="B12" i="79"/>
  <c r="G11" i="79"/>
  <c r="F11" i="79"/>
  <c r="E11" i="79"/>
  <c r="D11" i="79"/>
  <c r="C11" i="79"/>
  <c r="B11" i="79"/>
  <c r="G10" i="79"/>
  <c r="F10" i="79"/>
  <c r="E10" i="79"/>
  <c r="D10" i="79"/>
  <c r="C10" i="79"/>
  <c r="B10" i="79"/>
  <c r="G9" i="79"/>
  <c r="E9" i="79"/>
  <c r="D9" i="79"/>
  <c r="F9" i="79" s="1"/>
  <c r="C9" i="79"/>
  <c r="B9" i="79"/>
  <c r="E8" i="79"/>
  <c r="D8" i="79"/>
  <c r="G8" i="79" s="1"/>
  <c r="C8" i="79"/>
  <c r="B8" i="79"/>
  <c r="E7" i="79"/>
  <c r="D7" i="79"/>
  <c r="C7" i="79"/>
  <c r="B7" i="79"/>
  <c r="E11" i="78"/>
  <c r="D11" i="78"/>
  <c r="G12" i="78" s="1"/>
  <c r="C11" i="78"/>
  <c r="B11" i="78"/>
  <c r="F10" i="78"/>
  <c r="E10" i="78"/>
  <c r="D10" i="78"/>
  <c r="G10" i="78" s="1"/>
  <c r="C10" i="78"/>
  <c r="B10" i="78"/>
  <c r="G9" i="78"/>
  <c r="F9" i="78"/>
  <c r="E9" i="78"/>
  <c r="D9" i="78"/>
  <c r="C9" i="78"/>
  <c r="B9" i="78"/>
  <c r="G8" i="78"/>
  <c r="E8" i="78"/>
  <c r="D8" i="78"/>
  <c r="F8" i="78" s="1"/>
  <c r="C8" i="78"/>
  <c r="B8" i="78"/>
  <c r="E7" i="78"/>
  <c r="D7" i="78"/>
  <c r="C7" i="78"/>
  <c r="B7" i="78"/>
  <c r="G13" i="77"/>
  <c r="E12" i="77"/>
  <c r="D12" i="77"/>
  <c r="G12" i="77" s="1"/>
  <c r="C12" i="77"/>
  <c r="B12" i="77"/>
  <c r="E11" i="77"/>
  <c r="D11" i="77"/>
  <c r="G11" i="77" s="1"/>
  <c r="C11" i="77"/>
  <c r="B11" i="77"/>
  <c r="G10" i="77"/>
  <c r="F10" i="77"/>
  <c r="E10" i="77"/>
  <c r="D10" i="77"/>
  <c r="C10" i="77"/>
  <c r="B10" i="77"/>
  <c r="G9" i="77"/>
  <c r="F9" i="77"/>
  <c r="E9" i="77"/>
  <c r="D9" i="77"/>
  <c r="C9" i="77"/>
  <c r="B9" i="77"/>
  <c r="G8" i="77"/>
  <c r="E8" i="77"/>
  <c r="D8" i="77"/>
  <c r="F8" i="77" s="1"/>
  <c r="C8" i="77"/>
  <c r="B8" i="77"/>
  <c r="E7" i="77"/>
  <c r="D7" i="77"/>
  <c r="C7" i="77"/>
  <c r="B7" i="77"/>
  <c r="E10" i="76"/>
  <c r="D10" i="76"/>
  <c r="G10" i="76" s="1"/>
  <c r="C10" i="76"/>
  <c r="B10" i="76"/>
  <c r="E9" i="76"/>
  <c r="D9" i="76"/>
  <c r="G9" i="76" s="1"/>
  <c r="C9" i="76"/>
  <c r="B9" i="76"/>
  <c r="E8" i="76"/>
  <c r="D8" i="76"/>
  <c r="G8" i="76" s="1"/>
  <c r="C8" i="76"/>
  <c r="B8" i="76"/>
  <c r="E7" i="76"/>
  <c r="D7" i="76"/>
  <c r="F8" i="76" s="1"/>
  <c r="C7" i="76"/>
  <c r="B7" i="76"/>
  <c r="E10" i="75"/>
  <c r="D10" i="75"/>
  <c r="G11" i="75" s="1"/>
  <c r="C10" i="75"/>
  <c r="B10" i="75"/>
  <c r="G9" i="75"/>
  <c r="E9" i="75"/>
  <c r="D9" i="75"/>
  <c r="F9" i="75" s="1"/>
  <c r="C9" i="75"/>
  <c r="B9" i="75"/>
  <c r="F8" i="75"/>
  <c r="E8" i="75"/>
  <c r="D8" i="75"/>
  <c r="G8" i="75" s="1"/>
  <c r="C8" i="75"/>
  <c r="B8" i="75"/>
  <c r="E7" i="75"/>
  <c r="D7" i="75"/>
  <c r="C7" i="75"/>
  <c r="B7" i="75"/>
  <c r="E11" i="74"/>
  <c r="D11" i="74"/>
  <c r="G12" i="74" s="1"/>
  <c r="C11" i="74"/>
  <c r="B11" i="74"/>
  <c r="F10" i="74"/>
  <c r="E10" i="74"/>
  <c r="D10" i="74"/>
  <c r="G10" i="74" s="1"/>
  <c r="C10" i="74"/>
  <c r="B10" i="74"/>
  <c r="G9" i="74"/>
  <c r="F9" i="74"/>
  <c r="E9" i="74"/>
  <c r="D9" i="74"/>
  <c r="C9" i="74"/>
  <c r="B9" i="74"/>
  <c r="G8" i="74"/>
  <c r="E8" i="74"/>
  <c r="D8" i="74"/>
  <c r="F8" i="74" s="1"/>
  <c r="C8" i="74"/>
  <c r="B8" i="74"/>
  <c r="E7" i="74"/>
  <c r="D7" i="74"/>
  <c r="C7" i="74"/>
  <c r="B7" i="74"/>
  <c r="F9" i="73"/>
  <c r="E9" i="73"/>
  <c r="D9" i="73"/>
  <c r="G10" i="73" s="1"/>
  <c r="C9" i="73"/>
  <c r="B9" i="73"/>
  <c r="E8" i="73"/>
  <c r="D8" i="73"/>
  <c r="G8" i="73" s="1"/>
  <c r="C8" i="73"/>
  <c r="B8" i="73"/>
  <c r="E7" i="73"/>
  <c r="D7" i="73"/>
  <c r="C7" i="73"/>
  <c r="B7" i="73"/>
  <c r="F11" i="72"/>
  <c r="E11" i="72"/>
  <c r="D11" i="72"/>
  <c r="G12" i="72" s="1"/>
  <c r="C11" i="72"/>
  <c r="B11" i="72"/>
  <c r="G10" i="72"/>
  <c r="F10" i="72"/>
  <c r="E10" i="72"/>
  <c r="D10" i="72"/>
  <c r="C10" i="72"/>
  <c r="B10" i="72"/>
  <c r="G9" i="72"/>
  <c r="E9" i="72"/>
  <c r="D9" i="72"/>
  <c r="F9" i="72" s="1"/>
  <c r="C9" i="72"/>
  <c r="B9" i="72"/>
  <c r="E8" i="72"/>
  <c r="D8" i="72"/>
  <c r="G8" i="72" s="1"/>
  <c r="C8" i="72"/>
  <c r="B8" i="72"/>
  <c r="E7" i="72"/>
  <c r="D7" i="72"/>
  <c r="C7" i="72"/>
  <c r="B7" i="72"/>
  <c r="E8" i="71"/>
  <c r="D8" i="71"/>
  <c r="G9" i="71" s="1"/>
  <c r="C8" i="71"/>
  <c r="B8" i="71"/>
  <c r="E7" i="71"/>
  <c r="D7" i="71"/>
  <c r="C7" i="71"/>
  <c r="B7" i="71"/>
  <c r="F11" i="70"/>
  <c r="E11" i="70"/>
  <c r="D11" i="70"/>
  <c r="G12" i="70" s="1"/>
  <c r="C11" i="70"/>
  <c r="B11" i="70"/>
  <c r="G10" i="70"/>
  <c r="F10" i="70"/>
  <c r="E10" i="70"/>
  <c r="D10" i="70"/>
  <c r="C10" i="70"/>
  <c r="B10" i="70"/>
  <c r="G9" i="70"/>
  <c r="E9" i="70"/>
  <c r="D9" i="70"/>
  <c r="C9" i="70"/>
  <c r="B9" i="70"/>
  <c r="E8" i="70"/>
  <c r="D8" i="70"/>
  <c r="G8" i="70" s="1"/>
  <c r="C8" i="70"/>
  <c r="B8" i="70"/>
  <c r="E7" i="70"/>
  <c r="D7" i="70"/>
  <c r="C7" i="70"/>
  <c r="B7" i="70"/>
  <c r="E11" i="69"/>
  <c r="D11" i="69"/>
  <c r="G12" i="69" s="1"/>
  <c r="C11" i="69"/>
  <c r="B11" i="69"/>
  <c r="E10" i="69"/>
  <c r="D10" i="69"/>
  <c r="C10" i="69"/>
  <c r="B10" i="69"/>
  <c r="E9" i="69"/>
  <c r="D9" i="69"/>
  <c r="G9" i="69" s="1"/>
  <c r="C9" i="69"/>
  <c r="B9" i="69"/>
  <c r="G8" i="69"/>
  <c r="E8" i="69"/>
  <c r="D8" i="69"/>
  <c r="F8" i="69" s="1"/>
  <c r="C8" i="69"/>
  <c r="B8" i="69"/>
  <c r="E7" i="69"/>
  <c r="D7" i="69"/>
  <c r="G10" i="69" s="1"/>
  <c r="C7" i="69"/>
  <c r="B7" i="69"/>
  <c r="G10" i="68"/>
  <c r="E9" i="68"/>
  <c r="D9" i="68"/>
  <c r="G9" i="68" s="1"/>
  <c r="C9" i="68"/>
  <c r="B9" i="68"/>
  <c r="E8" i="68"/>
  <c r="D8" i="68"/>
  <c r="G8" i="68" s="1"/>
  <c r="C8" i="68"/>
  <c r="B8" i="68"/>
  <c r="E7" i="68"/>
  <c r="D7" i="68"/>
  <c r="C7" i="68"/>
  <c r="B7" i="68"/>
  <c r="G10" i="67"/>
  <c r="G9" i="67"/>
  <c r="E9" i="67"/>
  <c r="D9" i="67"/>
  <c r="C9" i="67"/>
  <c r="B9" i="67"/>
  <c r="E8" i="67"/>
  <c r="D8" i="67"/>
  <c r="G8" i="67" s="1"/>
  <c r="C8" i="67"/>
  <c r="B8" i="67"/>
  <c r="E7" i="67"/>
  <c r="D7" i="67"/>
  <c r="C7" i="67"/>
  <c r="B7" i="67"/>
  <c r="F11" i="66"/>
  <c r="E11" i="66"/>
  <c r="D11" i="66"/>
  <c r="C11" i="66"/>
  <c r="B11" i="66"/>
  <c r="E10" i="66"/>
  <c r="D10" i="66"/>
  <c r="G10" i="66" s="1"/>
  <c r="C10" i="66"/>
  <c r="B10" i="66"/>
  <c r="E9" i="66"/>
  <c r="D9" i="66"/>
  <c r="G9" i="66" s="1"/>
  <c r="C9" i="66"/>
  <c r="B9" i="66"/>
  <c r="E8" i="66"/>
  <c r="D8" i="66"/>
  <c r="G8" i="66" s="1"/>
  <c r="C8" i="66"/>
  <c r="B8" i="66"/>
  <c r="E7" i="66"/>
  <c r="D7" i="66"/>
  <c r="G12" i="66" s="1"/>
  <c r="C7" i="66"/>
  <c r="B7" i="66"/>
  <c r="E8" i="65"/>
  <c r="D8" i="65"/>
  <c r="G9" i="65" s="1"/>
  <c r="C8" i="65"/>
  <c r="B8" i="65"/>
  <c r="E7" i="65"/>
  <c r="D7" i="65"/>
  <c r="C7" i="65"/>
  <c r="B7" i="65"/>
  <c r="G10" i="64"/>
  <c r="G9" i="64"/>
  <c r="F9" i="64"/>
  <c r="E9" i="64"/>
  <c r="D9" i="64"/>
  <c r="C9" i="64"/>
  <c r="B9" i="64"/>
  <c r="E8" i="64"/>
  <c r="D8" i="64"/>
  <c r="G8" i="64" s="1"/>
  <c r="C8" i="64"/>
  <c r="B8" i="64"/>
  <c r="E7" i="64"/>
  <c r="D7" i="64"/>
  <c r="C7" i="64"/>
  <c r="B7" i="64"/>
  <c r="E12" i="63"/>
  <c r="D12" i="63"/>
  <c r="G13" i="63" s="1"/>
  <c r="C12" i="63"/>
  <c r="B12" i="63"/>
  <c r="G11" i="63"/>
  <c r="E11" i="63"/>
  <c r="D11" i="63"/>
  <c r="C11" i="63"/>
  <c r="B11" i="63"/>
  <c r="E10" i="63"/>
  <c r="D10" i="63"/>
  <c r="G10" i="63" s="1"/>
  <c r="C10" i="63"/>
  <c r="B10" i="63"/>
  <c r="G9" i="63"/>
  <c r="E9" i="63"/>
  <c r="D9" i="63"/>
  <c r="F9" i="63" s="1"/>
  <c r="C9" i="63"/>
  <c r="B9" i="63"/>
  <c r="F8" i="63"/>
  <c r="E8" i="63"/>
  <c r="D8" i="63"/>
  <c r="G8" i="63" s="1"/>
  <c r="C8" i="63"/>
  <c r="B8" i="63"/>
  <c r="E7" i="63"/>
  <c r="D7" i="63"/>
  <c r="C7" i="63"/>
  <c r="B7" i="63"/>
  <c r="E12" i="62"/>
  <c r="D12" i="62"/>
  <c r="G13" i="62" s="1"/>
  <c r="C12" i="62"/>
  <c r="B12" i="62"/>
  <c r="E11" i="62"/>
  <c r="D11" i="62"/>
  <c r="G11" i="62" s="1"/>
  <c r="C11" i="62"/>
  <c r="B11" i="62"/>
  <c r="G10" i="62"/>
  <c r="F10" i="62"/>
  <c r="E10" i="62"/>
  <c r="D10" i="62"/>
  <c r="C10" i="62"/>
  <c r="B10" i="62"/>
  <c r="G9" i="62"/>
  <c r="E9" i="62"/>
  <c r="D9" i="62"/>
  <c r="C9" i="62"/>
  <c r="B9" i="62"/>
  <c r="E8" i="62"/>
  <c r="D8" i="62"/>
  <c r="G8" i="62" s="1"/>
  <c r="C8" i="62"/>
  <c r="B8" i="62"/>
  <c r="E7" i="62"/>
  <c r="D7" i="62"/>
  <c r="C7" i="62"/>
  <c r="B7" i="62"/>
  <c r="E8" i="61"/>
  <c r="D8" i="61"/>
  <c r="G9" i="61" s="1"/>
  <c r="C8" i="61"/>
  <c r="B8" i="61"/>
  <c r="E7" i="61"/>
  <c r="D7" i="61"/>
  <c r="C7" i="61"/>
  <c r="B7" i="61"/>
  <c r="E10" i="60"/>
  <c r="D10" i="60"/>
  <c r="G11" i="60" s="1"/>
  <c r="C10" i="60"/>
  <c r="B10" i="60"/>
  <c r="G9" i="60"/>
  <c r="F9" i="60"/>
  <c r="E9" i="60"/>
  <c r="D9" i="60"/>
  <c r="C9" i="60"/>
  <c r="B9" i="60"/>
  <c r="G8" i="60"/>
  <c r="F8" i="60"/>
  <c r="E8" i="60"/>
  <c r="D8" i="60"/>
  <c r="C8" i="60"/>
  <c r="B8" i="60"/>
  <c r="E7" i="60"/>
  <c r="D7" i="60"/>
  <c r="C7" i="60"/>
  <c r="B7" i="60"/>
  <c r="F9" i="59"/>
  <c r="E9" i="59"/>
  <c r="D9" i="59"/>
  <c r="G10" i="59" s="1"/>
  <c r="C9" i="59"/>
  <c r="B9" i="59"/>
  <c r="E8" i="59"/>
  <c r="D8" i="59"/>
  <c r="G8" i="59" s="1"/>
  <c r="C8" i="59"/>
  <c r="B8" i="59"/>
  <c r="E7" i="59"/>
  <c r="D7" i="59"/>
  <c r="C7" i="59"/>
  <c r="B7" i="59"/>
  <c r="E8" i="58"/>
  <c r="D8" i="58"/>
  <c r="G9" i="58" s="1"/>
  <c r="C8" i="58"/>
  <c r="B8" i="58"/>
  <c r="E7" i="58"/>
  <c r="D7" i="58"/>
  <c r="C7" i="58"/>
  <c r="B7" i="58"/>
  <c r="E10" i="57"/>
  <c r="D10" i="57"/>
  <c r="G11" i="57" s="1"/>
  <c r="C10" i="57"/>
  <c r="B10" i="57"/>
  <c r="G9" i="57"/>
  <c r="E9" i="57"/>
  <c r="D9" i="57"/>
  <c r="F9" i="57" s="1"/>
  <c r="C9" i="57"/>
  <c r="B9" i="57"/>
  <c r="E8" i="57"/>
  <c r="D8" i="57"/>
  <c r="G8" i="57" s="1"/>
  <c r="C8" i="57"/>
  <c r="B8" i="57"/>
  <c r="E7" i="57"/>
  <c r="D7" i="57"/>
  <c r="C7" i="57"/>
  <c r="B7" i="57"/>
  <c r="G9" i="56"/>
  <c r="E9" i="56"/>
  <c r="D9" i="56"/>
  <c r="G10" i="56" s="1"/>
  <c r="C9" i="56"/>
  <c r="B9" i="56"/>
  <c r="E8" i="56"/>
  <c r="D8" i="56"/>
  <c r="G8" i="56" s="1"/>
  <c r="C8" i="56"/>
  <c r="B8" i="56"/>
  <c r="E7" i="56"/>
  <c r="D7" i="56"/>
  <c r="C7" i="56"/>
  <c r="B7" i="56"/>
  <c r="E10" i="55"/>
  <c r="D10" i="55"/>
  <c r="G11" i="55" s="1"/>
  <c r="C10" i="55"/>
  <c r="B10" i="55"/>
  <c r="G9" i="55"/>
  <c r="E9" i="55"/>
  <c r="D9" i="55"/>
  <c r="F9" i="55" s="1"/>
  <c r="C9" i="55"/>
  <c r="B9" i="55"/>
  <c r="E8" i="55"/>
  <c r="D8" i="55"/>
  <c r="G8" i="55" s="1"/>
  <c r="C8" i="55"/>
  <c r="B8" i="55"/>
  <c r="E7" i="55"/>
  <c r="D7" i="55"/>
  <c r="C7" i="55"/>
  <c r="B7" i="55"/>
  <c r="E10" i="54"/>
  <c r="D10" i="54"/>
  <c r="G11" i="54" s="1"/>
  <c r="C10" i="54"/>
  <c r="B10" i="54"/>
  <c r="E9" i="54"/>
  <c r="D9" i="54"/>
  <c r="G9" i="54" s="1"/>
  <c r="C9" i="54"/>
  <c r="B9" i="54"/>
  <c r="G8" i="54"/>
  <c r="F8" i="54"/>
  <c r="E8" i="54"/>
  <c r="D8" i="54"/>
  <c r="C8" i="54"/>
  <c r="B8" i="54"/>
  <c r="E7" i="54"/>
  <c r="D7" i="54"/>
  <c r="C7" i="54"/>
  <c r="B7" i="54"/>
  <c r="G13" i="53"/>
  <c r="G12" i="53"/>
  <c r="E12" i="53"/>
  <c r="D12" i="53"/>
  <c r="F12" i="53" s="1"/>
  <c r="C12" i="53"/>
  <c r="B12" i="53"/>
  <c r="E11" i="53"/>
  <c r="D11" i="53"/>
  <c r="G11" i="53" s="1"/>
  <c r="C11" i="53"/>
  <c r="B11" i="53"/>
  <c r="E10" i="53"/>
  <c r="D10" i="53"/>
  <c r="G10" i="53" s="1"/>
  <c r="C10" i="53"/>
  <c r="B10" i="53"/>
  <c r="G9" i="53"/>
  <c r="F9" i="53"/>
  <c r="E9" i="53"/>
  <c r="D9" i="53"/>
  <c r="C9" i="53"/>
  <c r="B9" i="53"/>
  <c r="E8" i="53"/>
  <c r="D8" i="53"/>
  <c r="G8" i="53" s="1"/>
  <c r="C8" i="53"/>
  <c r="B8" i="53"/>
  <c r="E7" i="53"/>
  <c r="D7" i="53"/>
  <c r="C7" i="53"/>
  <c r="B7" i="53"/>
  <c r="E10" i="52"/>
  <c r="D10" i="52"/>
  <c r="G11" i="52" s="1"/>
  <c r="C10" i="52"/>
  <c r="B10" i="52"/>
  <c r="E9" i="52"/>
  <c r="D9" i="52"/>
  <c r="G9" i="52" s="1"/>
  <c r="C9" i="52"/>
  <c r="B9" i="52"/>
  <c r="E8" i="52"/>
  <c r="D8" i="52"/>
  <c r="G8" i="52" s="1"/>
  <c r="C8" i="52"/>
  <c r="B8" i="52"/>
  <c r="E7" i="52"/>
  <c r="D7" i="52"/>
  <c r="C7" i="52"/>
  <c r="B7" i="52"/>
  <c r="G12" i="51"/>
  <c r="G11" i="51"/>
  <c r="F11" i="51"/>
  <c r="E11" i="51"/>
  <c r="D11" i="51"/>
  <c r="C11" i="51"/>
  <c r="B11" i="51"/>
  <c r="E10" i="51"/>
  <c r="D10" i="51"/>
  <c r="G10" i="51" s="1"/>
  <c r="C10" i="51"/>
  <c r="B10" i="51"/>
  <c r="G9" i="51"/>
  <c r="E9" i="51"/>
  <c r="D9" i="51"/>
  <c r="F9" i="51" s="1"/>
  <c r="C9" i="51"/>
  <c r="B9" i="51"/>
  <c r="E8" i="51"/>
  <c r="D8" i="51"/>
  <c r="G8" i="51" s="1"/>
  <c r="C8" i="51"/>
  <c r="B8" i="51"/>
  <c r="E7" i="51"/>
  <c r="D7" i="51"/>
  <c r="C7" i="51"/>
  <c r="B7" i="51"/>
  <c r="E9" i="50"/>
  <c r="D9" i="50"/>
  <c r="G10" i="50" s="1"/>
  <c r="C9" i="50"/>
  <c r="B9" i="50"/>
  <c r="E8" i="50"/>
  <c r="D8" i="50"/>
  <c r="G8" i="50" s="1"/>
  <c r="C8" i="50"/>
  <c r="B8" i="50"/>
  <c r="E7" i="50"/>
  <c r="D7" i="50"/>
  <c r="F8" i="50" s="1"/>
  <c r="C7" i="50"/>
  <c r="B7" i="50"/>
  <c r="E10" i="49"/>
  <c r="D10" i="49"/>
  <c r="G11" i="49" s="1"/>
  <c r="C10" i="49"/>
  <c r="B10" i="49"/>
  <c r="G9" i="49"/>
  <c r="E9" i="49"/>
  <c r="D9" i="49"/>
  <c r="F9" i="49" s="1"/>
  <c r="C9" i="49"/>
  <c r="B9" i="49"/>
  <c r="E8" i="49"/>
  <c r="D8" i="49"/>
  <c r="G8" i="49" s="1"/>
  <c r="C8" i="49"/>
  <c r="B8" i="49"/>
  <c r="E7" i="49"/>
  <c r="D7" i="49"/>
  <c r="C7" i="49"/>
  <c r="B7" i="49"/>
  <c r="E11" i="48"/>
  <c r="D11" i="48"/>
  <c r="G12" i="48" s="1"/>
  <c r="C11" i="48"/>
  <c r="B11" i="48"/>
  <c r="F10" i="48"/>
  <c r="E10" i="48"/>
  <c r="D10" i="48"/>
  <c r="G10" i="48" s="1"/>
  <c r="C10" i="48"/>
  <c r="B10" i="48"/>
  <c r="G9" i="48"/>
  <c r="F9" i="48"/>
  <c r="E9" i="48"/>
  <c r="D9" i="48"/>
  <c r="C9" i="48"/>
  <c r="B9" i="48"/>
  <c r="E8" i="48"/>
  <c r="D8" i="48"/>
  <c r="G8" i="48" s="1"/>
  <c r="C8" i="48"/>
  <c r="B8" i="48"/>
  <c r="E7" i="48"/>
  <c r="D7" i="48"/>
  <c r="C7" i="48"/>
  <c r="B7" i="48"/>
  <c r="E10" i="47"/>
  <c r="D10" i="47"/>
  <c r="G11" i="47" s="1"/>
  <c r="C10" i="47"/>
  <c r="B10" i="47"/>
  <c r="E9" i="47"/>
  <c r="D9" i="47"/>
  <c r="G9" i="47" s="1"/>
  <c r="C9" i="47"/>
  <c r="B9" i="47"/>
  <c r="G8" i="47"/>
  <c r="F8" i="47"/>
  <c r="E8" i="47"/>
  <c r="D8" i="47"/>
  <c r="C8" i="47"/>
  <c r="B8" i="47"/>
  <c r="E7" i="47"/>
  <c r="D7" i="47"/>
  <c r="C7" i="47"/>
  <c r="B7" i="47"/>
  <c r="G10" i="46"/>
  <c r="F10" i="46"/>
  <c r="E10" i="46"/>
  <c r="D10" i="46"/>
  <c r="C10" i="46"/>
  <c r="B10" i="46"/>
  <c r="E9" i="46"/>
  <c r="D9" i="46"/>
  <c r="G9" i="46" s="1"/>
  <c r="C9" i="46"/>
  <c r="B9" i="46"/>
  <c r="E8" i="46"/>
  <c r="D8" i="46"/>
  <c r="G8" i="46" s="1"/>
  <c r="C8" i="46"/>
  <c r="B8" i="46"/>
  <c r="E7" i="46"/>
  <c r="D7" i="46"/>
  <c r="G11" i="46" s="1"/>
  <c r="C7" i="46"/>
  <c r="B7" i="46"/>
  <c r="E11" i="45"/>
  <c r="D11" i="45"/>
  <c r="G12" i="45" s="1"/>
  <c r="C11" i="45"/>
  <c r="B11" i="45"/>
  <c r="F10" i="45"/>
  <c r="E10" i="45"/>
  <c r="D10" i="45"/>
  <c r="C10" i="45"/>
  <c r="B10" i="45"/>
  <c r="E9" i="45"/>
  <c r="D9" i="45"/>
  <c r="G9" i="45" s="1"/>
  <c r="C9" i="45"/>
  <c r="B9" i="45"/>
  <c r="G8" i="45"/>
  <c r="E8" i="45"/>
  <c r="D8" i="45"/>
  <c r="F8" i="45" s="1"/>
  <c r="C8" i="45"/>
  <c r="B8" i="45"/>
  <c r="E7" i="45"/>
  <c r="D7" i="45"/>
  <c r="G10" i="45" s="1"/>
  <c r="C7" i="45"/>
  <c r="B7" i="45"/>
  <c r="G13" i="44"/>
  <c r="E12" i="44"/>
  <c r="D12" i="44"/>
  <c r="G12" i="44" s="1"/>
  <c r="C12" i="44"/>
  <c r="B12" i="44"/>
  <c r="E11" i="44"/>
  <c r="D11" i="44"/>
  <c r="G11" i="44" s="1"/>
  <c r="C11" i="44"/>
  <c r="B11" i="44"/>
  <c r="F10" i="44"/>
  <c r="E10" i="44"/>
  <c r="D10" i="44"/>
  <c r="G10" i="44" s="1"/>
  <c r="C10" i="44"/>
  <c r="B10" i="44"/>
  <c r="G9" i="44"/>
  <c r="F9" i="44"/>
  <c r="E9" i="44"/>
  <c r="D9" i="44"/>
  <c r="C9" i="44"/>
  <c r="B9" i="44"/>
  <c r="E8" i="44"/>
  <c r="D8" i="44"/>
  <c r="G8" i="44" s="1"/>
  <c r="C8" i="44"/>
  <c r="B8" i="44"/>
  <c r="E7" i="44"/>
  <c r="D7" i="44"/>
  <c r="C7" i="44"/>
  <c r="B7" i="44"/>
  <c r="E10" i="43"/>
  <c r="D10" i="43"/>
  <c r="G11" i="43" s="1"/>
  <c r="C10" i="43"/>
  <c r="B10" i="43"/>
  <c r="E9" i="43"/>
  <c r="D9" i="43"/>
  <c r="G9" i="43" s="1"/>
  <c r="C9" i="43"/>
  <c r="B9" i="43"/>
  <c r="G8" i="43"/>
  <c r="F8" i="43"/>
  <c r="E8" i="43"/>
  <c r="D8" i="43"/>
  <c r="C8" i="43"/>
  <c r="B8" i="43"/>
  <c r="E7" i="43"/>
  <c r="D7" i="43"/>
  <c r="C7" i="43"/>
  <c r="B7" i="43"/>
  <c r="G10" i="42"/>
  <c r="F10" i="42"/>
  <c r="E10" i="42"/>
  <c r="D10" i="42"/>
  <c r="C10" i="42"/>
  <c r="B10" i="42"/>
  <c r="E9" i="42"/>
  <c r="D9" i="42"/>
  <c r="G9" i="42" s="1"/>
  <c r="C9" i="42"/>
  <c r="B9" i="42"/>
  <c r="E8" i="42"/>
  <c r="D8" i="42"/>
  <c r="G8" i="42" s="1"/>
  <c r="C8" i="42"/>
  <c r="B8" i="42"/>
  <c r="E7" i="42"/>
  <c r="D7" i="42"/>
  <c r="G11" i="42" s="1"/>
  <c r="C7" i="42"/>
  <c r="B7" i="42"/>
  <c r="E8" i="41"/>
  <c r="D8" i="41"/>
  <c r="G9" i="41" s="1"/>
  <c r="C8" i="41"/>
  <c r="B8" i="41"/>
  <c r="E7" i="41"/>
  <c r="D7" i="41"/>
  <c r="C7" i="41"/>
  <c r="B7" i="41"/>
  <c r="G10" i="40"/>
  <c r="F9" i="40"/>
  <c r="E9" i="40"/>
  <c r="D9" i="40"/>
  <c r="G9" i="40" s="1"/>
  <c r="C9" i="40"/>
  <c r="B9" i="40"/>
  <c r="G8" i="40"/>
  <c r="F8" i="40"/>
  <c r="E8" i="40"/>
  <c r="D8" i="40"/>
  <c r="C8" i="40"/>
  <c r="B8" i="40"/>
  <c r="E7" i="40"/>
  <c r="D7" i="40"/>
  <c r="C7" i="40"/>
  <c r="B7" i="40"/>
  <c r="G10" i="39"/>
  <c r="E10" i="39"/>
  <c r="D10" i="39"/>
  <c r="F10" i="39" s="1"/>
  <c r="C10" i="39"/>
  <c r="B10" i="39"/>
  <c r="E9" i="39"/>
  <c r="D9" i="39"/>
  <c r="G9" i="39" s="1"/>
  <c r="C9" i="39"/>
  <c r="B9" i="39"/>
  <c r="E8" i="39"/>
  <c r="D8" i="39"/>
  <c r="G8" i="39" s="1"/>
  <c r="C8" i="39"/>
  <c r="B8" i="39"/>
  <c r="E7" i="39"/>
  <c r="D7" i="39"/>
  <c r="G11" i="39" s="1"/>
  <c r="C7" i="39"/>
  <c r="B7" i="39"/>
  <c r="F10" i="38"/>
  <c r="E10" i="38"/>
  <c r="D10" i="38"/>
  <c r="G10" i="38" s="1"/>
  <c r="C10" i="38"/>
  <c r="B10" i="38"/>
  <c r="G9" i="38"/>
  <c r="F9" i="38"/>
  <c r="E9" i="38"/>
  <c r="D9" i="38"/>
  <c r="C9" i="38"/>
  <c r="B9" i="38"/>
  <c r="E8" i="38"/>
  <c r="D8" i="38"/>
  <c r="G8" i="38" s="1"/>
  <c r="C8" i="38"/>
  <c r="B8" i="38"/>
  <c r="E7" i="38"/>
  <c r="D7" i="38"/>
  <c r="G11" i="38" s="1"/>
  <c r="C7" i="38"/>
  <c r="B7" i="38"/>
  <c r="E9" i="37"/>
  <c r="D9" i="37"/>
  <c r="G10" i="37" s="1"/>
  <c r="C9" i="37"/>
  <c r="B9" i="37"/>
  <c r="E8" i="37"/>
  <c r="D8" i="37"/>
  <c r="G8" i="37" s="1"/>
  <c r="C8" i="37"/>
  <c r="B8" i="37"/>
  <c r="E7" i="37"/>
  <c r="D7" i="37"/>
  <c r="C7" i="37"/>
  <c r="B7" i="37"/>
  <c r="G10" i="36"/>
  <c r="G9" i="36"/>
  <c r="F9" i="36"/>
  <c r="E9" i="36"/>
  <c r="D9" i="36"/>
  <c r="C9" i="36"/>
  <c r="B9" i="36"/>
  <c r="G8" i="36"/>
  <c r="F8" i="36"/>
  <c r="E8" i="36"/>
  <c r="D8" i="36"/>
  <c r="C8" i="36"/>
  <c r="B8" i="36"/>
  <c r="E7" i="36"/>
  <c r="D7" i="36"/>
  <c r="C7" i="36"/>
  <c r="B7" i="36"/>
  <c r="G12" i="35"/>
  <c r="G11" i="35"/>
  <c r="E11" i="35"/>
  <c r="D11" i="35"/>
  <c r="F11" i="35" s="1"/>
  <c r="C11" i="35"/>
  <c r="B11" i="35"/>
  <c r="E10" i="35"/>
  <c r="D10" i="35"/>
  <c r="G10" i="35" s="1"/>
  <c r="C10" i="35"/>
  <c r="B10" i="35"/>
  <c r="E9" i="35"/>
  <c r="D9" i="35"/>
  <c r="G9" i="35" s="1"/>
  <c r="C9" i="35"/>
  <c r="B9" i="35"/>
  <c r="G8" i="35"/>
  <c r="F8" i="35"/>
  <c r="E8" i="35"/>
  <c r="D8" i="35"/>
  <c r="C8" i="35"/>
  <c r="B8" i="35"/>
  <c r="E7" i="35"/>
  <c r="D7" i="35"/>
  <c r="C7" i="35"/>
  <c r="B7" i="35"/>
  <c r="G10" i="34"/>
  <c r="F10" i="34"/>
  <c r="E10" i="34"/>
  <c r="D10" i="34"/>
  <c r="C10" i="34"/>
  <c r="B10" i="34"/>
  <c r="E9" i="34"/>
  <c r="D9" i="34"/>
  <c r="G9" i="34" s="1"/>
  <c r="C9" i="34"/>
  <c r="B9" i="34"/>
  <c r="E8" i="34"/>
  <c r="D8" i="34"/>
  <c r="G8" i="34" s="1"/>
  <c r="C8" i="34"/>
  <c r="B8" i="34"/>
  <c r="E7" i="34"/>
  <c r="D7" i="34"/>
  <c r="G11" i="34" s="1"/>
  <c r="C7" i="34"/>
  <c r="B7" i="34"/>
  <c r="E10" i="33"/>
  <c r="D10" i="33"/>
  <c r="G11" i="33" s="1"/>
  <c r="C10" i="33"/>
  <c r="B10" i="33"/>
  <c r="G9" i="33"/>
  <c r="F9" i="33"/>
  <c r="E9" i="33"/>
  <c r="D9" i="33"/>
  <c r="C9" i="33"/>
  <c r="B9" i="33"/>
  <c r="E8" i="33"/>
  <c r="D8" i="33"/>
  <c r="G8" i="33" s="1"/>
  <c r="C8" i="33"/>
  <c r="B8" i="33"/>
  <c r="E7" i="33"/>
  <c r="D7" i="33"/>
  <c r="C7" i="33"/>
  <c r="B7" i="33"/>
  <c r="E11" i="32"/>
  <c r="D11" i="32"/>
  <c r="G12" i="32" s="1"/>
  <c r="C11" i="32"/>
  <c r="B11" i="32"/>
  <c r="E10" i="32"/>
  <c r="D10" i="32"/>
  <c r="G10" i="32" s="1"/>
  <c r="C10" i="32"/>
  <c r="B10" i="32"/>
  <c r="E9" i="32"/>
  <c r="D9" i="32"/>
  <c r="G9" i="32" s="1"/>
  <c r="C9" i="32"/>
  <c r="B9" i="32"/>
  <c r="E8" i="32"/>
  <c r="D8" i="32"/>
  <c r="C8" i="32"/>
  <c r="B8" i="32"/>
  <c r="E7" i="32"/>
  <c r="D7" i="32"/>
  <c r="G8" i="32" s="1"/>
  <c r="C7" i="32"/>
  <c r="B7" i="32"/>
  <c r="E11" i="31"/>
  <c r="D11" i="31"/>
  <c r="G12" i="31" s="1"/>
  <c r="C11" i="31"/>
  <c r="B11" i="31"/>
  <c r="G10" i="31"/>
  <c r="E10" i="31"/>
  <c r="D10" i="31"/>
  <c r="F10" i="31" s="1"/>
  <c r="C10" i="31"/>
  <c r="B10" i="31"/>
  <c r="E9" i="31"/>
  <c r="D9" i="31"/>
  <c r="G9" i="31" s="1"/>
  <c r="C9" i="31"/>
  <c r="B9" i="31"/>
  <c r="E8" i="31"/>
  <c r="D8" i="31"/>
  <c r="F8" i="31" s="1"/>
  <c r="C8" i="31"/>
  <c r="B8" i="31"/>
  <c r="E7" i="31"/>
  <c r="D7" i="31"/>
  <c r="G8" i="31" s="1"/>
  <c r="C7" i="31"/>
  <c r="B7" i="31"/>
  <c r="F11" i="30"/>
  <c r="E11" i="30"/>
  <c r="D11" i="30"/>
  <c r="C11" i="30"/>
  <c r="B11" i="30"/>
  <c r="G10" i="30"/>
  <c r="F10" i="30"/>
  <c r="E10" i="30"/>
  <c r="D10" i="30"/>
  <c r="C10" i="30"/>
  <c r="B10" i="30"/>
  <c r="E9" i="30"/>
  <c r="D9" i="30"/>
  <c r="G9" i="30" s="1"/>
  <c r="C9" i="30"/>
  <c r="B9" i="30"/>
  <c r="E8" i="30"/>
  <c r="D8" i="30"/>
  <c r="G8" i="30" s="1"/>
  <c r="C8" i="30"/>
  <c r="B8" i="30"/>
  <c r="E7" i="30"/>
  <c r="D7" i="30"/>
  <c r="G12" i="30" s="1"/>
  <c r="C7" i="30"/>
  <c r="B7" i="30"/>
  <c r="E11" i="29"/>
  <c r="D11" i="29"/>
  <c r="G12" i="29" s="1"/>
  <c r="C11" i="29"/>
  <c r="B11" i="29"/>
  <c r="G10" i="29"/>
  <c r="F10" i="29"/>
  <c r="E10" i="29"/>
  <c r="D10" i="29"/>
  <c r="C10" i="29"/>
  <c r="B10" i="29"/>
  <c r="E9" i="29"/>
  <c r="D9" i="29"/>
  <c r="G9" i="29" s="1"/>
  <c r="C9" i="29"/>
  <c r="B9" i="29"/>
  <c r="G8" i="29"/>
  <c r="E8" i="29"/>
  <c r="D8" i="29"/>
  <c r="F8" i="29" s="1"/>
  <c r="C8" i="29"/>
  <c r="B8" i="29"/>
  <c r="E7" i="29"/>
  <c r="D7" i="29"/>
  <c r="C7" i="29"/>
  <c r="B7" i="29"/>
  <c r="E10" i="28"/>
  <c r="D10" i="28"/>
  <c r="G10" i="28" s="1"/>
  <c r="C10" i="28"/>
  <c r="B10" i="28"/>
  <c r="E9" i="28"/>
  <c r="D9" i="28"/>
  <c r="G9" i="28" s="1"/>
  <c r="C9" i="28"/>
  <c r="B9" i="28"/>
  <c r="E8" i="28"/>
  <c r="D8" i="28"/>
  <c r="C8" i="28"/>
  <c r="B8" i="28"/>
  <c r="E7" i="28"/>
  <c r="D7" i="28"/>
  <c r="G8" i="28" s="1"/>
  <c r="C7" i="28"/>
  <c r="B7" i="28"/>
  <c r="E12" i="27"/>
  <c r="D12" i="27"/>
  <c r="G13" i="27" s="1"/>
  <c r="C12" i="27"/>
  <c r="B12" i="27"/>
  <c r="G11" i="27"/>
  <c r="E11" i="27"/>
  <c r="D11" i="27"/>
  <c r="F11" i="27" s="1"/>
  <c r="C11" i="27"/>
  <c r="B11" i="27"/>
  <c r="E10" i="27"/>
  <c r="D10" i="27"/>
  <c r="G10" i="27" s="1"/>
  <c r="C10" i="27"/>
  <c r="B10" i="27"/>
  <c r="F9" i="27"/>
  <c r="E9" i="27"/>
  <c r="D9" i="27"/>
  <c r="G9" i="27" s="1"/>
  <c r="C9" i="27"/>
  <c r="B9" i="27"/>
  <c r="G8" i="27"/>
  <c r="F8" i="27"/>
  <c r="E8" i="27"/>
  <c r="D8" i="27"/>
  <c r="C8" i="27"/>
  <c r="B8" i="27"/>
  <c r="E7" i="27"/>
  <c r="D7" i="27"/>
  <c r="C7" i="27"/>
  <c r="B7" i="27"/>
  <c r="F10" i="26"/>
  <c r="E10" i="26"/>
  <c r="D10" i="26"/>
  <c r="C10" i="26"/>
  <c r="B10" i="26"/>
  <c r="E9" i="26"/>
  <c r="D9" i="26"/>
  <c r="G9" i="26" s="1"/>
  <c r="C9" i="26"/>
  <c r="B9" i="26"/>
  <c r="E8" i="26"/>
  <c r="D8" i="26"/>
  <c r="G8" i="26" s="1"/>
  <c r="C8" i="26"/>
  <c r="B8" i="26"/>
  <c r="E7" i="26"/>
  <c r="D7" i="26"/>
  <c r="F8" i="26" s="1"/>
  <c r="C7" i="26"/>
  <c r="B7" i="26"/>
  <c r="F10" i="25"/>
  <c r="E10" i="25"/>
  <c r="D10" i="25"/>
  <c r="G11" i="25" s="1"/>
  <c r="C10" i="25"/>
  <c r="B10" i="25"/>
  <c r="G9" i="25"/>
  <c r="F9" i="25"/>
  <c r="E9" i="25"/>
  <c r="D9" i="25"/>
  <c r="C9" i="25"/>
  <c r="B9" i="25"/>
  <c r="E8" i="25"/>
  <c r="D8" i="25"/>
  <c r="G8" i="25" s="1"/>
  <c r="C8" i="25"/>
  <c r="B8" i="25"/>
  <c r="E7" i="25"/>
  <c r="D7" i="25"/>
  <c r="C7" i="25"/>
  <c r="B7" i="25"/>
  <c r="E8" i="24"/>
  <c r="D8" i="24"/>
  <c r="G9" i="24" s="1"/>
  <c r="C8" i="24"/>
  <c r="B8" i="24"/>
  <c r="E7" i="24"/>
  <c r="D7" i="24"/>
  <c r="C7" i="24"/>
  <c r="B7" i="24"/>
  <c r="E9" i="23"/>
  <c r="D9" i="23"/>
  <c r="G10" i="23" s="1"/>
  <c r="C9" i="23"/>
  <c r="B9" i="23"/>
  <c r="E8" i="23"/>
  <c r="D8" i="23"/>
  <c r="G8" i="23" s="1"/>
  <c r="C8" i="23"/>
  <c r="B8" i="23"/>
  <c r="E7" i="23"/>
  <c r="D7" i="23"/>
  <c r="F8" i="23" s="1"/>
  <c r="C7" i="23"/>
  <c r="B7" i="23"/>
  <c r="G13" i="22"/>
  <c r="G12" i="22"/>
  <c r="E12" i="22"/>
  <c r="D12" i="22"/>
  <c r="C12" i="22"/>
  <c r="B12" i="22"/>
  <c r="G11" i="22"/>
  <c r="F11" i="22"/>
  <c r="E11" i="22"/>
  <c r="D11" i="22"/>
  <c r="F12" i="22" s="1"/>
  <c r="C11" i="22"/>
  <c r="B11" i="22"/>
  <c r="E10" i="22"/>
  <c r="D10" i="22"/>
  <c r="G10" i="22" s="1"/>
  <c r="C10" i="22"/>
  <c r="B10" i="22"/>
  <c r="E9" i="22"/>
  <c r="D9" i="22"/>
  <c r="G9" i="22" s="1"/>
  <c r="C9" i="22"/>
  <c r="B9" i="22"/>
  <c r="E8" i="22"/>
  <c r="D8" i="22"/>
  <c r="F9" i="22" s="1"/>
  <c r="C8" i="22"/>
  <c r="B8" i="22"/>
  <c r="E7" i="22"/>
  <c r="D7" i="22"/>
  <c r="C7" i="22"/>
  <c r="B7" i="22"/>
  <c r="G10" i="21"/>
  <c r="F10" i="21"/>
  <c r="E10" i="21"/>
  <c r="D10" i="21"/>
  <c r="C10" i="21"/>
  <c r="B10" i="21"/>
  <c r="E9" i="21"/>
  <c r="D9" i="21"/>
  <c r="G9" i="21" s="1"/>
  <c r="C9" i="21"/>
  <c r="B9" i="21"/>
  <c r="G8" i="21"/>
  <c r="E8" i="21"/>
  <c r="D8" i="21"/>
  <c r="F8" i="21" s="1"/>
  <c r="C8" i="21"/>
  <c r="B8" i="21"/>
  <c r="E7" i="21"/>
  <c r="D7" i="21"/>
  <c r="G11" i="21" s="1"/>
  <c r="C7" i="21"/>
  <c r="B7" i="21"/>
  <c r="E10" i="20"/>
  <c r="D10" i="20"/>
  <c r="G10" i="20" s="1"/>
  <c r="C10" i="20"/>
  <c r="B10" i="20"/>
  <c r="E9" i="20"/>
  <c r="D9" i="20"/>
  <c r="F10" i="20" s="1"/>
  <c r="C9" i="20"/>
  <c r="B9" i="20"/>
  <c r="E8" i="20"/>
  <c r="D8" i="20"/>
  <c r="C8" i="20"/>
  <c r="B8" i="20"/>
  <c r="E7" i="20"/>
  <c r="D7" i="20"/>
  <c r="G8" i="20" s="1"/>
  <c r="C7" i="20"/>
  <c r="B7" i="20"/>
  <c r="E8" i="19"/>
  <c r="D8" i="19"/>
  <c r="G9" i="19" s="1"/>
  <c r="C8" i="19"/>
  <c r="B8" i="19"/>
  <c r="E7" i="19"/>
  <c r="D7" i="19"/>
  <c r="C7" i="19"/>
  <c r="B7" i="19"/>
  <c r="E11" i="18"/>
  <c r="D11" i="18"/>
  <c r="G12" i="18" s="1"/>
  <c r="C11" i="18"/>
  <c r="B11" i="18"/>
  <c r="E10" i="18"/>
  <c r="D10" i="18"/>
  <c r="G10" i="18" s="1"/>
  <c r="C10" i="18"/>
  <c r="B10" i="18"/>
  <c r="E9" i="18"/>
  <c r="D9" i="18"/>
  <c r="F10" i="18" s="1"/>
  <c r="C9" i="18"/>
  <c r="B9" i="18"/>
  <c r="E8" i="18"/>
  <c r="D8" i="18"/>
  <c r="C8" i="18"/>
  <c r="B8" i="18"/>
  <c r="E7" i="18"/>
  <c r="D7" i="18"/>
  <c r="G8" i="18" s="1"/>
  <c r="C7" i="18"/>
  <c r="B7" i="18"/>
  <c r="E10" i="17"/>
  <c r="D10" i="17"/>
  <c r="G11" i="17" s="1"/>
  <c r="C10" i="17"/>
  <c r="B10" i="17"/>
  <c r="G9" i="17"/>
  <c r="E9" i="17"/>
  <c r="D9" i="17"/>
  <c r="F9" i="17" s="1"/>
  <c r="C9" i="17"/>
  <c r="B9" i="17"/>
  <c r="E8" i="17"/>
  <c r="D8" i="17"/>
  <c r="G8" i="17" s="1"/>
  <c r="C8" i="17"/>
  <c r="B8" i="17"/>
  <c r="E7" i="17"/>
  <c r="D7" i="17"/>
  <c r="C7" i="17"/>
  <c r="B7" i="17"/>
  <c r="E8" i="16"/>
  <c r="D8" i="16"/>
  <c r="G9" i="16" s="1"/>
  <c r="C8" i="16"/>
  <c r="B8" i="16"/>
  <c r="E7" i="16"/>
  <c r="D7" i="16"/>
  <c r="C7" i="16"/>
  <c r="B7" i="16"/>
  <c r="G10" i="15"/>
  <c r="F10" i="15"/>
  <c r="E10" i="15"/>
  <c r="D10" i="15"/>
  <c r="C10" i="15"/>
  <c r="B10" i="15"/>
  <c r="E9" i="15"/>
  <c r="D9" i="15"/>
  <c r="G9" i="15" s="1"/>
  <c r="C9" i="15"/>
  <c r="B9" i="15"/>
  <c r="G8" i="15"/>
  <c r="E8" i="15"/>
  <c r="D8" i="15"/>
  <c r="F8" i="15" s="1"/>
  <c r="C8" i="15"/>
  <c r="B8" i="15"/>
  <c r="E7" i="15"/>
  <c r="D7" i="15"/>
  <c r="G11" i="15" s="1"/>
  <c r="C7" i="15"/>
  <c r="B7" i="15"/>
  <c r="E10" i="14"/>
  <c r="D10" i="14"/>
  <c r="G10" i="14" s="1"/>
  <c r="C10" i="14"/>
  <c r="B10" i="14"/>
  <c r="E9" i="14"/>
  <c r="D9" i="14"/>
  <c r="F10" i="14" s="1"/>
  <c r="C9" i="14"/>
  <c r="B9" i="14"/>
  <c r="E8" i="14"/>
  <c r="D8" i="14"/>
  <c r="C8" i="14"/>
  <c r="B8" i="14"/>
  <c r="E7" i="14"/>
  <c r="D7" i="14"/>
  <c r="G8" i="14" s="1"/>
  <c r="C7" i="14"/>
  <c r="B7" i="14"/>
  <c r="E10" i="13"/>
  <c r="D10" i="13"/>
  <c r="G11" i="13" s="1"/>
  <c r="C10" i="13"/>
  <c r="B10" i="13"/>
  <c r="G9" i="13"/>
  <c r="E9" i="13"/>
  <c r="D9" i="13"/>
  <c r="F9" i="13" s="1"/>
  <c r="C9" i="13"/>
  <c r="B9" i="13"/>
  <c r="E8" i="13"/>
  <c r="D8" i="13"/>
  <c r="G8" i="13" s="1"/>
  <c r="C8" i="13"/>
  <c r="B8" i="13"/>
  <c r="E7" i="13"/>
  <c r="D7" i="13"/>
  <c r="C7" i="13"/>
  <c r="B7" i="13"/>
  <c r="E9" i="12"/>
  <c r="D9" i="12"/>
  <c r="G10" i="12" s="1"/>
  <c r="C9" i="12"/>
  <c r="B9" i="12"/>
  <c r="E8" i="12"/>
  <c r="D8" i="12"/>
  <c r="C8" i="12"/>
  <c r="B8" i="12"/>
  <c r="E7" i="12"/>
  <c r="D7" i="12"/>
  <c r="G8" i="12" s="1"/>
  <c r="C7" i="12"/>
  <c r="B7" i="12"/>
  <c r="E12" i="11"/>
  <c r="D12" i="11"/>
  <c r="G13" i="11" s="1"/>
  <c r="C12" i="11"/>
  <c r="B12" i="11"/>
  <c r="G11" i="11"/>
  <c r="E11" i="11"/>
  <c r="D11" i="11"/>
  <c r="F11" i="11" s="1"/>
  <c r="C11" i="11"/>
  <c r="B11" i="11"/>
  <c r="E10" i="11"/>
  <c r="D10" i="11"/>
  <c r="G10" i="11" s="1"/>
  <c r="C10" i="11"/>
  <c r="B10" i="11"/>
  <c r="G9" i="11"/>
  <c r="F9" i="11"/>
  <c r="E9" i="11"/>
  <c r="D9" i="11"/>
  <c r="C9" i="11"/>
  <c r="B9" i="11"/>
  <c r="G8" i="11"/>
  <c r="F8" i="11"/>
  <c r="E8" i="11"/>
  <c r="D8" i="11"/>
  <c r="C8" i="11"/>
  <c r="B8" i="11"/>
  <c r="E7" i="11"/>
  <c r="D7" i="11"/>
  <c r="C7" i="11"/>
  <c r="B7" i="11"/>
  <c r="F10" i="10"/>
  <c r="E10" i="10"/>
  <c r="D10" i="10"/>
  <c r="C10" i="10"/>
  <c r="B10" i="10"/>
  <c r="E9" i="10"/>
  <c r="D9" i="10"/>
  <c r="G9" i="10" s="1"/>
  <c r="C9" i="10"/>
  <c r="B9" i="10"/>
  <c r="E8" i="10"/>
  <c r="D8" i="10"/>
  <c r="G8" i="10" s="1"/>
  <c r="C8" i="10"/>
  <c r="B8" i="10"/>
  <c r="E7" i="10"/>
  <c r="D7" i="10"/>
  <c r="F8" i="10" s="1"/>
  <c r="C7" i="10"/>
  <c r="B7" i="10"/>
  <c r="G9" i="9"/>
  <c r="F9" i="9"/>
  <c r="E9" i="9"/>
  <c r="D9" i="9"/>
  <c r="G10" i="9" s="1"/>
  <c r="C9" i="9"/>
  <c r="B9" i="9"/>
  <c r="G8" i="9"/>
  <c r="F8" i="9"/>
  <c r="E8" i="9"/>
  <c r="D8" i="9"/>
  <c r="C8" i="9"/>
  <c r="B8" i="9"/>
  <c r="E7" i="9"/>
  <c r="D7" i="9"/>
  <c r="C7" i="9"/>
  <c r="B7" i="9"/>
  <c r="G9" i="8"/>
  <c r="G8" i="8"/>
  <c r="F8" i="8"/>
  <c r="E8" i="8"/>
  <c r="D8" i="8"/>
  <c r="C8" i="8"/>
  <c r="B8" i="8"/>
  <c r="E7" i="8"/>
  <c r="D7" i="8"/>
  <c r="C7" i="8"/>
  <c r="B7" i="8"/>
  <c r="G9" i="7"/>
  <c r="G8" i="7"/>
  <c r="E8" i="7"/>
  <c r="D8" i="7"/>
  <c r="F8" i="7" s="1"/>
  <c r="C8" i="7"/>
  <c r="B8" i="7"/>
  <c r="E7" i="7"/>
  <c r="D7" i="7"/>
  <c r="C7" i="7"/>
  <c r="B7" i="7"/>
  <c r="E10" i="6"/>
  <c r="D10" i="6"/>
  <c r="G10" i="6" s="1"/>
  <c r="C10" i="6"/>
  <c r="B10" i="6"/>
  <c r="E9" i="6"/>
  <c r="D9" i="6"/>
  <c r="F10" i="6" s="1"/>
  <c r="C9" i="6"/>
  <c r="B9" i="6"/>
  <c r="E8" i="6"/>
  <c r="D8" i="6"/>
  <c r="F8" i="6" s="1"/>
  <c r="C8" i="6"/>
  <c r="B8" i="6"/>
  <c r="E7" i="6"/>
  <c r="D7" i="6"/>
  <c r="G8" i="6" s="1"/>
  <c r="C7" i="6"/>
  <c r="B7" i="6"/>
  <c r="E11" i="5"/>
  <c r="D11" i="5"/>
  <c r="G12" i="5" s="1"/>
  <c r="C11" i="5"/>
  <c r="B11" i="5"/>
  <c r="G10" i="5"/>
  <c r="E10" i="5"/>
  <c r="D10" i="5"/>
  <c r="F10" i="5" s="1"/>
  <c r="C10" i="5"/>
  <c r="B10" i="5"/>
  <c r="E9" i="5"/>
  <c r="D9" i="5"/>
  <c r="G9" i="5" s="1"/>
  <c r="C9" i="5"/>
  <c r="B9" i="5"/>
  <c r="E8" i="5"/>
  <c r="D8" i="5"/>
  <c r="G8" i="5" s="1"/>
  <c r="C8" i="5"/>
  <c r="B8" i="5"/>
  <c r="E7" i="5"/>
  <c r="D7" i="5"/>
  <c r="C7" i="5"/>
  <c r="B7" i="5"/>
  <c r="G10" i="4"/>
  <c r="G9" i="4"/>
  <c r="E9" i="4"/>
  <c r="D9" i="4"/>
  <c r="F9" i="4" s="1"/>
  <c r="C9" i="4"/>
  <c r="B9" i="4"/>
  <c r="G8" i="4"/>
  <c r="F8" i="4"/>
  <c r="E8" i="4"/>
  <c r="D8" i="4"/>
  <c r="C8" i="4"/>
  <c r="B8" i="4"/>
  <c r="E7" i="4"/>
  <c r="D7" i="4"/>
  <c r="C7" i="4"/>
  <c r="B7" i="4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N83" i="1"/>
  <c r="M83" i="1"/>
  <c r="L83" i="1"/>
  <c r="K83" i="1"/>
  <c r="J83" i="1"/>
  <c r="H83" i="1"/>
  <c r="G83" i="1"/>
  <c r="E83" i="1"/>
  <c r="D83" i="1"/>
  <c r="M82" i="1"/>
  <c r="N82" i="1" s="1"/>
  <c r="L82" i="1"/>
  <c r="K82" i="1"/>
  <c r="J82" i="1"/>
  <c r="H82" i="1"/>
  <c r="G82" i="1"/>
  <c r="E82" i="1"/>
  <c r="D82" i="1"/>
  <c r="M81" i="1"/>
  <c r="N81" i="1" s="1"/>
  <c r="L81" i="1"/>
  <c r="K81" i="1"/>
  <c r="J81" i="1"/>
  <c r="H81" i="1"/>
  <c r="G81" i="1"/>
  <c r="E81" i="1"/>
  <c r="D81" i="1"/>
  <c r="M80" i="1"/>
  <c r="L80" i="1"/>
  <c r="N80" i="1" s="1"/>
  <c r="J80" i="1"/>
  <c r="H80" i="1"/>
  <c r="G80" i="1"/>
  <c r="E80" i="1"/>
  <c r="D80" i="1"/>
  <c r="M79" i="1"/>
  <c r="N79" i="1" s="1"/>
  <c r="L79" i="1"/>
  <c r="K79" i="1"/>
  <c r="J79" i="1"/>
  <c r="H79" i="1"/>
  <c r="G79" i="1"/>
  <c r="E79" i="1"/>
  <c r="D79" i="1"/>
  <c r="M78" i="1"/>
  <c r="N78" i="1" s="1"/>
  <c r="L78" i="1"/>
  <c r="K78" i="1"/>
  <c r="J78" i="1"/>
  <c r="G78" i="1"/>
  <c r="E78" i="1"/>
  <c r="M77" i="1"/>
  <c r="L77" i="1"/>
  <c r="J77" i="1"/>
  <c r="H77" i="1"/>
  <c r="G77" i="1"/>
  <c r="E77" i="1"/>
  <c r="M76" i="1"/>
  <c r="N76" i="1" s="1"/>
  <c r="L76" i="1"/>
  <c r="J76" i="1"/>
  <c r="H76" i="1"/>
  <c r="G76" i="1"/>
  <c r="E76" i="1"/>
  <c r="D76" i="1"/>
  <c r="M75" i="1"/>
  <c r="L75" i="1"/>
  <c r="J75" i="1"/>
  <c r="H75" i="1"/>
  <c r="G75" i="1"/>
  <c r="M74" i="1"/>
  <c r="L74" i="1"/>
  <c r="J74" i="1"/>
  <c r="H74" i="1"/>
  <c r="G74" i="1"/>
  <c r="E74" i="1"/>
  <c r="D74" i="1"/>
  <c r="M73" i="1"/>
  <c r="N73" i="1" s="1"/>
  <c r="L73" i="1"/>
  <c r="J73" i="1"/>
  <c r="H73" i="1"/>
  <c r="M72" i="1"/>
  <c r="N72" i="1" s="1"/>
  <c r="L72" i="1"/>
  <c r="K72" i="1"/>
  <c r="J72" i="1"/>
  <c r="G72" i="1"/>
  <c r="E72" i="1"/>
  <c r="D72" i="1"/>
  <c r="M71" i="1"/>
  <c r="N71" i="1" s="1"/>
  <c r="L71" i="1"/>
  <c r="J71" i="1"/>
  <c r="H71" i="1"/>
  <c r="G71" i="1"/>
  <c r="E71" i="1"/>
  <c r="D71" i="1"/>
  <c r="M70" i="1"/>
  <c r="L70" i="1"/>
  <c r="N70" i="1" s="1"/>
  <c r="H70" i="1"/>
  <c r="G70" i="1"/>
  <c r="E70" i="1"/>
  <c r="N69" i="1"/>
  <c r="M69" i="1"/>
  <c r="L69" i="1"/>
  <c r="K69" i="1"/>
  <c r="J69" i="1"/>
  <c r="H69" i="1"/>
  <c r="M68" i="1"/>
  <c r="N68" i="1" s="1"/>
  <c r="L68" i="1"/>
  <c r="K68" i="1"/>
  <c r="J68" i="1"/>
  <c r="H68" i="1"/>
  <c r="G68" i="1"/>
  <c r="E68" i="1"/>
  <c r="M67" i="1"/>
  <c r="L67" i="1"/>
  <c r="N67" i="1" s="1"/>
  <c r="E67" i="1"/>
  <c r="D67" i="1"/>
  <c r="M66" i="1"/>
  <c r="L66" i="1"/>
  <c r="H66" i="1"/>
  <c r="E66" i="1"/>
  <c r="D66" i="1"/>
  <c r="M65" i="1"/>
  <c r="N65" i="1" s="1"/>
  <c r="L65" i="1"/>
  <c r="K65" i="1"/>
  <c r="J65" i="1"/>
  <c r="H65" i="1"/>
  <c r="G65" i="1"/>
  <c r="E65" i="1"/>
  <c r="D65" i="1"/>
  <c r="M64" i="1"/>
  <c r="L64" i="1"/>
  <c r="K64" i="1"/>
  <c r="J64" i="1"/>
  <c r="H64" i="1"/>
  <c r="G64" i="1"/>
  <c r="E64" i="1"/>
  <c r="D64" i="1"/>
  <c r="M63" i="1"/>
  <c r="N63" i="1" s="1"/>
  <c r="L63" i="1"/>
  <c r="H63" i="1"/>
  <c r="D63" i="1"/>
  <c r="M62" i="1"/>
  <c r="L62" i="1"/>
  <c r="J62" i="1"/>
  <c r="H62" i="1"/>
  <c r="E62" i="1"/>
  <c r="D62" i="1"/>
  <c r="M61" i="1"/>
  <c r="N61" i="1" s="1"/>
  <c r="L61" i="1"/>
  <c r="K61" i="1"/>
  <c r="J61" i="1"/>
  <c r="D61" i="1"/>
  <c r="M60" i="1"/>
  <c r="N60" i="1" s="1"/>
  <c r="L60" i="1"/>
  <c r="J60" i="1"/>
  <c r="D60" i="1"/>
  <c r="N59" i="1"/>
  <c r="M59" i="1"/>
  <c r="L59" i="1"/>
  <c r="J59" i="1"/>
  <c r="H59" i="1"/>
  <c r="E59" i="1"/>
  <c r="D59" i="1"/>
  <c r="M58" i="1"/>
  <c r="N58" i="1" s="1"/>
  <c r="L58" i="1"/>
  <c r="H58" i="1"/>
  <c r="E58" i="1"/>
  <c r="D58" i="1"/>
  <c r="M57" i="1"/>
  <c r="N57" i="1" s="1"/>
  <c r="L57" i="1"/>
  <c r="J57" i="1"/>
  <c r="H57" i="1"/>
  <c r="E57" i="1"/>
  <c r="D57" i="1"/>
  <c r="M56" i="1"/>
  <c r="N56" i="1" s="1"/>
  <c r="L56" i="1"/>
  <c r="J56" i="1"/>
  <c r="H56" i="1"/>
  <c r="E56" i="1"/>
  <c r="D56" i="1"/>
  <c r="M55" i="1"/>
  <c r="N55" i="1" s="1"/>
  <c r="L55" i="1"/>
  <c r="K55" i="1"/>
  <c r="J55" i="1"/>
  <c r="H55" i="1"/>
  <c r="G55" i="1"/>
  <c r="E55" i="1"/>
  <c r="D55" i="1"/>
  <c r="M54" i="1"/>
  <c r="L54" i="1"/>
  <c r="K54" i="1"/>
  <c r="J54" i="1"/>
  <c r="E54" i="1"/>
  <c r="D54" i="1"/>
  <c r="M53" i="1"/>
  <c r="N53" i="1" s="1"/>
  <c r="L53" i="1"/>
  <c r="K53" i="1"/>
  <c r="J53" i="1"/>
  <c r="H53" i="1"/>
  <c r="E53" i="1"/>
  <c r="D53" i="1"/>
  <c r="M52" i="1"/>
  <c r="N52" i="1" s="1"/>
  <c r="L52" i="1"/>
  <c r="J52" i="1"/>
  <c r="H52" i="1"/>
  <c r="E52" i="1"/>
  <c r="M51" i="1"/>
  <c r="N51" i="1" s="1"/>
  <c r="L51" i="1"/>
  <c r="K51" i="1"/>
  <c r="J51" i="1"/>
  <c r="E51" i="1"/>
  <c r="D51" i="1"/>
  <c r="N50" i="1"/>
  <c r="M50" i="1"/>
  <c r="L50" i="1"/>
  <c r="K50" i="1"/>
  <c r="J50" i="1"/>
  <c r="H50" i="1"/>
  <c r="E50" i="1"/>
  <c r="D50" i="1"/>
  <c r="M49" i="1"/>
  <c r="L49" i="1"/>
  <c r="K49" i="1"/>
  <c r="J49" i="1"/>
  <c r="H49" i="1"/>
  <c r="E49" i="1"/>
  <c r="M48" i="1"/>
  <c r="L48" i="1"/>
  <c r="H48" i="1"/>
  <c r="G48" i="1"/>
  <c r="E48" i="1"/>
  <c r="D48" i="1"/>
  <c r="M47" i="1"/>
  <c r="N47" i="1" s="1"/>
  <c r="L47" i="1"/>
  <c r="K47" i="1"/>
  <c r="J47" i="1"/>
  <c r="H47" i="1"/>
  <c r="E47" i="1"/>
  <c r="D47" i="1"/>
  <c r="M46" i="1"/>
  <c r="L46" i="1"/>
  <c r="N46" i="1" s="1"/>
  <c r="K46" i="1"/>
  <c r="J46" i="1"/>
  <c r="H46" i="1"/>
  <c r="G46" i="1"/>
  <c r="E46" i="1"/>
  <c r="D46" i="1"/>
  <c r="M45" i="1"/>
  <c r="L45" i="1"/>
  <c r="J45" i="1"/>
  <c r="H45" i="1"/>
  <c r="E45" i="1"/>
  <c r="D45" i="1"/>
  <c r="M44" i="1"/>
  <c r="N44" i="1" s="1"/>
  <c r="L44" i="1"/>
  <c r="J44" i="1"/>
  <c r="H44" i="1"/>
  <c r="E44" i="1"/>
  <c r="D44" i="1"/>
  <c r="M43" i="1"/>
  <c r="N43" i="1" s="1"/>
  <c r="L43" i="1"/>
  <c r="H43" i="1"/>
  <c r="E43" i="1"/>
  <c r="M42" i="1"/>
  <c r="L42" i="1"/>
  <c r="H42" i="1"/>
  <c r="E42" i="1"/>
  <c r="D42" i="1"/>
  <c r="M41" i="1"/>
  <c r="L41" i="1"/>
  <c r="N41" i="1" s="1"/>
  <c r="J41" i="1"/>
  <c r="H41" i="1"/>
  <c r="E41" i="1"/>
  <c r="D41" i="1"/>
  <c r="M40" i="1"/>
  <c r="N40" i="1" s="1"/>
  <c r="L40" i="1"/>
  <c r="J40" i="1"/>
  <c r="H40" i="1"/>
  <c r="E40" i="1"/>
  <c r="D40" i="1"/>
  <c r="M39" i="1"/>
  <c r="L39" i="1"/>
  <c r="H39" i="1"/>
  <c r="E39" i="1"/>
  <c r="D39" i="1"/>
  <c r="M38" i="1"/>
  <c r="L38" i="1"/>
  <c r="N38" i="1" s="1"/>
  <c r="H38" i="1"/>
  <c r="E38" i="1"/>
  <c r="D38" i="1"/>
  <c r="M37" i="1"/>
  <c r="N37" i="1" s="1"/>
  <c r="L37" i="1"/>
  <c r="K37" i="1"/>
  <c r="J37" i="1"/>
  <c r="H37" i="1"/>
  <c r="E37" i="1"/>
  <c r="D37" i="1"/>
  <c r="M36" i="1"/>
  <c r="N36" i="1" s="1"/>
  <c r="L36" i="1"/>
  <c r="J36" i="1"/>
  <c r="H36" i="1"/>
  <c r="E36" i="1"/>
  <c r="D36" i="1"/>
  <c r="M35" i="1"/>
  <c r="L35" i="1"/>
  <c r="J35" i="1"/>
  <c r="H35" i="1"/>
  <c r="E35" i="1"/>
  <c r="D35" i="1"/>
  <c r="M34" i="1"/>
  <c r="L34" i="1"/>
  <c r="K34" i="1"/>
  <c r="J34" i="1"/>
  <c r="H34" i="1"/>
  <c r="E34" i="1"/>
  <c r="D34" i="1"/>
  <c r="M33" i="1"/>
  <c r="L33" i="1"/>
  <c r="K33" i="1"/>
  <c r="J33" i="1"/>
  <c r="H33" i="1"/>
  <c r="E33" i="1"/>
  <c r="D33" i="1"/>
  <c r="M32" i="1"/>
  <c r="L32" i="1"/>
  <c r="K32" i="1"/>
  <c r="J32" i="1"/>
  <c r="H32" i="1"/>
  <c r="E32" i="1"/>
  <c r="D32" i="1"/>
  <c r="M31" i="1"/>
  <c r="N31" i="1" s="1"/>
  <c r="L31" i="1"/>
  <c r="K31" i="1"/>
  <c r="J31" i="1"/>
  <c r="H31" i="1"/>
  <c r="E31" i="1"/>
  <c r="D31" i="1"/>
  <c r="M30" i="1"/>
  <c r="L30" i="1"/>
  <c r="K30" i="1"/>
  <c r="H30" i="1"/>
  <c r="E30" i="1"/>
  <c r="D30" i="1"/>
  <c r="M29" i="1"/>
  <c r="N29" i="1" s="1"/>
  <c r="L29" i="1"/>
  <c r="K29" i="1"/>
  <c r="J29" i="1"/>
  <c r="H29" i="1"/>
  <c r="G29" i="1"/>
  <c r="E29" i="1"/>
  <c r="D29" i="1"/>
  <c r="M28" i="1"/>
  <c r="L28" i="1"/>
  <c r="J28" i="1"/>
  <c r="H28" i="1"/>
  <c r="E28" i="1"/>
  <c r="D28" i="1"/>
  <c r="N27" i="1"/>
  <c r="M27" i="1"/>
  <c r="L27" i="1"/>
  <c r="J27" i="1"/>
  <c r="H27" i="1"/>
  <c r="E27" i="1"/>
  <c r="D27" i="1"/>
  <c r="M26" i="1"/>
  <c r="L26" i="1"/>
  <c r="N26" i="1" s="1"/>
  <c r="K26" i="1"/>
  <c r="D26" i="1"/>
  <c r="M25" i="1"/>
  <c r="N25" i="1" s="1"/>
  <c r="L25" i="1"/>
  <c r="H25" i="1"/>
  <c r="E25" i="1"/>
  <c r="D25" i="1"/>
  <c r="M24" i="1"/>
  <c r="L24" i="1"/>
  <c r="K24" i="1"/>
  <c r="J24" i="1"/>
  <c r="H24" i="1"/>
  <c r="G24" i="1"/>
  <c r="E24" i="1"/>
  <c r="D24" i="1"/>
  <c r="M23" i="1"/>
  <c r="L23" i="1"/>
  <c r="N23" i="1" s="1"/>
  <c r="H23" i="1"/>
  <c r="G23" i="1"/>
  <c r="E23" i="1"/>
  <c r="D23" i="1"/>
  <c r="N22" i="1"/>
  <c r="M22" i="1"/>
  <c r="L22" i="1"/>
  <c r="K22" i="1"/>
  <c r="H22" i="1"/>
  <c r="E22" i="1"/>
  <c r="D22" i="1"/>
  <c r="M21" i="1"/>
  <c r="L21" i="1"/>
  <c r="K21" i="1"/>
  <c r="D21" i="1"/>
  <c r="M20" i="1"/>
  <c r="N20" i="1" s="1"/>
  <c r="L20" i="1"/>
  <c r="K20" i="1"/>
  <c r="J20" i="1"/>
  <c r="H20" i="1"/>
  <c r="G20" i="1"/>
  <c r="E20" i="1"/>
  <c r="N19" i="1"/>
  <c r="M19" i="1"/>
  <c r="L19" i="1"/>
  <c r="J19" i="1"/>
  <c r="H19" i="1"/>
  <c r="E19" i="1"/>
  <c r="D19" i="1"/>
  <c r="M18" i="1"/>
  <c r="L18" i="1"/>
  <c r="H18" i="1"/>
  <c r="D18" i="1"/>
  <c r="N17" i="1"/>
  <c r="M17" i="1"/>
  <c r="L17" i="1"/>
  <c r="K17" i="1"/>
  <c r="J17" i="1"/>
  <c r="H17" i="1"/>
  <c r="D17" i="1"/>
  <c r="M16" i="1"/>
  <c r="L16" i="1"/>
  <c r="J16" i="1"/>
  <c r="H16" i="1"/>
  <c r="E16" i="1"/>
  <c r="D16" i="1"/>
  <c r="M15" i="1"/>
  <c r="N15" i="1" s="1"/>
  <c r="L15" i="1"/>
  <c r="J15" i="1"/>
  <c r="H15" i="1"/>
  <c r="E15" i="1"/>
  <c r="D15" i="1"/>
  <c r="M14" i="1"/>
  <c r="L14" i="1"/>
  <c r="K14" i="1"/>
  <c r="J14" i="1"/>
  <c r="D14" i="1"/>
  <c r="M13" i="1"/>
  <c r="L13" i="1"/>
  <c r="K13" i="1"/>
  <c r="J13" i="1"/>
  <c r="H13" i="1"/>
  <c r="G13" i="1"/>
  <c r="E13" i="1"/>
  <c r="D13" i="1"/>
  <c r="M12" i="1"/>
  <c r="L12" i="1"/>
  <c r="J12" i="1"/>
  <c r="H12" i="1"/>
  <c r="E12" i="1"/>
  <c r="D12" i="1"/>
  <c r="M11" i="1"/>
  <c r="N11" i="1" s="1"/>
  <c r="L11" i="1"/>
  <c r="J11" i="1"/>
  <c r="H11" i="1"/>
  <c r="D11" i="1"/>
  <c r="M10" i="1"/>
  <c r="L10" i="1"/>
  <c r="H10" i="1"/>
  <c r="D10" i="1"/>
  <c r="M9" i="1"/>
  <c r="N9" i="1" s="1"/>
  <c r="L9" i="1"/>
  <c r="H9" i="1"/>
  <c r="D9" i="1"/>
  <c r="M8" i="1"/>
  <c r="L8" i="1"/>
  <c r="J8" i="1"/>
  <c r="H8" i="1"/>
  <c r="G8" i="1"/>
  <c r="E8" i="1"/>
  <c r="M7" i="1"/>
  <c r="N7" i="1" s="1"/>
  <c r="L7" i="1"/>
  <c r="J7" i="1"/>
  <c r="H7" i="1"/>
  <c r="G7" i="1"/>
  <c r="F7" i="1"/>
  <c r="E7" i="1"/>
  <c r="M6" i="1"/>
  <c r="N6" i="1" s="1"/>
  <c r="L6" i="1"/>
  <c r="K6" i="1"/>
  <c r="G6" i="1"/>
  <c r="E6" i="1"/>
  <c r="N45" i="1" l="1"/>
  <c r="N54" i="1"/>
  <c r="N30" i="1"/>
  <c r="N77" i="1"/>
  <c r="N49" i="1"/>
  <c r="N74" i="1"/>
  <c r="N66" i="1"/>
  <c r="N16" i="1"/>
  <c r="N33" i="1"/>
  <c r="N35" i="1"/>
  <c r="N28" i="1"/>
  <c r="N24" i="1"/>
  <c r="N10" i="1"/>
  <c r="N48" i="1"/>
  <c r="N8" i="1"/>
  <c r="N12" i="1"/>
  <c r="N42" i="1"/>
  <c r="N62" i="1"/>
  <c r="N75" i="1"/>
  <c r="N21" i="1"/>
  <c r="N32" i="1"/>
  <c r="N18" i="1"/>
  <c r="N13" i="1"/>
  <c r="N14" i="1"/>
  <c r="N34" i="1"/>
  <c r="N39" i="1"/>
  <c r="N64" i="1"/>
  <c r="G11" i="6"/>
  <c r="G11" i="14"/>
  <c r="G11" i="20"/>
  <c r="G11" i="28"/>
  <c r="G11" i="76"/>
  <c r="F10" i="80"/>
  <c r="G10" i="10"/>
  <c r="G10" i="26"/>
  <c r="F11" i="63"/>
  <c r="F9" i="67"/>
  <c r="F10" i="69"/>
  <c r="F9" i="6"/>
  <c r="G11" i="10"/>
  <c r="F9" i="12"/>
  <c r="F9" i="14"/>
  <c r="F8" i="16"/>
  <c r="F9" i="18"/>
  <c r="F9" i="20"/>
  <c r="F8" i="22"/>
  <c r="G11" i="26"/>
  <c r="F9" i="28"/>
  <c r="F9" i="32"/>
  <c r="F11" i="44"/>
  <c r="F11" i="48"/>
  <c r="F9" i="50"/>
  <c r="F8" i="52"/>
  <c r="F10" i="54"/>
  <c r="F9" i="56"/>
  <c r="F12" i="62"/>
  <c r="F9" i="66"/>
  <c r="F8" i="68"/>
  <c r="F11" i="74"/>
  <c r="F9" i="76"/>
  <c r="F11" i="78"/>
  <c r="F12" i="80"/>
  <c r="F9" i="5"/>
  <c r="G9" i="6"/>
  <c r="F10" i="11"/>
  <c r="G9" i="12"/>
  <c r="F8" i="13"/>
  <c r="G9" i="14"/>
  <c r="G8" i="16"/>
  <c r="F8" i="17"/>
  <c r="G9" i="18"/>
  <c r="G9" i="20"/>
  <c r="G8" i="22"/>
  <c r="F9" i="23"/>
  <c r="F10" i="27"/>
  <c r="F9" i="31"/>
  <c r="F10" i="35"/>
  <c r="F9" i="37"/>
  <c r="F9" i="39"/>
  <c r="F10" i="43"/>
  <c r="F10" i="47"/>
  <c r="G11" i="48"/>
  <c r="F8" i="49"/>
  <c r="G9" i="50"/>
  <c r="F8" i="51"/>
  <c r="F11" i="53"/>
  <c r="G10" i="54"/>
  <c r="F8" i="55"/>
  <c r="F8" i="57"/>
  <c r="G12" i="62"/>
  <c r="G11" i="74"/>
  <c r="F12" i="77"/>
  <c r="G11" i="78"/>
  <c r="F8" i="79"/>
  <c r="G12" i="80"/>
  <c r="F8" i="81"/>
  <c r="F9" i="10"/>
  <c r="F11" i="18"/>
  <c r="F10" i="22"/>
  <c r="G9" i="23"/>
  <c r="F8" i="24"/>
  <c r="F9" i="26"/>
  <c r="F9" i="30"/>
  <c r="F11" i="32"/>
  <c r="F9" i="34"/>
  <c r="G9" i="37"/>
  <c r="F8" i="38"/>
  <c r="F9" i="42"/>
  <c r="G10" i="43"/>
  <c r="F8" i="44"/>
  <c r="F9" i="46"/>
  <c r="G10" i="47"/>
  <c r="F8" i="48"/>
  <c r="F10" i="52"/>
  <c r="G9" i="59"/>
  <c r="F9" i="62"/>
  <c r="F9" i="70"/>
  <c r="G9" i="73"/>
  <c r="F9" i="80"/>
  <c r="F11" i="5"/>
  <c r="F12" i="11"/>
  <c r="F10" i="13"/>
  <c r="F9" i="15"/>
  <c r="F10" i="17"/>
  <c r="G11" i="18"/>
  <c r="F8" i="19"/>
  <c r="F9" i="21"/>
  <c r="G8" i="24"/>
  <c r="F8" i="25"/>
  <c r="F12" i="27"/>
  <c r="F9" i="29"/>
  <c r="F11" i="31"/>
  <c r="G11" i="32"/>
  <c r="F8" i="33"/>
  <c r="F9" i="45"/>
  <c r="F10" i="49"/>
  <c r="F10" i="51"/>
  <c r="G10" i="52"/>
  <c r="F8" i="53"/>
  <c r="F10" i="55"/>
  <c r="F10" i="57"/>
  <c r="F10" i="63"/>
  <c r="F8" i="65"/>
  <c r="G11" i="66"/>
  <c r="F8" i="67"/>
  <c r="F9" i="69"/>
  <c r="F10" i="75"/>
  <c r="G11" i="5"/>
  <c r="G12" i="11"/>
  <c r="F8" i="12"/>
  <c r="G10" i="13"/>
  <c r="F8" i="14"/>
  <c r="G10" i="17"/>
  <c r="F8" i="18"/>
  <c r="G8" i="19"/>
  <c r="F8" i="20"/>
  <c r="G12" i="27"/>
  <c r="F8" i="28"/>
  <c r="G11" i="31"/>
  <c r="F8" i="32"/>
  <c r="G10" i="49"/>
  <c r="F9" i="54"/>
  <c r="G10" i="55"/>
  <c r="F8" i="56"/>
  <c r="G10" i="57"/>
  <c r="F8" i="58"/>
  <c r="F10" i="60"/>
  <c r="F11" i="62"/>
  <c r="G8" i="65"/>
  <c r="F8" i="66"/>
  <c r="G10" i="75"/>
  <c r="F8" i="5"/>
  <c r="F11" i="29"/>
  <c r="G11" i="30"/>
  <c r="F10" i="33"/>
  <c r="F9" i="35"/>
  <c r="F8" i="37"/>
  <c r="F8" i="39"/>
  <c r="F8" i="41"/>
  <c r="F9" i="43"/>
  <c r="F11" i="45"/>
  <c r="F9" i="47"/>
  <c r="F10" i="53"/>
  <c r="G8" i="58"/>
  <c r="F8" i="59"/>
  <c r="G10" i="60"/>
  <c r="F8" i="61"/>
  <c r="F12" i="63"/>
  <c r="F11" i="69"/>
  <c r="G11" i="70"/>
  <c r="F8" i="71"/>
  <c r="G11" i="72"/>
  <c r="F8" i="73"/>
  <c r="F11" i="77"/>
  <c r="F12" i="79"/>
  <c r="F12" i="81"/>
  <c r="G10" i="25"/>
  <c r="F10" i="28"/>
  <c r="G11" i="29"/>
  <c r="F8" i="30"/>
  <c r="F10" i="32"/>
  <c r="G10" i="33"/>
  <c r="F8" i="34"/>
  <c r="G8" i="41"/>
  <c r="F8" i="42"/>
  <c r="F12" i="44"/>
  <c r="G11" i="45"/>
  <c r="F8" i="46"/>
  <c r="F9" i="52"/>
  <c r="G8" i="61"/>
  <c r="F8" i="62"/>
  <c r="G12" i="63"/>
  <c r="F8" i="64"/>
  <c r="F10" i="66"/>
  <c r="F9" i="68"/>
  <c r="G11" i="69"/>
  <c r="F8" i="70"/>
  <c r="G8" i="71"/>
  <c r="F8" i="72"/>
  <c r="F10" i="76"/>
  <c r="G12" i="79"/>
  <c r="F8" i="80"/>
  <c r="G12" i="81"/>
</calcChain>
</file>

<file path=xl/sharedStrings.xml><?xml version="1.0" encoding="utf-8"?>
<sst xmlns="http://schemas.openxmlformats.org/spreadsheetml/2006/main" count="4495" uniqueCount="604">
  <si>
    <t>COMPARATIVO DE PRECIOS 2026 · LA MINA DE CHAMARTÍN 2 · PRODUCTOS CON SUBIDAS</t>
  </si>
  <si>
    <t>CATEGORÍA</t>
  </si>
  <si>
    <t>PROVEEDOR</t>
  </si>
  <si>
    <t>PRODUCTO (ver hoja)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</si>
  <si>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</si>
  <si>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</si>
  <si>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</si>
  <si>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</si>
  <si>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</si>
  <si>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</si>
  <si>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</si>
  <si>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</si>
  <si>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PRECIO INICIAL</t>
  </si>
  <si>
    <t>PRECIO ACTUAL</t>
  </si>
  <si>
    <t>VARIACIÓN TOTAL %</t>
  </si>
  <si>
    <t>Nº SUBIDAS</t>
  </si>
  <si>
    <t>CAMBIOS DE PRECIO (mes a mes)</t>
  </si>
  <si>
    <t>ESTADO</t>
  </si>
  <si>
    <t>CARNE</t>
  </si>
  <si>
    <t>CARNICAS OPC / CRNAS SERVAN</t>
  </si>
  <si>
    <t>MORCILLA ASTURIANA</t>
  </si>
  <si>
    <t>ABR 8,00 → AGO 9,00 (+12,5%)</t>
  </si>
  <si>
    <t>SUBE</t>
  </si>
  <si>
    <t>ENVASADO / BEBIDA / OTROS</t>
  </si>
  <si>
    <t>VINS DES DIEUX</t>
  </si>
  <si>
    <t>CANTALAPIEDRA CHIVIRITERO 2023</t>
  </si>
  <si>
    <t>ABR 15,50 → MAY 16,90 (+9,0%)</t>
  </si>
  <si>
    <t>CONSERVAS Y SALAZONES JIMENEZ</t>
  </si>
  <si>
    <t>ANCHOAS CANTABRICO RO 550 ETIQUETA ROJA</t>
  </si>
  <si>
    <t>ABR 18,96 → MAY 20,60 (+8,6%)</t>
  </si>
  <si>
    <t>SUBMARINER</t>
  </si>
  <si>
    <t>ZACAPA X O</t>
  </si>
  <si>
    <t>ENE 122,71 → MAY 132,94 (+8,3%)</t>
  </si>
  <si>
    <t>CALIDOSCOPI</t>
  </si>
  <si>
    <t>OREMUS 3</t>
  </si>
  <si>
    <t>ENE 27,40 → MAY 29,25 (+6,8%)</t>
  </si>
  <si>
    <t>DITEMA (DIST. TENA)</t>
  </si>
  <si>
    <t>GINEBRA MARTIN MILLER 3/4</t>
  </si>
  <si>
    <t>ENE 15,10 → MAY 16,10 (+6,6%)</t>
  </si>
  <si>
    <t>VOLDIS</t>
  </si>
  <si>
    <t>AQUARADE ZERO NARANJA VIDRIO 35CL</t>
  </si>
  <si>
    <t>ENE 31,92 → FEB 33,84 (+6,0%)</t>
  </si>
  <si>
    <t>VENTRESCA BONITO EXTRA</t>
  </si>
  <si>
    <t>MAY 5,56 → JUL 5,86 (+5,4%)</t>
  </si>
  <si>
    <t>EIF DISTRIBUCIONES</t>
  </si>
  <si>
    <t>SOLAN CABRAS CON GAS</t>
  </si>
  <si>
    <t>ENE 25,44 → JUL 26,80 (+5,3%)</t>
  </si>
  <si>
    <t>AGUA SOLAN CABRAS VIDRIO 50CL</t>
  </si>
  <si>
    <t>MAY 11,68 → JUL 12,30 (+5,3%)</t>
  </si>
  <si>
    <t>AGUA CON GAS SOLAN CABRAS VIDRIO 33CL</t>
  </si>
  <si>
    <t>MAY 25,46 → JUL 26,81 (+5,3%)</t>
  </si>
  <si>
    <t>MOJAMA EXTRA SUPERIOR CHANCA</t>
  </si>
  <si>
    <t>ENE 34,60 → MAY 36,40 (+5,2%)</t>
  </si>
  <si>
    <t>BITTER KAS VIDRIO 20CL</t>
  </si>
  <si>
    <t>ENE 37,68 → MAY 39,60 (+5,1%)</t>
  </si>
  <si>
    <t>AQUARADE ZERO LIMON VIDRIO 35CL</t>
  </si>
  <si>
    <t>ENE 31,92 → FEB 33,84 (+6,0%) · MAY 33,84 → JUL 33,54 (-0,9%)</t>
  </si>
  <si>
    <t>EL ESCRIBANO</t>
  </si>
  <si>
    <t>LOMO BELLOTA 100 SM</t>
  </si>
  <si>
    <t>MAY 48,60 → JUL 49,80 (+2,5%) · JUL 49,80 → AGO 51,00 (+2,4%)</t>
  </si>
  <si>
    <t>COCA COLA ZERO NAC</t>
  </si>
  <si>
    <t>ENE 20,78 → AGO 21,78 (+4,8%)</t>
  </si>
  <si>
    <t>MUNDELA</t>
  </si>
  <si>
    <t>MANZANILLA SOLEAR 3/8</t>
  </si>
  <si>
    <t>ENE 4,22 → FEB 4,42 (+4,7%)</t>
  </si>
  <si>
    <t>DELIPAN</t>
  </si>
  <si>
    <t>PICOS ARTESANOS 500 GR</t>
  </si>
  <si>
    <t>FEB 10,97 → ABR 11,48 (+4,6%)</t>
  </si>
  <si>
    <t>ANCHOAS CANTABRICO GRAN RESERVA</t>
  </si>
  <si>
    <t>FEB 27,46 → ABR 28,66 (+4,4%)</t>
  </si>
  <si>
    <t>PEPE YLLERA 3/4</t>
  </si>
  <si>
    <t>ENE 7,15 → FEB 7,46 (+4,3%)</t>
  </si>
  <si>
    <t>SCHWEPPES TONICA 28 UDS</t>
  </si>
  <si>
    <t>ENE 23,84 → AGO 24,84 (+4,2%)</t>
  </si>
  <si>
    <t>CASERA LIMON 1L</t>
  </si>
  <si>
    <t>ENE 23,64 → FEB 24,61 (+4,1%)</t>
  </si>
  <si>
    <t>CASERA GASEOSA 1L</t>
  </si>
  <si>
    <t>ENE 20,64 → FEB 21,48 (+4,1%)</t>
  </si>
  <si>
    <t>PAN MOLDE BRIOCHE</t>
  </si>
  <si>
    <t>FEB 84,70 → ABR 88,09 (+4,0%)</t>
  </si>
  <si>
    <t>PACO GARCIA CRIANZA 3/4</t>
  </si>
  <si>
    <t>FEB 5,10 → MAY 5,30 (+3,9%)</t>
  </si>
  <si>
    <t>RAMON BILBAO BLANCO VERDEJO 3/4</t>
  </si>
  <si>
    <t>FEB 4,50 → MAY 4,67 (+3,8%)</t>
  </si>
  <si>
    <t>GODELLO VINAREDO</t>
  </si>
  <si>
    <t>FEB 6,78 → MAY 7,03 (+3,7%)</t>
  </si>
  <si>
    <t>SENORIO FITERO ROBLE</t>
  </si>
  <si>
    <t>FEB 2,72 → MAY 2,82 (+3,7%)</t>
  </si>
  <si>
    <t>CORIMBO</t>
  </si>
  <si>
    <t>FEB 13,42 → MAY 13,91 (+3,7%)</t>
  </si>
  <si>
    <t>SCHWEPPES TONICA VIDRIO 20CL</t>
  </si>
  <si>
    <t>ENE 30,80 → FEB 31,92 (+3,6%)</t>
  </si>
  <si>
    <t>RODA RESERVA 3/4</t>
  </si>
  <si>
    <t>FEB 20,63 → MAY 21,38 (+3,6%)</t>
  </si>
  <si>
    <t>ALBARINO MAR FRADES</t>
  </si>
  <si>
    <t>FEB 11,02 → MAY 11,42 (+3,6%)</t>
  </si>
  <si>
    <t>VINA MAYOR VERDEJO</t>
  </si>
  <si>
    <t>FEB 5,88 → MAY 6,08 (+3,4%)</t>
  </si>
  <si>
    <t>SEVEN UP FREE VIDRIO 20CL</t>
  </si>
  <si>
    <t>ENE 22,56 → FEB 23,28 (+3,2%)</t>
  </si>
  <si>
    <t>LIPTON ZERO LIMON VIDRIO 35CL</t>
  </si>
  <si>
    <t>ENE 31,92 → FEB 32,88 (+3,0%)</t>
  </si>
  <si>
    <t>R B EDI LIM EARLY HARVEST ROSADO</t>
  </si>
  <si>
    <t>FEB 7,69 → MAY 7,88 (+2,5%)</t>
  </si>
  <si>
    <t>POMMERY ROYAL BRUT 3/4</t>
  </si>
  <si>
    <t>FEB 35,49 → MAY 36,35 (+2,4%)</t>
  </si>
  <si>
    <t>GODELLO MAR FRADES</t>
  </si>
  <si>
    <t>FEB 17,63 → MAY 18,03 (+2,3%)</t>
  </si>
  <si>
    <t>SCHWEPPES LIMON LOW CAL VIDRIO 20CL</t>
  </si>
  <si>
    <t>ENE 25,48 → FEB 26,04 (+2,2%)</t>
  </si>
  <si>
    <t>SCHWEPPES NARANJA LOW CAL VIDRIO 20CL</t>
  </si>
  <si>
    <t>MAGOASE</t>
  </si>
  <si>
    <t>CUAD A O SUAVE GUADALIMAR 5L</t>
  </si>
  <si>
    <t>ENE 23,95 → FEB 24,95 (+4,2%) · ABR 24,95 → MAY 23,95 (-4,0%) · JUL 23,95 → AGO 24,45 (+2,1%)</t>
  </si>
  <si>
    <t>VINAGRE JEREZ RESERVA AL MOSCATEL</t>
  </si>
  <si>
    <t>FEB 5,33 → MAY 5,44 (+2,1%)</t>
  </si>
  <si>
    <t>FCO JAVIER LABRADOR</t>
  </si>
  <si>
    <t>FLOR ALCACHOFA CONFITADA EN AOVE</t>
  </si>
  <si>
    <t>FEB 22,45 → ABR 22,90 (+2,0%)</t>
  </si>
  <si>
    <t>BARBADILLO VI MOSCATO FRIZZANTE</t>
  </si>
  <si>
    <t>FEB 5,52 → MAY 5,63 (+2,0%)</t>
  </si>
  <si>
    <t>MAESTRO DOBEL DIAMANTE REPOSADO 0,70</t>
  </si>
  <si>
    <t>FEB 54,14 → MAY 55,17 (+1,9%)</t>
  </si>
  <si>
    <t>IZAGUIRRE BOX 20L</t>
  </si>
  <si>
    <t>ENE 118,17 → FEB 116,18 (-1,7%) · FEB 116,18 → JUL 120,15 (+3,4%)</t>
  </si>
  <si>
    <t>MACALLAN 12</t>
  </si>
  <si>
    <t>FEB 55,20 → MAY 56,01 (+1,5%)</t>
  </si>
  <si>
    <t>ABSOLUT 0,70</t>
  </si>
  <si>
    <t>FEB 11,68 → MAY 11,85 (+1,5%)</t>
  </si>
  <si>
    <t>BARCELO ANEJO</t>
  </si>
  <si>
    <t>FEB 12,56 → JUL 12,72 (+1,3%)</t>
  </si>
  <si>
    <t>A GIRASOL ALTO OLEICO</t>
  </si>
  <si>
    <t>JUL 44,95 → AGO 45,45 (+1,1%)</t>
  </si>
  <si>
    <t>HAVANA 7 ANOS</t>
  </si>
  <si>
    <t>MAY 18,65 → JUL 18,81 (+0,9%)</t>
  </si>
  <si>
    <t>BEEFEATER 0,70</t>
  </si>
  <si>
    <t>FEB 12,20 → MAY 12,30 (+0,8%)</t>
  </si>
  <si>
    <t>TRUS CRIANZA 3/4</t>
  </si>
  <si>
    <t>FEB 9,71 → MAY 9,78 (+0,7%)</t>
  </si>
  <si>
    <t>BRUGAL 0,70</t>
  </si>
  <si>
    <t>FEB 11,60 → MAY 11,66 (+0,5%)</t>
  </si>
  <si>
    <t>LARIOS ESPECIAL 12</t>
  </si>
  <si>
    <t>ENE 12,06 → JUL 12,12 (+0,5%)</t>
  </si>
  <si>
    <t>LARIOS 1L</t>
  </si>
  <si>
    <t>ENE 10,27 → JUL 10,32 (+0,5%)</t>
  </si>
  <si>
    <t>SEAGRAMS 0,70</t>
  </si>
  <si>
    <t>FEB 13,32 → MAY 13,38 (+0,5%)</t>
  </si>
  <si>
    <t>DYC 8 ANOS 0,70</t>
  </si>
  <si>
    <t>ENE 10,64 → MAY 10,67 (+0,3%)</t>
  </si>
  <si>
    <t>AGROFOOD</t>
  </si>
  <si>
    <t>ENTRECOT T MORUCHA</t>
  </si>
  <si>
    <t>JUL 27,50 → AGO 27,57 (+0,3%)</t>
  </si>
  <si>
    <t>MEDALLON P SOLOMILLO VACUNO</t>
  </si>
  <si>
    <t>JUL 36,90 → AGO 36,97 (+0,2%)</t>
  </si>
  <si>
    <t>CRUZ ALBA ROBLE 3/4</t>
  </si>
  <si>
    <t>FEB 7,47 → MAY 7,48 (+0,1%)</t>
  </si>
  <si>
    <t>HENDRICKS</t>
  </si>
  <si>
    <t>ENE 24,43 → FEB 24,46 (+0,1%)</t>
  </si>
  <si>
    <t>MANUEL AMBRES E HIJOS</t>
  </si>
  <si>
    <t>RACION CECINA PREMIUM 100GR</t>
  </si>
  <si>
    <t>FEB 7,35 → ABR 6,90 (-6,1%) · ABR 6,90 → MAY 7,35 (+6,5%)</t>
  </si>
  <si>
    <t>SUBIDA INTERMEDIA</t>
  </si>
  <si>
    <t>CARNICAS MEAT</t>
  </si>
  <si>
    <t>SOLOMILLO VACA</t>
  </si>
  <si>
    <t>MAY 35,00 → JUL 34,77 (-0,6%) · JUL 34,77 → AGO 35,00 (+0,6%)</t>
  </si>
  <si>
    <t>RACION CECINA PREMIUM 100GR WAGYU</t>
  </si>
  <si>
    <t>FEB 16,00 → ABR 7,35 (-54,1%) · ABR 7,35 → MAY 16,00 (+117,7%)</t>
  </si>
  <si>
    <t>FRUTA / VERDURA</t>
  </si>
  <si>
    <t>FRUTERIA D'ALISTE</t>
  </si>
  <si>
    <t>LIMON</t>
  </si>
  <si>
    <t>FEB 2,15 → ABR 2,83 (+31,8%) · ABR 2,83 → MAY 3,30 (+16,5%)</t>
  </si>
  <si>
    <t>SUBE (fresco)</t>
  </si>
  <si>
    <t>MARISCO / PESCADO FRESCO</t>
  </si>
  <si>
    <t>AGMASFOOD</t>
  </si>
  <si>
    <t>BOQUERON GORDO</t>
  </si>
  <si>
    <t>ENE 8,80 → FEB 10,30 (+17,0%) · ABR 9,70 → JUL 11,95 (+23,2%)</t>
  </si>
  <si>
    <t>JOSE MANUEL ROMERO PLAZA</t>
  </si>
  <si>
    <t>PARROCHAS</t>
  </si>
  <si>
    <t>MAY 6,00 → JUL 7,40 (+23,4%)</t>
  </si>
  <si>
    <t>ENE 9,09 → FEB 8,18 (-10,0%) · MAY 8,98 → JUL 10,62 (+18,4%)</t>
  </si>
  <si>
    <t>PESCARUM</t>
  </si>
  <si>
    <t>QUISQUILLA</t>
  </si>
  <si>
    <t>ABR 51,00 → MAY 58,00 (+13,7%)</t>
  </si>
  <si>
    <t>LANGOSTINOS</t>
  </si>
  <si>
    <t>Sin cambios mes a mes superiores al umbral (subida gradual)</t>
  </si>
  <si>
    <t>CIGALAS</t>
  </si>
  <si>
    <t>FEB 68,00 → ABR 59,00 (-13,2%) · ABR 59,00 → MAY 70,00 (+18,6%)</t>
  </si>
  <si>
    <t>ALISTADOS</t>
  </si>
  <si>
    <t>JUL 78,00 → AGO 88,00 (+12,8%)</t>
  </si>
  <si>
    <t>SUBIDA INTERMEDIA (fresco)</t>
  </si>
  <si>
    <t>CARABINEROS</t>
  </si>
  <si>
    <t>ABR 96,33 → MAY 108,00 (+12,1%)</t>
  </si>
  <si>
    <t>TOMATE IBERICO</t>
  </si>
  <si>
    <t>FEB 5,80 → ABR 7,45 (+28,4%) · ABR 7,45 → MAY 8,50 (+14,1%) · MAY 8,50 → JUL 5,80 (-31,8%)</t>
  </si>
  <si>
    <t>CALAMARES</t>
  </si>
  <si>
    <t>ENE 24,00 → FEB 21,50 (-10,4%) · FEB 21,50 → ABR 24,00 (+11,6%) · ABR 24,00 → MAY 21,50 (-10,4%)</t>
  </si>
  <si>
    <t>SUBIÓ Y BAJÓ (fresco)</t>
  </si>
  <si>
    <t>NAVAJAS</t>
  </si>
  <si>
    <t>ENE 28,62 → FEB 35,10 (+22,6%) · FEB 35,10 → ABR 28,00 (-20,2%)</t>
  </si>
  <si>
    <t>MARTIN CANEDA</t>
  </si>
  <si>
    <t>BERBERECHO</t>
  </si>
  <si>
    <t>ENE 61,50 → FEB 22,67 (-63,1%) · FEB 22,67 → ABR 48,33 (+113,2%) · ABR 48,33 → MAY 95,00 (+96,6%) · MAY 95,00 → JUL 24,50 (-74,2%)</t>
  </si>
  <si>
    <t>TODOS LOS PRODUCTOS COMPRADOS EN 2 O MÁS MESES · PRECIO MEDIO UNITARIO POR MES</t>
  </si>
  <si>
    <t>PRODUCTO</t>
  </si>
  <si>
    <t>PRIMER PRECIO</t>
  </si>
  <si>
    <t>ÚLTIMO PRECIO</t>
  </si>
  <si>
    <t>VARIACIÓN %</t>
  </si>
  <si>
    <t>CAJAS CERDO IBERICO</t>
  </si>
  <si>
    <t>ESTABLE</t>
  </si>
  <si>
    <t>DESMIGADA COLA TORO EN SU JUGO A BA</t>
  </si>
  <si>
    <t>CHULETA CORDERO</t>
  </si>
  <si>
    <t>TERNERA MIXTA</t>
  </si>
  <si>
    <t>BAJA</t>
  </si>
  <si>
    <t>CHORIZO ASTURIANO</t>
  </si>
  <si>
    <t>FALDA TERNERA</t>
  </si>
  <si>
    <t>GALLINAS</t>
  </si>
  <si>
    <t>HUESO FRESCO</t>
  </si>
  <si>
    <t>HUESOS JAMON</t>
  </si>
  <si>
    <t>HUEVOS CORRAL</t>
  </si>
  <si>
    <t>MANOS CERDO</t>
  </si>
  <si>
    <t>MEDIA HUERVO</t>
  </si>
  <si>
    <t>MEDIA HUEVO</t>
  </si>
  <si>
    <t>MORCILLO TERNERA</t>
  </si>
  <si>
    <t>MORRO TERNERA</t>
  </si>
  <si>
    <t>OREJA CERDO</t>
  </si>
  <si>
    <t>PANCETA ADOBADA</t>
  </si>
  <si>
    <t>PANCETA FRESCA</t>
  </si>
  <si>
    <t>PATA TERNERA 2</t>
  </si>
  <si>
    <t>PECHUGA POLLO</t>
  </si>
  <si>
    <t>PICADA MIXTA</t>
  </si>
  <si>
    <t>POLLO ENTERO</t>
  </si>
  <si>
    <t>POLLO TROCEADO</t>
  </si>
  <si>
    <t>TOCINO IBERICO</t>
  </si>
  <si>
    <t>PEÑALASTALLAS</t>
  </si>
  <si>
    <t>MOLLEJAS CERDO</t>
  </si>
  <si>
    <t>MOLLEJAS CORDERO</t>
  </si>
  <si>
    <t>PINCHO MORUNO POLLO</t>
  </si>
  <si>
    <t>PINCHOS MORUNOS</t>
  </si>
  <si>
    <t>ROMERO ALVAREZ</t>
  </si>
  <si>
    <t>PRESA 100 IBERICA</t>
  </si>
  <si>
    <t>VENERO CLARO (CHAPTER ONE)</t>
  </si>
  <si>
    <t>LOMO VACA VENERO CLARO C/H</t>
  </si>
  <si>
    <t>ANTONIO DE MIGUEL</t>
  </si>
  <si>
    <t>PATO CEBADO FOIE RESTAURACION</t>
  </si>
  <si>
    <t>PAGO CARRAOVEJAS 2023</t>
  </si>
  <si>
    <t>ROMANICO 2023</t>
  </si>
  <si>
    <t>COCA-COLA</t>
  </si>
  <si>
    <t>COCACOLA PET2L C6</t>
  </si>
  <si>
    <t>COCACOLA VR237 C24</t>
  </si>
  <si>
    <t>COCACOLA ZER VR237 C24</t>
  </si>
  <si>
    <t>COCACOLA ZER ZER VR237 C24</t>
  </si>
  <si>
    <t>MINUTE MAID TOM VNR20 C24</t>
  </si>
  <si>
    <t>ANCHOAS CANTABRICO COSTERA</t>
  </si>
  <si>
    <t>MEJILLONES ESCABECHE RIAS GALLEGAS 44 125 6/8 VENGARCO</t>
  </si>
  <si>
    <t>DELIFLAUTA 17 PERRITO 90 UD</t>
  </si>
  <si>
    <t>DELIFLAUTA 17 PERRITO 90 UDS</t>
  </si>
  <si>
    <t>PICOS ARTESANOS 500GR</t>
  </si>
  <si>
    <t>PICOS GOURMET BOLSA 500GR</t>
  </si>
  <si>
    <t>PICOS SIN GLUTEN 20GR</t>
  </si>
  <si>
    <t>DISOLTRIGO</t>
  </si>
  <si>
    <t>24 PERLE NOIRE N2</t>
  </si>
  <si>
    <t>BOQUERON CASERO EN ACEITE</t>
  </si>
  <si>
    <t>BOQUERON EN VINAGRE PANDERETA</t>
  </si>
  <si>
    <t>CAVA BRUT NATURE GRAN CLAUSTRO</t>
  </si>
  <si>
    <t>CEPAS VELLAS GODEVAL</t>
  </si>
  <si>
    <t>CHARDONAY LIAS ECOLOGICO F ELEZ</t>
  </si>
  <si>
    <t>LAS MORADAS SENDA</t>
  </si>
  <si>
    <t>DON BOCARTE (CONS. SELECCIÓN)</t>
  </si>
  <si>
    <t>DON BOCARTE MEDIO PULPO 360 400 GR</t>
  </si>
  <si>
    <t>CINZANO PRO SPRITZ</t>
  </si>
  <si>
    <t>RED BULL</t>
  </si>
  <si>
    <t>RED BULL SIN AZUCAR</t>
  </si>
  <si>
    <t>PAPADA IBERICA SOBRE</t>
  </si>
  <si>
    <t>SALCHICHON BELLOTA SM</t>
  </si>
  <si>
    <t>SALCHICHON IBERICO</t>
  </si>
  <si>
    <t>ENRIQUE CAMPS</t>
  </si>
  <si>
    <t>TARTA CHOCOLATE</t>
  </si>
  <si>
    <t>TARTA QUESO</t>
  </si>
  <si>
    <t>FLOR ALCACHOFA CONFITADA</t>
  </si>
  <si>
    <t>CUADR A O V E GUADALIMAR 5L</t>
  </si>
  <si>
    <t>LATA A O V E AU LINGOTE TEMPRANO</t>
  </si>
  <si>
    <t>RACION J BELLOTA 100 100GR</t>
  </si>
  <si>
    <t>RAMON BILBAO VINEDOS ALTURA 3/4</t>
  </si>
  <si>
    <t>AGT BLANCO 3L QUEMEIRAS</t>
  </si>
  <si>
    <t>APEROL LITRO</t>
  </si>
  <si>
    <t>AZPILICUETA INSTINTO</t>
  </si>
  <si>
    <t>BACARDI 1L</t>
  </si>
  <si>
    <t>BALLANTINES 0,70</t>
  </si>
  <si>
    <t>BOMBAY SAPPHIRE 0,70</t>
  </si>
  <si>
    <t>CAMPARI 1L</t>
  </si>
  <si>
    <t>CINZANO PROSECCO SPRITZ</t>
  </si>
  <si>
    <t>CREMA ORUJO 3L MOS PAS</t>
  </si>
  <si>
    <t>GIN GVINE ET VERDE 0,70</t>
  </si>
  <si>
    <t>GIN MARTIN MILLERS 0,70</t>
  </si>
  <si>
    <t>GIN NORDES 0,70L</t>
  </si>
  <si>
    <t>GIN NORDES 1L</t>
  </si>
  <si>
    <t>GIN PUERTO INDIAS FRESA 0,70</t>
  </si>
  <si>
    <t>GIN ROKU</t>
  </si>
  <si>
    <t>GREY GOOSE VODKA 0,70</t>
  </si>
  <si>
    <t>HENDRICKS 0,70</t>
  </si>
  <si>
    <t>HIERBAS 3L MOS PAS</t>
  </si>
  <si>
    <t>J WALKER NEGRA 0,70</t>
  </si>
  <si>
    <t>J WALKER RED 0,70</t>
  </si>
  <si>
    <t>JAMESON 0,70</t>
  </si>
  <si>
    <t>JOSE CUERVO SILVER 0,70</t>
  </si>
  <si>
    <t>LICOR CAFE QUEMEIRAS 3L</t>
  </si>
  <si>
    <t>LICOR PECCATO LIMON 3L QUEMEIRAS</t>
  </si>
  <si>
    <t>LIMONCELO 3L BEREMOT</t>
  </si>
  <si>
    <t>MANZANA SIN 1L</t>
  </si>
  <si>
    <t>MARTINI BLANCO 1L</t>
  </si>
  <si>
    <t>MARTINI ROJO 1L</t>
  </si>
  <si>
    <t>MOJIGATO</t>
  </si>
  <si>
    <t>PACHARAN 3L MOS PAS</t>
  </si>
  <si>
    <t>RON BARCELO 0,70</t>
  </si>
  <si>
    <t>RUINART BLANC BLANC 0,75</t>
  </si>
  <si>
    <t>SANTA TERESA G RVA 0,70</t>
  </si>
  <si>
    <t>TEQUILA DON JULIO REPOSADO</t>
  </si>
  <si>
    <t>WHITE LABEL 0,70</t>
  </si>
  <si>
    <t>ZACAPA 23 ANOS 0,70</t>
  </si>
  <si>
    <t>CHAMPAGNE CHAVOST BLANC</t>
  </si>
  <si>
    <t>ALHAMBRA RESERVA 1925 VIDRIO 33CL</t>
  </si>
  <si>
    <t>MAHOU 0,0 TOSTADA VIDRIO 33CL</t>
  </si>
  <si>
    <t>MAHOU 5 ESTRELLAS SIN GLUTEN VIDRIO 33CL</t>
  </si>
  <si>
    <t>MAHOU 5 ESTRELLAS VIDRIO 33CL</t>
  </si>
  <si>
    <t>MAHOU RESERVA VIDRIO 33CL</t>
  </si>
  <si>
    <t>MAHOU SIN BARRIL 10L</t>
  </si>
  <si>
    <t>SCHWEPPES GINGER LOW CAL VIDRIO 20CL</t>
  </si>
  <si>
    <t>SCHWEPPES SELECTIO GINGER BEER VIDRIO 20CL</t>
  </si>
  <si>
    <t>SEVEN UP ZERO AXL VIDRIO 20CL</t>
  </si>
  <si>
    <t>TRINA NARANJA LOW CAL VIDRIO 20CL</t>
  </si>
  <si>
    <t>ZUMO VIDA PINA VIDRIO 20CL</t>
  </si>
  <si>
    <t>ZUMO VIDA TOMATE VIDRIO 20CL</t>
  </si>
  <si>
    <t>AGUACATE</t>
  </si>
  <si>
    <t>CALABACIN</t>
  </si>
  <si>
    <t>CEBOLLA BLANCA</t>
  </si>
  <si>
    <t>CEBOLLA NORMAL</t>
  </si>
  <si>
    <t>CEBOLLETA</t>
  </si>
  <si>
    <t>FLUCTÚA</t>
  </si>
  <si>
    <t>CEBOLLINO</t>
  </si>
  <si>
    <t>ENELDO</t>
  </si>
  <si>
    <t>GARBANZO</t>
  </si>
  <si>
    <t>LECHUGA BATAVIA</t>
  </si>
  <si>
    <t>NARANJA ZUMO</t>
  </si>
  <si>
    <t>PATATA AGRIA</t>
  </si>
  <si>
    <t>PATATA MONALISA</t>
  </si>
  <si>
    <t>PEREJIL</t>
  </si>
  <si>
    <t>PIMIENTO ROJO</t>
  </si>
  <si>
    <t>PUERROS</t>
  </si>
  <si>
    <t>REPOLLO</t>
  </si>
  <si>
    <t>TOMATE RAMA</t>
  </si>
  <si>
    <t>TOMILLO</t>
  </si>
  <si>
    <t>ZANAHORIA</t>
  </si>
  <si>
    <t>LA TOMATERIA DE CEA</t>
  </si>
  <si>
    <t>RAF IBERICO</t>
  </si>
  <si>
    <t>MAKRO</t>
  </si>
  <si>
    <t>LIMON 2A C 2/6 9KG</t>
  </si>
  <si>
    <t>PARRONDO (FRUTA/VERDURA)</t>
  </si>
  <si>
    <t>CEBOLLETAS</t>
  </si>
  <si>
    <t>PATATAS YAGO (I LOVE POTATO)</t>
  </si>
  <si>
    <t>SACO AGRIA NUEVA ALICANTE</t>
  </si>
  <si>
    <t>SACO MONALISA</t>
  </si>
  <si>
    <t>ALMEJA BABOSA GORDA</t>
  </si>
  <si>
    <t>ALMEJA JAPONICA ROJA</t>
  </si>
  <si>
    <t>ANGULA</t>
  </si>
  <si>
    <t>BERBERECHOS</t>
  </si>
  <si>
    <t>CARABINEROS 7/8</t>
  </si>
  <si>
    <t>GAMBA ROJA ALISTADA</t>
  </si>
  <si>
    <t>LOMO NEGRO SIN COLA LIMPIO</t>
  </si>
  <si>
    <t>PATAS PULPO</t>
  </si>
  <si>
    <t>CRUSTAPESCA</t>
  </si>
  <si>
    <t>COLA G</t>
  </si>
  <si>
    <t>GAMBA C</t>
  </si>
  <si>
    <t>GAMBA FR GG</t>
  </si>
  <si>
    <t>GAMBA FR M</t>
  </si>
  <si>
    <t>VENTRESCA</t>
  </si>
  <si>
    <t>COQUINA</t>
  </si>
  <si>
    <t>SUBIÓ Y BAJÓ</t>
  </si>
  <si>
    <t>CAMARON</t>
  </si>
  <si>
    <t>CENTOLLAS V / CAMARON T</t>
  </si>
  <si>
    <t>CHOCHAS GDA</t>
  </si>
  <si>
    <t>CHOCHAS GDA/LANGOSTINOS</t>
  </si>
  <si>
    <t>CHOCHAS TDA</t>
  </si>
  <si>
    <t>MEJILLONES</t>
  </si>
  <si>
    <t>PERCEBES GDO</t>
  </si>
  <si>
    <t>PESCADERIA PALACIO</t>
  </si>
  <si>
    <t>ALISTADO 15/20</t>
  </si>
  <si>
    <t>CHIRLAS</t>
  </si>
  <si>
    <t>COCOCHAS</t>
  </si>
  <si>
    <t>COQUINAS</t>
  </si>
  <si>
    <t>GAMBA ROJA</t>
  </si>
  <si>
    <t>MIXTO</t>
  </si>
  <si>
    <t>PERIKITO</t>
  </si>
  <si>
    <t>PULPO</t>
  </si>
  <si>
    <t>SAKU ATUN</t>
  </si>
  <si>
    <t>ZAMBURINAS</t>
  </si>
  <si>
    <t>NOTAS Y CRITERIOS</t>
  </si>
  <si>
    <t>Fuentes: ALBARANES ENERO/FEBRERO/ABRIL/MAYO 2026 (raíz 2026, de Adri), ALBARANES JULIO 2026 v3 y ALBARANES AGOSTO 2026 v1 (3t).</t>
  </si>
  <si>
    <t>Marzo: no hay Excel de marzo; solo aparecen 2 precios sueltos de Vins des Dieux. Junio: el archivo "ALBARANES JUNIO 2026" es una copia de mayo sin datos propios de junio, por eso no se usa.</t>
  </si>
  <si>
    <t>Precio comparado: precio unitario del albarán (P/U), sin IVA y antes de descuento. Si en un mes hay varios precios se usa la media, y en la hoja del producto se ven mínimo, medio y máximo.</t>
  </si>
  <si>
    <t>Coca-Cola: en julio el precio está por botella y en agosto por caja; los de agosto se han pasado a precio por botella (caja ÷ 24, PET 2L ÷ 6) para poder compararlos.</t>
  </si>
  <si>
    <t>Agrofood: desde julio/agosto el precio lleva sumado el "MER" (0,07 €/kg); se compara tal cual porque es lo que se paga.</t>
  </si>
  <si>
    <t>Se agrupan nombres del mismo producto escritos de forma distinta (p. ej. "ANCHOAS CANTABRICO COSTERA" y "... CESMAR PREMIUM 65/70"). No se mezclan variedades (zero/light, limón/naranja...).</t>
  </si>
  <si>
    <t>No se incluyen tasas de residuos, envases, portes, servicios logísticos, abonos ni regalos.</t>
  </si>
  <si>
    <t>Criterio SUBIDA: envasados, bebidas y carne → cualquier subida del precio medio entre el primer y el último mes con compras. Frescos (marisco, pescado, fruta y verdura) → solo si la media del último mes supera en más de un 10 % a la del primero; si varía más de un 15 % pero sin tendencia se marca FLUCTÚA.</t>
  </si>
  <si>
    <t>Cada mes, al cerrar el Excel de albaranes, se actualizará este comparativo con el nuevo mes.</t>
  </si>
  <si>
    <t>← Volver al resumen</t>
  </si>
  <si>
    <t>Proveedor: CARNICAS OPC / CRNAS SERVAN   ·   Categoría: CARNE</t>
  </si>
  <si>
    <t>Nombres en albaranes: MORCILLA ASTURIANA</t>
  </si>
  <si>
    <t>Producto envasado / tarifa: cualquier subida de precio unitario entre el primer y el último mes con compras se considera SUBIDA.</t>
  </si>
  <si>
    <t>MES</t>
  </si>
  <si>
    <t>Nº PRECIOS</t>
  </si>
  <si>
    <t>PRECIO MÍN.</t>
  </si>
  <si>
    <t>PRECIO MEDIO</t>
  </si>
  <si>
    <t>PRECIO MÁX.</t>
  </si>
  <si>
    <t>VAR. vs MES ANTERIOR</t>
  </si>
  <si>
    <t>VAR. vs PRIMER MES</t>
  </si>
  <si>
    <t>SUBIDA TOTAL</t>
  </si>
  <si>
    <t>DETALLE DE PRECIOS (una línea por precio distinto anotado en el Excel del mes)</t>
  </si>
  <si>
    <t>PRECIO</t>
  </si>
  <si>
    <t>CANTIDAD</t>
  </si>
  <si>
    <t>PRODUCTO (tal cual en el Excel)</t>
  </si>
  <si>
    <t>ARCHIVO ORIGEN</t>
  </si>
  <si>
    <t>ALBARANES MAYO 2026</t>
  </si>
  <si>
    <t>ALBARANES AGOSTO 2026 v1</t>
  </si>
  <si>
    <t>Proveedor: VINS DES DIEUX   ·   Categoría: ENVASADO / BEBIDA / OTROS</t>
  </si>
  <si>
    <t>Nombres en albaranes: CANTALAPIEDRA CHIVIRITERO 2023 | CANTALAPIEDRA CHIVIRITERO 2024</t>
  </si>
  <si>
    <t>CANTALAPIEDRA CHIVIRITERO 2024</t>
  </si>
  <si>
    <t>ALBARANES JULIO 2026 v3</t>
  </si>
  <si>
    <t>Proveedor: CONSERVAS Y SALAZONES JIMENEZ   ·   Categoría: ENVASADO / BEBIDA / OTROS</t>
  </si>
  <si>
    <t>Nombres en albaranes: ANCHOAS CANTABRICO RO-550 ETIQUETA ROJA | ANCHOAS CANTABRICO RO-550 ETIQUETA ROJA REZUMAR</t>
  </si>
  <si>
    <t>ANCHOAS CANTABRICO RO-550 ETIQUETA ROJA REZUMAR</t>
  </si>
  <si>
    <t>ANCHOAS CANTABRICO RO-550 ETIQUETA ROJA</t>
  </si>
  <si>
    <t>Proveedor: SUBMARINER   ·   Categoría: ENVASADO / BEBIDA / OTROS</t>
  </si>
  <si>
    <t>Nombres en albaranes: ACAPA X.O. | ZACAPA X.O.</t>
  </si>
  <si>
    <t>ZACAPA X.O.</t>
  </si>
  <si>
    <t>ACAPA X.O.</t>
  </si>
  <si>
    <t>Proveedor: CALIDOSCOPI   ·   Categoría: ENVASADO / BEBIDA / OTROS</t>
  </si>
  <si>
    <t>Nombres en albaranes: OREMUS 3 | OREMUS 3 PUTTONYOS 2018 (50CL)</t>
  </si>
  <si>
    <t>OREMUS 3 PUTTONYOS 2018 (50CL)</t>
  </si>
  <si>
    <t>Proveedor: DITEMA (DIST. TENA)   ·   Categoría: ENVASADO / BEBIDA / OTROS</t>
  </si>
  <si>
    <t>Nombres en albaranes: GINEBRA MARTIN MILLER 3/4</t>
  </si>
  <si>
    <t>Proveedor: VOLDIS   ·   Categoría: ENVASADO / BEBIDA / OTROS</t>
  </si>
  <si>
    <t>Nombres en albaranes: AQUARADE ZERO NARANJA VIDRIO RET 35CL | AQUARADE ZERO NARANJA VIDRIO RET 35CL CAJA 24U</t>
  </si>
  <si>
    <t>AQUARADE ZERO NARANJA VIDRIO RET 35CL CAJA 24U</t>
  </si>
  <si>
    <t>AQUARADE ZERO NARANJA VIDRIO RET 35CL</t>
  </si>
  <si>
    <t>Nombres en albaranes: VENTRESCA DE BONITO EXTRA | VENTRESCA DE BONITO EXTRA EN ACEITE OL-120 ARROYABE</t>
  </si>
  <si>
    <t>VENTRESCA DE BONITO EXTRA EN ACEITE OL-120 ARROYABE</t>
  </si>
  <si>
    <t>VENTRESCA DE BONITO EXTRA</t>
  </si>
  <si>
    <t>Proveedor: EIF DISTRIBUCIONES   ·   Categoría: ENVASADO / BEBIDA / OTROS</t>
  </si>
  <si>
    <t>Nombres en albaranes: SOLAN DE CABRAS CON GAS | SOLAN DE CABRAS CON GAS 0.33</t>
  </si>
  <si>
    <t>SOLAN DE CABRAS CON GAS 0.33</t>
  </si>
  <si>
    <t>SOLAN DE CABRAS CON GAS</t>
  </si>
  <si>
    <t>Nombres en albaranes: AGUA SOLAN DE CABRAS VIDRIO RET 50CL 20U | AGUA SOLAN DE CABRAS VIDRIO RET 50CL CAJA 20UDS</t>
  </si>
  <si>
    <t>AGUA SOLAN DE CABRAS VIDRIO RET 50CL CAJA 20UDS</t>
  </si>
  <si>
    <t>AGUA SOLAN DE CABRAS VIDRIO RET 50CL 20U</t>
  </si>
  <si>
    <t>Nombres en albaranes: AGUA CON GAS SOLAN DE CABRAS VIDRIO NR 33CL | AGUA CON GAS SOLAN DE CABRAS VIDRIO RNR 33CL</t>
  </si>
  <si>
    <t>AGUA CON GAS SOLAN DE CABRAS VIDRIO NR 33CL</t>
  </si>
  <si>
    <t>AGUA CON GAS SOLAN DE CABRAS VIDRIO RNR 33CL</t>
  </si>
  <si>
    <t>Nombres en albaranes: MOJAMA EXTRA SUPERIOR LA CHANCA</t>
  </si>
  <si>
    <t>MOJAMA EXTRA SUPERIOR LA CHANCA</t>
  </si>
  <si>
    <t>Nombres en albaranes: BITTER KAS VIDRIO NR 20CL CAJA 24U</t>
  </si>
  <si>
    <t>BITTER KAS VIDRIO NR 20CL CAJA 24U</t>
  </si>
  <si>
    <t>Nombres en albaranes: AQUARADE ZERO LIMON VIDRIO RET 35CL | AQUARADE ZERO LIMON VIDRIO RET 35CL CAJA 24U</t>
  </si>
  <si>
    <t>AQUARADE ZERO LIMON VIDRIO RET 35CL CAJA 24U</t>
  </si>
  <si>
    <t>AQUARADE ZERO LIMON VIDRIO RET 35CL</t>
  </si>
  <si>
    <t>Proveedor: EL ESCRIBANO   ·   Categoría: ENVASADO / BEBIDA / OTROS</t>
  </si>
  <si>
    <t>Nombres en albaranes: LOMO BELLOTA 100% | LOMO BELLOTA 100% SM</t>
  </si>
  <si>
    <t>LOMO BELLOTA 100% SM</t>
  </si>
  <si>
    <t>LOMO BELLOTA 100%</t>
  </si>
  <si>
    <t>Nombres en albaranes: COCA COLA ZERO NAC RET | COCA-COLA ZERO NAC RET</t>
  </si>
  <si>
    <t>COCA-COLA ZERO NAC RET</t>
  </si>
  <si>
    <t>COCA COLA ZERO NAC RET</t>
  </si>
  <si>
    <t>Proveedor: MUNDELA   ·   Categoría: ENVASADO / BEBIDA / OTROS</t>
  </si>
  <si>
    <t>Nombres en albaranes: MANZANILLA SOLEAR 3/8</t>
  </si>
  <si>
    <t>Proveedor: DELIPAN   ·   Categoría: ENVASADO / BEBIDA / OTROS</t>
  </si>
  <si>
    <t>Nombres en albaranes: PICOS ARTESANOS 500 GR</t>
  </si>
  <si>
    <t>Nombres en albaranes: ANCHOAS DEL CANTABRICO GRAN RESERVA | ANCHOAS DEL CANTABRICO GRAN RESERVA HL-270 REZUMAR</t>
  </si>
  <si>
    <t>ANCHOAS DEL CANTABRICO GRAN RESERVA HL-270 REZUMAR</t>
  </si>
  <si>
    <t>ANCHOAS DEL CANTABRICO GRAN RESERVA</t>
  </si>
  <si>
    <t>Nombres en albaranes: PEPE YLLERA 3/4</t>
  </si>
  <si>
    <t>Nombres en albaranes: SCHWEPPES TONICA RET 28 UDS | SCHWEPPES TONICA RET. 28 UDS</t>
  </si>
  <si>
    <t>SCHWEPPES TONICA RET. 28 UDS</t>
  </si>
  <si>
    <t>SCHWEPPES TONICA RET 28 UDS</t>
  </si>
  <si>
    <t>Nombres en albaranes: LA CASERA LIMON PET 1L CAJA 12U</t>
  </si>
  <si>
    <t>LA CASERA LIMON PET 1L CAJA 12U</t>
  </si>
  <si>
    <t>Nombres en albaranes: LA CASERA GASEOSA PET 1L CAJA 12U</t>
  </si>
  <si>
    <t>LA CASERA GASEOSA PET 1L CAJA 12U</t>
  </si>
  <si>
    <t>Nombres en albaranes: PAN MOLDE BRIOCHE (7 UD) | PAN MOLDE BRIOCHE (7UD)</t>
  </si>
  <si>
    <t>PAN MOLDE BRIOCHE (7UD)</t>
  </si>
  <si>
    <t>PAN MOLDE BRIOCHE (7 UD)</t>
  </si>
  <si>
    <t>Nombres en albaranes: PACO GARCIA CRIANZA 3/4</t>
  </si>
  <si>
    <t>Nombres en albaranes: RAMON BILBAO BLANCO VERDEJO 3/4 | RAMÓN BILBAO BLANCO VERDEJO 3/4</t>
  </si>
  <si>
    <t>RAMÓN BILBAO BLANCO VERDEJO 3/4</t>
  </si>
  <si>
    <t>Nombres en albaranes: GODELLO VIÑAREDO</t>
  </si>
  <si>
    <t>GODELLO VIÑAREDO</t>
  </si>
  <si>
    <t>Nombres en albaranes: SEÑORIO DE FITERO ROBLE</t>
  </si>
  <si>
    <t>SEÑORIO DE FITERO ROBLE</t>
  </si>
  <si>
    <t>Nombres en albaranes: CORIMBO</t>
  </si>
  <si>
    <t>Nombres en albaranes: SCHWEPPES TONICA VIDRIO RET 20CL CAJA 28U | SCHWEPPES TONICA VIDRIO RET 20CL CAJA 28UDS</t>
  </si>
  <si>
    <t>SCHWEPPES TONICA VIDRIO RET 20CL CAJA 28UDS</t>
  </si>
  <si>
    <t>SCHWEPPES TONICA VIDRIO RET 20CL CAJA 28U</t>
  </si>
  <si>
    <t>Nombres en albaranes: RODA RESERVA 3/4</t>
  </si>
  <si>
    <t>Nombres en albaranes: ALBARIÑO MAR DE FRADES</t>
  </si>
  <si>
    <t>ALBARIÑO MAR DE FRADES</t>
  </si>
  <si>
    <t>Nombres en albaranes: VIÑA MAYOR VERDEJO</t>
  </si>
  <si>
    <t>VIÑA MAYOR VERDEJO</t>
  </si>
  <si>
    <t>Nombres en albaranes: SEVEN UP FREE VIDRIO RET 20CL CAJA 24U</t>
  </si>
  <si>
    <t>SEVEN UP FREE VIDRIO RET 20CL CAJA 24U</t>
  </si>
  <si>
    <t>Nombres en albaranes: LIPTON ZERO LIMON VIDRIO RET 35CL CAJA 24U</t>
  </si>
  <si>
    <t>LIPTON ZERO LIMON VIDRIO RET 35CL CAJA 24U</t>
  </si>
  <si>
    <t>Nombres en albaranes: R.B. EDI.LIM EARLY HARVEST ROSADO | R.B. EDI.LIM. EARLY HARVEST ROSADO</t>
  </si>
  <si>
    <t>R.B. EDI.LIM EARLY HARVEST ROSADO</t>
  </si>
  <si>
    <t>R.B. EDI.LIM. EARLY HARVEST ROSADO</t>
  </si>
  <si>
    <t>Nombres en albaranes: POMMERY ROYAL BRUT 3/4</t>
  </si>
  <si>
    <t>Nombres en albaranes: GODELLO DE MAR DE FRADES</t>
  </si>
  <si>
    <t>GODELLO DE MAR DE FRADES</t>
  </si>
  <si>
    <t>Nombres en albaranes: SCHWEPPES LIMON LOW CAL VIDRIO RET 20CL | SCHWEPPES LIMON LOW CAL VIDRIO RET 20CL CAJA 28U</t>
  </si>
  <si>
    <t>SCHWEPPES LIMON LOW CAL VIDRIO RET 20CL CAJA 28U</t>
  </si>
  <si>
    <t>SCHWEPPES LIMON LOW CAL VIDRIO RET 20CL</t>
  </si>
  <si>
    <t>Nombres en albaranes: SCHWEPPES NARANJA LOW CAL VIDRIO RET 20CL</t>
  </si>
  <si>
    <t>SCHWEPPES NARANJA LOW CAL VIDRIO RET 20CL</t>
  </si>
  <si>
    <t>Proveedor: MAGOASE   ·   Categoría: ENVASADO / BEBIDA / OTROS</t>
  </si>
  <si>
    <t>Nombres en albaranes: BID. PET CUAD. A.O. SUAVE GUADALIMAR 5L</t>
  </si>
  <si>
    <t>BID. PET CUAD. A.O. SUAVE GUADALIMAR 5L</t>
  </si>
  <si>
    <t>Nombres en albaranes: VINAGRE DE JEREZ REERVA AL MOSCATEL | VINAGRE DE JEREZ RESERVA AL MOSCATEL</t>
  </si>
  <si>
    <t>VINAGRE DE JEREZ REERVA AL MOSCATEL</t>
  </si>
  <si>
    <t>VINAGRE DE JEREZ RESERVA AL MOSCATEL</t>
  </si>
  <si>
    <t>Proveedor: FCO JAVIER LABRADOR   ·   Categoría: ENVASADO / BEBIDA / OTROS</t>
  </si>
  <si>
    <t>Nombres en albaranes: FLOR DE ALCACHOFA CONFITADA EN AOVE 20UDS</t>
  </si>
  <si>
    <t>FLOR DE ALCACHOFA CONFITADA EN AOVE 20UDS</t>
  </si>
  <si>
    <t>Nombres en albaranes: BARBADILLO VI MOSCATO FRIZZANTE</t>
  </si>
  <si>
    <t>Nombres en albaranes: MAESTRO DOBEL DIAMANTE REPOSADO 0,70 | MAESTRO DOBEL DIAMANTE REPOSADO 0.70</t>
  </si>
  <si>
    <t>MAESTRO DOBEL DIAMANTE REPOSADO 0.70</t>
  </si>
  <si>
    <t>Nombres en albaranes: IZAGUIRRE BOX 20L</t>
  </si>
  <si>
    <t>Nombres en albaranes: MACALLAN 12</t>
  </si>
  <si>
    <t>Nombres en albaranes: ABSOLUT 0,70L</t>
  </si>
  <si>
    <t>ABSOLUT 0,70L</t>
  </si>
  <si>
    <t>Nombres en albaranes: BARCELO AÑEJO</t>
  </si>
  <si>
    <t>BARCELO AÑEJO</t>
  </si>
  <si>
    <t>Nombres en albaranes: BID. PET A. GIRASOL ALTO OLEICO GUADALSOL 25L - RECTANGULAR | BID. PET A.GIRASOL ALTO OLEICO</t>
  </si>
  <si>
    <t>BID. PET A. GIRASOL ALTO OLEICO GUADALSOL 25L - RECTANGULAR</t>
  </si>
  <si>
    <t>BID. PET A.GIRASOL ALTO OLEICO</t>
  </si>
  <si>
    <t>Nombres en albaranes: HAVANA 7 AÑOS NR | HAVANA 7 AÑOS RN</t>
  </si>
  <si>
    <t>HAVANA 7 AÑOS RN</t>
  </si>
  <si>
    <t>HAVANA 7 AÑOS NR</t>
  </si>
  <si>
    <t>Nombres en albaranes: BEEFEATER 0,70L NR</t>
  </si>
  <si>
    <t>BEEFEATER 0,70L NR</t>
  </si>
  <si>
    <t>ALBARANES ENERO 2026</t>
  </si>
  <si>
    <t>Nombres en albaranes: TRUS CRIANZA 3/4</t>
  </si>
  <si>
    <t>Nombres en albaranes: BRUGAL 0,70L NR</t>
  </si>
  <si>
    <t>BRUGAL 0,70L NR</t>
  </si>
  <si>
    <t>Nombres en albaranes: LARIOS ESPECIAL 12 NR</t>
  </si>
  <si>
    <t>LARIOS ESPECIAL 12 NR</t>
  </si>
  <si>
    <t>Nombres en albaranes: LARIOS 1L NR</t>
  </si>
  <si>
    <t>LARIOS 1L NR</t>
  </si>
  <si>
    <t>Nombres en albaranes: SEAGRAMS 0,70L NR</t>
  </si>
  <si>
    <t>SEAGRAMS 0,70L NR</t>
  </si>
  <si>
    <t>Nombres en albaranes: DYC 8 AÑOS 0,70L NR</t>
  </si>
  <si>
    <t>DYC 8 AÑOS 0,70L NR</t>
  </si>
  <si>
    <t>Proveedor: AGROFOOD   ·   Categoría: CARNE</t>
  </si>
  <si>
    <t>Nombres en albaranes: ENTRECOT T. MORUCHA | ENTRECOT T. MORUCHA (PRECIO+MER 0,07) | KG ENTRECOT T.MORUCHA 0.300-0,350 | KG ENTRECOT T.MOURCHA 0.300-0,350</t>
  </si>
  <si>
    <t>KG ENTRECOT T.MOURCHA 0.300-0,350</t>
  </si>
  <si>
    <t>KG ENTRECOT T.MORUCHA 0.300-0,350</t>
  </si>
  <si>
    <t>ENTRECOT T. MORUCHA</t>
  </si>
  <si>
    <t>ENTRECOT T. MORUCHA (PRECIO+MER 0,07)</t>
  </si>
  <si>
    <t>Nombres en albaranes: KG. MEDALLO P.SOLOMILLO VACUNO 0.180-0 | KG. MEDALLON P.SOLOMILLO VACUNO 0.180-0 | MEDALLON P. SOLOMILLO VACUNO | MEDALLON P. SOLOMILLO VACUNO (PRECIO+MER 0,07)</t>
  </si>
  <si>
    <t>KG. MEDALLO P.SOLOMILLO VACUNO 0.180-0</t>
  </si>
  <si>
    <t>KG. MEDALLON P.SOLOMILLO VACUNO 0.180-0</t>
  </si>
  <si>
    <t>MEDALLON P. SOLOMILLO VACUNO</t>
  </si>
  <si>
    <t>MEDALLON P. SOLOMILLO VACUNO (PRECIO+MER 0,07)</t>
  </si>
  <si>
    <t>Nombres en albaranes: CRUZ DE ALBA ROBLE 3/4</t>
  </si>
  <si>
    <t>CRUZ DE ALBA ROBLE 3/4</t>
  </si>
  <si>
    <t>Nombres en albaranes: HENDRICKS | HENDRICKS ANOTHER 0,70 (BLANCO)</t>
  </si>
  <si>
    <t>HENDRICKS ANOTHER 0,70 (BLANCO)</t>
  </si>
  <si>
    <t>Proveedor: MANUEL AMBRES E HIJOS   ·   Categoría: ENVASADO / BEBIDA / OTROS</t>
  </si>
  <si>
    <t>Nombres en albaranes: RACION CECINA PREMIUM 100GR | RACION CECINA PREMIUM 100GR (BLACK ANGUS) | RACION CECINA PREMIUM 100GR BLACK ANGUS</t>
  </si>
  <si>
    <t>RACION CECINA PREMIUM 100GR BLACK ANGUS</t>
  </si>
  <si>
    <t>RACION CECINA PREMIUM 100GR (BLACK ANGUS)</t>
  </si>
  <si>
    <t>Proveedor: CARNICAS MEAT   ·   Categoría: CARNE</t>
  </si>
  <si>
    <t>Nombres en albaranes: SOLOMILLO VACA</t>
  </si>
  <si>
    <t>Nombres en albaranes: RACION CECINA PREMIUM 100GR WAGYU</t>
  </si>
  <si>
    <t>Proveedor: FRUTERIA D'ALISTE   ·   Categoría: FRUTA / VERDURA</t>
  </si>
  <si>
    <t>Nombres en albaranes: LIMON</t>
  </si>
  <si>
    <t>Producto fresco: es normal que el precio suba y baje dentro del mismo mes. Se marca como SUBIDA porque la MEDIA del último mes supera en más de un 10 % a la del primer mes.</t>
  </si>
  <si>
    <t>Proveedor: AGMASFOOD   ·   Categoría: MARISCO / PESCADO FRESCO</t>
  </si>
  <si>
    <t>Nombres en albaranes: BOQUERON GORDO</t>
  </si>
  <si>
    <t>Proveedor: JOSE MANUEL ROMERO PLAZA   ·   Categoría: MARISCO / PESCADO FRESCO</t>
  </si>
  <si>
    <t>Nombres en albaranes: PARROCHAS</t>
  </si>
  <si>
    <t>Proveedor: PESCARUM   ·   Categoría: MARISCO / PESCADO FRESCO</t>
  </si>
  <si>
    <t>Nombres en albaranes: QUISQUILLA</t>
  </si>
  <si>
    <t>Nombres en albaranes: LANGOSTINO | LANGOSTINOS</t>
  </si>
  <si>
    <t>LANGOSTINO</t>
  </si>
  <si>
    <t>Nombres en albaranes: CIGALA | CIGALAS</t>
  </si>
  <si>
    <t>CIGALA</t>
  </si>
  <si>
    <t>Nombres en albaranes: ALISTADOS</t>
  </si>
  <si>
    <t>Nombres en albaranes: CARABINEROS</t>
  </si>
  <si>
    <t>Nombres en albaranes: TOMATE IBERICO</t>
  </si>
  <si>
    <t>Nombres en albaranes: CALAMARES</t>
  </si>
  <si>
    <t>Nombres en albaranes: NAVAJA | NAVAJAS</t>
  </si>
  <si>
    <t>NAVAJA</t>
  </si>
  <si>
    <t>Proveedor: MARTIN CANEDA   ·   Categoría: MARISCO / PESCADO FRESCO</t>
  </si>
  <si>
    <t>Nombres en albaranes: BERBERECHO | BERBERECHO G | BERBERECHO G/ CAMARÓN S</t>
  </si>
  <si>
    <t>BERBERECHO G/ CAMARÓN S</t>
  </si>
  <si>
    <t>BERBERECHO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</si>
</sst>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&quot; €&quot;"/>
    <numFmt numFmtId="165" formatCode="0.0%"/>
  </numFmts>
  <fonts count="9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i/>
      <sz val="9"/>
      <name val="Arial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u/>
      <sz val="11"/>
      <color rgb="FF0563C1"/>
      <name val="Arial"/>
      <family val="2"/>
    </font>
    <font>
      <b/>
      <sz val="11"/>
      <color rgb="FFC00000"/>
      <name val="Arial"/>
      <family val="2"/>
    </font>
    <font>
      <b/>
      <sz val="11"/>
      <name val="Arial"/>
      <family val="2"/>
    </font>
    <font>
      <sz val="9"/>
      <color rgb="FFC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EDED"/>
        <bgColor rgb="FFFFF2CC"/>
      </patternFill>
    </fill>
    <fill>
      <patternFill patternType="solid">
        <fgColor rgb="FFF8CBAD"/>
        <bgColor rgb="FFD9D9D9"/>
      </patternFill>
    </fill>
    <fill>
      <patternFill patternType="solid">
        <fgColor rgb="FFC6EFCE"/>
        <bgColor rgb="FFD9D9D9"/>
      </patternFill>
    </fill>
    <fill>
      <patternFill patternType="solid">
        <fgColor rgb="FFFFF2CC"/>
        <b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8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5" fillId="0" borderId="1" xfId="0" applyFont="1" applyBorder="1"/>
    <xf numFmtId="0" fontId="4" fillId="3" borderId="1" xfId="0" applyFont="1" applyFill="1" applyBorder="1"/>
    <xf numFmtId="164" fontId="4" fillId="0" borderId="1" xfId="0" applyNumberFormat="1" applyFont="1" applyBorder="1"/>
    <xf numFmtId="164" fontId="6" fillId="4" borderId="1" xfId="0" applyNumberFormat="1" applyFont="1" applyFill="1" applyBorder="1"/>
    <xf numFmtId="165" fontId="4" fillId="4" borderId="1" xfId="0" applyNumberFormat="1" applyFont="1" applyFill="1" applyBorder="1"/>
    <xf numFmtId="0" fontId="4" fillId="0" borderId="1" xfId="0" applyFont="1" applyBorder="1" applyAlignment="1">
      <alignment vertical="center" wrapText="1"/>
    </xf>
    <xf numFmtId="164" fontId="4" fillId="5" borderId="1" xfId="0" applyNumberFormat="1" applyFont="1" applyFill="1" applyBorder="1"/>
    <xf numFmtId="165" fontId="4" fillId="5" borderId="1" xfId="0" applyNumberFormat="1" applyFont="1" applyFill="1" applyBorder="1"/>
    <xf numFmtId="0" fontId="4" fillId="6" borderId="1" xfId="0" applyFont="1" applyFill="1" applyBorder="1"/>
    <xf numFmtId="0" fontId="5" fillId="6" borderId="1" xfId="0" applyFont="1" applyFill="1" applyBorder="1"/>
    <xf numFmtId="165" fontId="4" fillId="0" borderId="1" xfId="0" applyNumberFormat="1" applyFont="1" applyBorder="1"/>
    <xf numFmtId="0" fontId="4" fillId="4" borderId="1" xfId="0" applyFont="1" applyFill="1" applyBorder="1"/>
    <xf numFmtId="0" fontId="4" fillId="5" borderId="1" xfId="0" applyFont="1" applyFill="1" applyBorder="1"/>
    <xf numFmtId="0" fontId="1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7" fillId="0" borderId="0" xfId="0" applyFont="1"/>
    <xf numFmtId="165" fontId="6" fillId="4" borderId="0" xfId="0" applyNumberFormat="1" applyFont="1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EDEDED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61" Type="http://schemas.openxmlformats.org/officeDocument/2006/relationships/worksheet" Target="worksheets/sheet61.xml"/><Relationship Id="rId8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'MORCILLA ASTURIANA'!$D$6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'MORCILLA ASTURIANA'!$A$7:$A$9</c:f>
              <c:strCache>
                <c:ptCount val="3"/>
                <c:pt idx="0">
                  <c:v>FEBRERO</c:v>
                </c:pt>
                <c:pt idx="1">
                  <c:v>ABRIL</c:v>
                </c:pt>
                <c:pt idx="2">
                  <c:v>AGOSTO</c:v>
                </c:pt>
              </c:strCache>
            </c:strRef>
          </c:cat>
          <c:val>
            <c:numRef>
              <c:f>'MORCILLA ASTURIANA'!$D$7:$D$9</c:f>
              <c:numCache>
                <c:formatCode>#,##0.00" €"</c:formatCode>
                <c:ptCount val="3"/>
                <c:pt idx="0">
                  <c:v>8</c:v>
                </c:pt>
                <c:pt idx="1">
                  <c:v>8</c:v>
                </c:pt>
                <c:pt idx="2">
                  <c:v>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DB4-364A-BBDF-92B572EC4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4498767"/>
        <c:axId val="63961764"/>
      </c:lineChart>
      <c:catAx>
        <c:axId val="74498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3961764"/>
        <c:crosses val="autoZero"/>
        <c:auto val="1"/>
        <c:lblAlgn val="ctr"/>
        <c:lblOffset val="100"/>
        <c:noMultiLvlLbl val="0"/>
      </c:catAx>
      <c:valAx>
        <c:axId val="6396176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44987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'CANTALAPIEDRA CHIVIRITERO 20'!$D$6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'CANTALAPIEDRA CHIVIRITERO 20'!$A$7:$A$11</c:f>
              <c:strCache>
                <c:ptCount val="5"/>
                <c:pt idx="0">
                  <c:v>FEBRERO</c:v>
                </c:pt>
                <c:pt idx="1">
                  <c:v>MARZO</c:v>
                </c:pt>
                <c:pt idx="2">
                  <c:v>ABRIL</c:v>
                </c:pt>
                <c:pt idx="3">
                  <c:v>MAYO</c:v>
                </c:pt>
                <c:pt idx="4">
                  <c:v>JULIO</c:v>
                </c:pt>
              </c:strCache>
            </c:strRef>
          </c:cat>
          <c:val>
            <c:numRef>
              <c:f>'CANTALAPIEDRA CHIVIRITERO 20'!$D$7:$D$11</c:f>
              <c:numCache>
                <c:formatCode>#,##0.00" €"</c:formatCode>
                <c:ptCount val="5"/>
                <c:pt idx="0">
                  <c:v>15.5</c:v>
                </c:pt>
                <c:pt idx="1">
                  <c:v>15.5</c:v>
                </c:pt>
                <c:pt idx="2">
                  <c:v>15.5</c:v>
                </c:pt>
                <c:pt idx="3">
                  <c:v>16.899999999999999</c:v>
                </c:pt>
                <c:pt idx="4">
                  <c:v>16.899999999999999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983-CA48-88A8-355D8AC6D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2051633"/>
        <c:axId val="206717"/>
      </c:lineChart>
      <c:catAx>
        <c:axId val="620516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06717"/>
        <c:crosses val="autoZero"/>
        <c:auto val="1"/>
        <c:lblAlgn val="ctr"/>
        <c:lblOffset val="100"/>
        <c:noMultiLvlLbl val="0"/>
      </c:catAx>
      <c:valAx>
        <c:axId val="2067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20516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'ANCHOAS CANTABRICO RO 550 ET'!$D$6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'ANCHOAS CANTABRICO RO 550 ET'!$A$7:$A$10</c:f>
              <c:strCache>
                <c:ptCount val="4"/>
                <c:pt idx="0">
                  <c:v>FEBRERO</c:v>
                </c:pt>
                <c:pt idx="1">
                  <c:v>ABRIL</c:v>
                </c:pt>
                <c:pt idx="2">
                  <c:v>MAYO</c:v>
                </c:pt>
                <c:pt idx="3">
                  <c:v>JULIO</c:v>
                </c:pt>
              </c:strCache>
            </c:strRef>
          </c:cat>
          <c:val>
            <c:numRef>
              <c:f>'ANCHOAS CANTABRICO RO 550 ET'!$D$7:$D$10</c:f>
              <c:numCache>
                <c:formatCode>#,##0.00" €"</c:formatCode>
                <c:ptCount val="4"/>
                <c:pt idx="0">
                  <c:v>18.96</c:v>
                </c:pt>
                <c:pt idx="1">
                  <c:v>18.96</c:v>
                </c:pt>
                <c:pt idx="2">
                  <c:v>20.6</c:v>
                </c:pt>
                <c:pt idx="3">
                  <c:v>20.6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310-734E-8504-F433DBE9E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4295984"/>
        <c:axId val="52209478"/>
      </c:lineChart>
      <c:catAx>
        <c:axId val="8429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2209478"/>
        <c:crosses val="autoZero"/>
        <c:auto val="1"/>
        <c:lblAlgn val="ctr"/>
        <c:lblOffset val="100"/>
        <c:noMultiLvlLbl val="0"/>
      </c:catAx>
      <c:valAx>
        <c:axId val="5220947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42959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'ZACAPA X O'!$D$6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'ZACAPA X O'!$A$7:$A$8</c:f>
              <c:strCache>
                <c:ptCount val="2"/>
                <c:pt idx="0">
                  <c:v>ENERO</c:v>
                </c:pt>
                <c:pt idx="1">
                  <c:v>MAYO</c:v>
                </c:pt>
              </c:strCache>
            </c:strRef>
          </c:cat>
          <c:val>
            <c:numRef>
              <c:f>'ZACAPA X O'!$D$7:$D$8</c:f>
              <c:numCache>
                <c:formatCode>#,##0.00" €"</c:formatCode>
                <c:ptCount val="2"/>
                <c:pt idx="0">
                  <c:v>122.71</c:v>
                </c:pt>
                <c:pt idx="1">
                  <c:v>132.94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838-4A45-A5D2-18C27F543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2313363"/>
        <c:axId val="42905402"/>
      </c:lineChart>
      <c:catAx>
        <c:axId val="823133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2905402"/>
        <c:crosses val="autoZero"/>
        <c:auto val="1"/>
        <c:lblAlgn val="ctr"/>
        <c:lblOffset val="100"/>
        <c:noMultiLvlLbl val="0"/>
      </c:catAx>
      <c:valAx>
        <c:axId val="429054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23133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'OREMUS 3'!$D$6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'OREMUS 3'!$A$7:$A$8</c:f>
              <c:strCache>
                <c:ptCount val="2"/>
                <c:pt idx="0">
                  <c:v>ENERO</c:v>
                </c:pt>
                <c:pt idx="1">
                  <c:v>MAYO</c:v>
                </c:pt>
              </c:strCache>
            </c:strRef>
          </c:cat>
          <c:val>
            <c:numRef>
              <c:f>'OREMUS 3'!$D$7:$D$8</c:f>
              <c:numCache>
                <c:formatCode>#,##0.00" €"</c:formatCode>
                <c:ptCount val="2"/>
                <c:pt idx="0">
                  <c:v>27.4</c:v>
                </c:pt>
                <c:pt idx="1">
                  <c:v>29.25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CC9-4E43-A859-67FD0BB3A6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7294337"/>
        <c:axId val="32547096"/>
      </c:lineChart>
      <c:catAx>
        <c:axId val="372943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2547096"/>
        <c:crosses val="autoZero"/>
        <c:auto val="1"/>
        <c:lblAlgn val="ctr"/>
        <c:lblOffset val="100"/>
        <c:noMultiLvlLbl val="0"/>
      </c:catAx>
      <c:valAx>
        <c:axId val="325470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72943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'GINEBRA MARTIN MILLER 3 4'!$D$6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'GINEBRA MARTIN MILLER 3 4'!$A$7:$A$9</c:f>
              <c:strCache>
                <c:ptCount val="3"/>
                <c:pt idx="0">
                  <c:v>ENERO</c:v>
                </c:pt>
                <c:pt idx="1">
                  <c:v>MAYO</c:v>
                </c:pt>
                <c:pt idx="2">
                  <c:v>JULIO</c:v>
                </c:pt>
              </c:strCache>
            </c:strRef>
          </c:cat>
          <c:val>
            <c:numRef>
              <c:f>'GINEBRA MARTIN MILLER 3 4'!$D$7:$D$9</c:f>
              <c:numCache>
                <c:formatCode>#,##0.00" €"</c:formatCode>
                <c:ptCount val="3"/>
                <c:pt idx="0">
                  <c:v>15.1</c:v>
                </c:pt>
                <c:pt idx="1">
                  <c:v>16.100000000000001</c:v>
                </c:pt>
                <c:pt idx="2">
                  <c:v>16.100000000000001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94D-6A45-92E8-5DFD30C71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6410125"/>
        <c:axId val="15946471"/>
      </c:lineChart>
      <c:catAx>
        <c:axId val="664101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5946471"/>
        <c:crosses val="autoZero"/>
        <c:auto val="1"/>
        <c:lblAlgn val="ctr"/>
        <c:lblOffset val="100"/>
        <c:noMultiLvlLbl val="0"/>
      </c:catAx>
      <c:valAx>
        <c:axId val="159464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641012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'AQUARADE ZERO NARANJA VIDRIO'!$D$6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'AQUARADE ZERO NARANJA VIDRIO'!$A$7:$A$10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MAYO</c:v>
                </c:pt>
                <c:pt idx="3">
                  <c:v>JULIO</c:v>
                </c:pt>
              </c:strCache>
            </c:strRef>
          </c:cat>
          <c:val>
            <c:numRef>
              <c:f>'AQUARADE ZERO NARANJA VIDRIO'!$D$7:$D$10</c:f>
              <c:numCache>
                <c:formatCode>#,##0.00" €"</c:formatCode>
                <c:ptCount val="4"/>
                <c:pt idx="0">
                  <c:v>31.92</c:v>
                </c:pt>
                <c:pt idx="1">
                  <c:v>33.840000000000003</c:v>
                </c:pt>
                <c:pt idx="2">
                  <c:v>33.840000000000003</c:v>
                </c:pt>
                <c:pt idx="3">
                  <c:v>33.840000000000003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491-AE40-93EF-6F54F0D23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3500691"/>
        <c:axId val="21697921"/>
      </c:lineChart>
      <c:catAx>
        <c:axId val="235006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1697921"/>
        <c:crosses val="autoZero"/>
        <c:auto val="1"/>
        <c:lblAlgn val="ctr"/>
        <c:lblOffset val="100"/>
        <c:noMultiLvlLbl val="0"/>
      </c:catAx>
      <c:valAx>
        <c:axId val="2169792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35006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'VENTRESCA BONITO EXTRA'!$D$6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'VENTRESCA BONITO EXTRA'!$A$7:$A$12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ABRIL</c:v>
                </c:pt>
                <c:pt idx="3">
                  <c:v>MAYO</c:v>
                </c:pt>
                <c:pt idx="4">
                  <c:v>JULIO</c:v>
                </c:pt>
                <c:pt idx="5">
                  <c:v>AGOSTO</c:v>
                </c:pt>
              </c:strCache>
            </c:strRef>
          </c:cat>
          <c:val>
            <c:numRef>
              <c:f>'VENTRESCA BONITO EXTRA'!$D$7:$D$12</c:f>
              <c:numCache>
                <c:formatCode>#,##0.00" €"</c:formatCode>
                <c:ptCount val="6"/>
                <c:pt idx="0">
                  <c:v>5.56</c:v>
                </c:pt>
                <c:pt idx="1">
                  <c:v>5.56</c:v>
                </c:pt>
                <c:pt idx="2">
                  <c:v>5.56</c:v>
                </c:pt>
                <c:pt idx="3">
                  <c:v>5.56</c:v>
                </c:pt>
                <c:pt idx="4">
                  <c:v>5.86</c:v>
                </c:pt>
                <c:pt idx="5">
                  <c:v>5.86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0CB-EC48-93C1-76EDAF27B5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1766396"/>
        <c:axId val="43187703"/>
      </c:lineChart>
      <c:catAx>
        <c:axId val="717663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3187703"/>
        <c:crosses val="autoZero"/>
        <c:auto val="1"/>
        <c:lblAlgn val="ctr"/>
        <c:lblOffset val="100"/>
        <c:noMultiLvlLbl val="0"/>
      </c:catAx>
      <c:valAx>
        <c:axId val="431877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17663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'SOLAN CABRAS CON GAS'!$D$6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'SOLAN CABRAS CON GAS'!$A$7:$A$9</c:f>
              <c:strCache>
                <c:ptCount val="3"/>
                <c:pt idx="0">
                  <c:v>ENERO</c:v>
                </c:pt>
                <c:pt idx="1">
                  <c:v>JULIO</c:v>
                </c:pt>
                <c:pt idx="2">
                  <c:v>AGOSTO</c:v>
                </c:pt>
              </c:strCache>
            </c:strRef>
          </c:cat>
          <c:val>
            <c:numRef>
              <c:f>'SOLAN CABRAS CON GAS'!$D$7:$D$9</c:f>
              <c:numCache>
                <c:formatCode>#,##0.00" €"</c:formatCode>
                <c:ptCount val="3"/>
                <c:pt idx="0">
                  <c:v>25.44</c:v>
                </c:pt>
                <c:pt idx="1">
                  <c:v>26.8</c:v>
                </c:pt>
                <c:pt idx="2">
                  <c:v>26.8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528-7A4A-884D-9D7C549690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3180024"/>
        <c:axId val="28199002"/>
      </c:lineChart>
      <c:catAx>
        <c:axId val="13180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8199002"/>
        <c:crosses val="autoZero"/>
        <c:auto val="1"/>
        <c:lblAlgn val="ctr"/>
        <c:lblOffset val="100"/>
        <c:noMultiLvlLbl val="0"/>
      </c:catAx>
      <c:valAx>
        <c:axId val="281990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31800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'AGUA SOLAN CABRAS VIDRIO 50C'!$D$6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'AGUA SOLAN CABRAS VIDRIO 50C'!$A$7:$A$10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MAYO</c:v>
                </c:pt>
                <c:pt idx="3">
                  <c:v>JULIO</c:v>
                </c:pt>
              </c:strCache>
            </c:strRef>
          </c:cat>
          <c:val>
            <c:numRef>
              <c:f>'AGUA SOLAN CABRAS VIDRIO 50C'!$D$7:$D$10</c:f>
              <c:numCache>
                <c:formatCode>#,##0.00" €"</c:formatCode>
                <c:ptCount val="4"/>
                <c:pt idx="0">
                  <c:v>11.68</c:v>
                </c:pt>
                <c:pt idx="1">
                  <c:v>11.68</c:v>
                </c:pt>
                <c:pt idx="2">
                  <c:v>11.68</c:v>
                </c:pt>
                <c:pt idx="3">
                  <c:v>12.3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D45-CE43-A613-C2A2DC97C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2757339"/>
        <c:axId val="52414062"/>
      </c:lineChart>
      <c:catAx>
        <c:axId val="127573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2414062"/>
        <c:crosses val="autoZero"/>
        <c:auto val="1"/>
        <c:lblAlgn val="ctr"/>
        <c:lblOffset val="100"/>
        <c:noMultiLvlLbl val="0"/>
      </c:catAx>
      <c:valAx>
        <c:axId val="524140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27573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'AGUA CON GAS SOLAN CABRAS VI'!$D$6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'AGUA CON GAS SOLAN CABRAS VI'!$A$7:$A$10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MAYO</c:v>
                </c:pt>
                <c:pt idx="3">
                  <c:v>JULIO</c:v>
                </c:pt>
              </c:strCache>
            </c:strRef>
          </c:cat>
          <c:val>
            <c:numRef>
              <c:f>'AGUA CON GAS SOLAN CABRAS VI'!$D$7:$D$10</c:f>
              <c:numCache>
                <c:formatCode>#,##0.00" €"</c:formatCode>
                <c:ptCount val="4"/>
                <c:pt idx="0">
                  <c:v>25.463999999999999</c:v>
                </c:pt>
                <c:pt idx="1">
                  <c:v>25.463999999999999</c:v>
                </c:pt>
                <c:pt idx="2">
                  <c:v>25.463999999999999</c:v>
                </c:pt>
                <c:pt idx="3">
                  <c:v>26.81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09B-114D-8A75-732A6982C2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4413910"/>
        <c:axId val="47246976"/>
      </c:lineChart>
      <c:catAx>
        <c:axId val="544139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7246976"/>
        <c:crosses val="autoZero"/>
        <c:auto val="1"/>
        <c:lblAlgn val="ctr"/>
        <c:lblOffset val="100"/>
        <c:noMultiLvlLbl val="0"/>
      </c:catAx>
      <c:valAx>
        <c:axId val="472469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44139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'MOJAMA EXTRA SUPERIOR CHANCA'!$D$6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'MOJAMA EXTRA SUPERIOR CHANCA'!$A$7:$A$10</c:f>
              <c:strCache>
                <c:ptCount val="4"/>
                <c:pt idx="0">
                  <c:v>ENERO</c:v>
                </c:pt>
                <c:pt idx="1">
                  <c:v>MAYO</c:v>
                </c:pt>
                <c:pt idx="2">
                  <c:v>JULIO</c:v>
                </c:pt>
                <c:pt idx="3">
                  <c:v>AGOSTO</c:v>
                </c:pt>
              </c:strCache>
            </c:strRef>
          </c:cat>
          <c:val>
            <c:numRef>
              <c:f>'MOJAMA EXTRA SUPERIOR CHANCA'!$D$7:$D$10</c:f>
              <c:numCache>
                <c:formatCode>#,##0.00" €"</c:formatCode>
                <c:ptCount val="4"/>
                <c:pt idx="0">
                  <c:v>34.6</c:v>
                </c:pt>
                <c:pt idx="1">
                  <c:v>36.4</c:v>
                </c:pt>
                <c:pt idx="2">
                  <c:v>36.4</c:v>
                </c:pt>
                <c:pt idx="3">
                  <c:v>36.4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000-6141-8594-4AA54DB89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1207311"/>
        <c:axId val="78626823"/>
      </c:lineChart>
      <c:catAx>
        <c:axId val="7120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8626823"/>
        <c:crosses val="autoZero"/>
        <c:auto val="1"/>
        <c:lblAlgn val="ctr"/>
        <c:lblOffset val="100"/>
        <c:noMultiLvlLbl val="0"/>
      </c:catAx>
      <c:valAx>
        <c:axId val="7862682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120731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'BITTER KAS VIDRIO 20CL'!$D$6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'BITTER KAS VIDRIO 20CL'!$A$7:$A$8</c:f>
              <c:strCache>
                <c:ptCount val="2"/>
                <c:pt idx="0">
                  <c:v>ENERO</c:v>
                </c:pt>
                <c:pt idx="1">
                  <c:v>MAYO</c:v>
                </c:pt>
              </c:strCache>
            </c:strRef>
          </c:cat>
          <c:val>
            <c:numRef>
              <c:f>'BITTER KAS VIDRIO 20CL'!$D$7:$D$8</c:f>
              <c:numCache>
                <c:formatCode>#,##0.00" €"</c:formatCode>
                <c:ptCount val="2"/>
                <c:pt idx="0">
                  <c:v>37.68</c:v>
                </c:pt>
                <c:pt idx="1">
                  <c:v>39.6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F56-044F-8620-3789665A6A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6758347"/>
        <c:axId val="35630193"/>
      </c:lineChart>
      <c:catAx>
        <c:axId val="867583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5630193"/>
        <c:crosses val="autoZero"/>
        <c:auto val="1"/>
        <c:lblAlgn val="ctr"/>
        <c:lblOffset val="100"/>
        <c:noMultiLvlLbl val="0"/>
      </c:catAx>
      <c:valAx>
        <c:axId val="3563019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67583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'AQUARADE ZERO LIMON VIDRIO 3'!$D$6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'AQUARADE ZERO LIMON VIDRIO 3'!$A$7:$A$10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MAYO</c:v>
                </c:pt>
                <c:pt idx="3">
                  <c:v>JULIO</c:v>
                </c:pt>
              </c:strCache>
            </c:strRef>
          </c:cat>
          <c:val>
            <c:numRef>
              <c:f>'AQUARADE ZERO LIMON VIDRIO 3'!$D$7:$D$10</c:f>
              <c:numCache>
                <c:formatCode>#,##0.00" €"</c:formatCode>
                <c:ptCount val="4"/>
                <c:pt idx="0">
                  <c:v>31.92</c:v>
                </c:pt>
                <c:pt idx="1">
                  <c:v>33.840000000000003</c:v>
                </c:pt>
                <c:pt idx="2">
                  <c:v>33.840000000000003</c:v>
                </c:pt>
                <c:pt idx="3">
                  <c:v>33.54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3BB-7141-B64A-DD95551D6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4781736"/>
        <c:axId val="58318426"/>
      </c:lineChart>
      <c:catAx>
        <c:axId val="54781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8318426"/>
        <c:crosses val="autoZero"/>
        <c:auto val="1"/>
        <c:lblAlgn val="ctr"/>
        <c:lblOffset val="100"/>
        <c:noMultiLvlLbl val="0"/>
      </c:catAx>
      <c:valAx>
        <c:axId val="583184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47817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'LOMO BELLOTA 100 SM'!$D$6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'LOMO BELLOTA 100 SM'!$A$7:$A$11</c:f>
              <c:strCache>
                <c:ptCount val="5"/>
                <c:pt idx="0">
                  <c:v>FEBRERO</c:v>
                </c:pt>
                <c:pt idx="1">
                  <c:v>ABRIL</c:v>
                </c:pt>
                <c:pt idx="2">
                  <c:v>MAYO</c:v>
                </c:pt>
                <c:pt idx="3">
                  <c:v>JULIO</c:v>
                </c:pt>
                <c:pt idx="4">
                  <c:v>AGOSTO</c:v>
                </c:pt>
              </c:strCache>
            </c:strRef>
          </c:cat>
          <c:val>
            <c:numRef>
              <c:f>'LOMO BELLOTA 100 SM'!$D$7:$D$11</c:f>
              <c:numCache>
                <c:formatCode>#,##0.00" €"</c:formatCode>
                <c:ptCount val="5"/>
                <c:pt idx="0">
                  <c:v>48.6</c:v>
                </c:pt>
                <c:pt idx="1">
                  <c:v>48.6</c:v>
                </c:pt>
                <c:pt idx="2">
                  <c:v>48.6</c:v>
                </c:pt>
                <c:pt idx="3">
                  <c:v>49.8</c:v>
                </c:pt>
                <c:pt idx="4">
                  <c:v>51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2DE-2843-8567-9F5B08A72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8784556"/>
        <c:axId val="28215900"/>
      </c:lineChart>
      <c:catAx>
        <c:axId val="887845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8215900"/>
        <c:crosses val="autoZero"/>
        <c:auto val="1"/>
        <c:lblAlgn val="ctr"/>
        <c:lblOffset val="100"/>
        <c:noMultiLvlLbl val="0"/>
      </c:catAx>
      <c:valAx>
        <c:axId val="282159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878455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'COCA COLA ZERO NAC'!$D$6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'COCA COLA ZERO NAC'!$A$7:$A$8</c:f>
              <c:strCache>
                <c:ptCount val="2"/>
                <c:pt idx="0">
                  <c:v>ENERO</c:v>
                </c:pt>
                <c:pt idx="1">
                  <c:v>AGOSTO</c:v>
                </c:pt>
              </c:strCache>
            </c:strRef>
          </c:cat>
          <c:val>
            <c:numRef>
              <c:f>'COCA COLA ZERO NAC'!$D$7:$D$8</c:f>
              <c:numCache>
                <c:formatCode>#,##0.00" €"</c:formatCode>
                <c:ptCount val="2"/>
                <c:pt idx="0">
                  <c:v>20.78</c:v>
                </c:pt>
                <c:pt idx="1">
                  <c:v>21.78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1E-4E49-882F-4372DB099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7464231"/>
        <c:axId val="12191958"/>
      </c:lineChart>
      <c:catAx>
        <c:axId val="77464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2191958"/>
        <c:crosses val="autoZero"/>
        <c:auto val="1"/>
        <c:lblAlgn val="ctr"/>
        <c:lblOffset val="100"/>
        <c:noMultiLvlLbl val="0"/>
      </c:catAx>
      <c:valAx>
        <c:axId val="121919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74642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'MANZANILLA SOLEAR 3 8'!$D$6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'MANZANILLA SOLEAR 3 8'!$A$7:$A$10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MAYO</c:v>
                </c:pt>
                <c:pt idx="3">
                  <c:v>AGOSTO</c:v>
                </c:pt>
              </c:strCache>
            </c:strRef>
          </c:cat>
          <c:val>
            <c:numRef>
              <c:f>'MANZANILLA SOLEAR 3 8'!$D$7:$D$10</c:f>
              <c:numCache>
                <c:formatCode>#,##0.00" €"</c:formatCode>
                <c:ptCount val="4"/>
                <c:pt idx="0">
                  <c:v>4.22</c:v>
                </c:pt>
                <c:pt idx="1">
                  <c:v>4.42</c:v>
                </c:pt>
                <c:pt idx="2">
                  <c:v>4.42</c:v>
                </c:pt>
                <c:pt idx="3">
                  <c:v>4.42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75A-654D-8868-0A0E56253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3929400"/>
        <c:axId val="28406133"/>
      </c:lineChart>
      <c:catAx>
        <c:axId val="13929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8406133"/>
        <c:crosses val="autoZero"/>
        <c:auto val="1"/>
        <c:lblAlgn val="ctr"/>
        <c:lblOffset val="100"/>
        <c:noMultiLvlLbl val="0"/>
      </c:catAx>
      <c:valAx>
        <c:axId val="284061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39294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'PICOS ARTESANOS 500 GR'!$D$6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'PICOS ARTESANOS 500 GR'!$A$7:$A$10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ABRIL</c:v>
                </c:pt>
                <c:pt idx="3">
                  <c:v>MAYO</c:v>
                </c:pt>
              </c:strCache>
            </c:strRef>
          </c:cat>
          <c:val>
            <c:numRef>
              <c:f>'PICOS ARTESANOS 500 GR'!$D$7:$D$10</c:f>
              <c:numCache>
                <c:formatCode>#,##0.00" €"</c:formatCode>
                <c:ptCount val="4"/>
                <c:pt idx="0">
                  <c:v>10.97</c:v>
                </c:pt>
                <c:pt idx="1">
                  <c:v>10.97</c:v>
                </c:pt>
                <c:pt idx="2">
                  <c:v>11.48</c:v>
                </c:pt>
                <c:pt idx="3">
                  <c:v>11.48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1BD-EF43-B930-C2A2C51F11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7913201"/>
        <c:axId val="67887183"/>
      </c:lineChart>
      <c:catAx>
        <c:axId val="879132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7887183"/>
        <c:crosses val="autoZero"/>
        <c:auto val="1"/>
        <c:lblAlgn val="ctr"/>
        <c:lblOffset val="100"/>
        <c:noMultiLvlLbl val="0"/>
      </c:catAx>
      <c:valAx>
        <c:axId val="678871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79132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'ANCHOAS CANTABRICO GRAN RESE'!$D$6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'ANCHOAS CANTABRICO GRAN RESE'!$A$7:$A$12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ABRIL</c:v>
                </c:pt>
                <c:pt idx="3">
                  <c:v>MAYO</c:v>
                </c:pt>
                <c:pt idx="4">
                  <c:v>JULIO</c:v>
                </c:pt>
                <c:pt idx="5">
                  <c:v>AGOSTO</c:v>
                </c:pt>
              </c:strCache>
            </c:strRef>
          </c:cat>
          <c:val>
            <c:numRef>
              <c:f>'ANCHOAS CANTABRICO GRAN RESE'!$D$7:$D$12</c:f>
              <c:numCache>
                <c:formatCode>#,##0.00" €"</c:formatCode>
                <c:ptCount val="6"/>
                <c:pt idx="0">
                  <c:v>27.46</c:v>
                </c:pt>
                <c:pt idx="1">
                  <c:v>27.46</c:v>
                </c:pt>
                <c:pt idx="2">
                  <c:v>28.66</c:v>
                </c:pt>
                <c:pt idx="3">
                  <c:v>28.66</c:v>
                </c:pt>
                <c:pt idx="4">
                  <c:v>28.66</c:v>
                </c:pt>
                <c:pt idx="5">
                  <c:v>28.66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88A-DD47-B50C-9DA3C6062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4887482"/>
        <c:axId val="46978568"/>
      </c:lineChart>
      <c:catAx>
        <c:axId val="148874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6978568"/>
        <c:crosses val="autoZero"/>
        <c:auto val="1"/>
        <c:lblAlgn val="ctr"/>
        <c:lblOffset val="100"/>
        <c:noMultiLvlLbl val="0"/>
      </c:catAx>
      <c:valAx>
        <c:axId val="469785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48874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'PEPE YLLERA 3 4'!$D$6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'PEPE YLLERA 3 4'!$A$7:$A$9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MAYO</c:v>
                </c:pt>
              </c:strCache>
            </c:strRef>
          </c:cat>
          <c:val>
            <c:numRef>
              <c:f>'PEPE YLLERA 3 4'!$D$7:$D$9</c:f>
              <c:numCache>
                <c:formatCode>#,##0.00" €"</c:formatCode>
                <c:ptCount val="3"/>
                <c:pt idx="0">
                  <c:v>7.15</c:v>
                </c:pt>
                <c:pt idx="1">
                  <c:v>7.46</c:v>
                </c:pt>
                <c:pt idx="2">
                  <c:v>7.46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AED-8741-BB1D-6B4F144A4E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8940384"/>
        <c:axId val="28895948"/>
      </c:lineChart>
      <c:catAx>
        <c:axId val="6894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8895948"/>
        <c:crosses val="autoZero"/>
        <c:auto val="1"/>
        <c:lblAlgn val="ctr"/>
        <c:lblOffset val="100"/>
        <c:noMultiLvlLbl val="0"/>
      </c:catAx>
      <c:valAx>
        <c:axId val="288959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89403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'SCHWEPPES TONICA 28 UDS'!$D$6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'SCHWEPPES TONICA 28 UDS'!$A$7:$A$8</c:f>
              <c:strCache>
                <c:ptCount val="2"/>
                <c:pt idx="0">
                  <c:v>ENERO</c:v>
                </c:pt>
                <c:pt idx="1">
                  <c:v>AGOSTO</c:v>
                </c:pt>
              </c:strCache>
            </c:strRef>
          </c:cat>
          <c:val>
            <c:numRef>
              <c:f>'SCHWEPPES TONICA 28 UDS'!$D$7:$D$8</c:f>
              <c:numCache>
                <c:formatCode>#,##0.00" €"</c:formatCode>
                <c:ptCount val="2"/>
                <c:pt idx="0">
                  <c:v>23.84</c:v>
                </c:pt>
                <c:pt idx="1">
                  <c:v>24.84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B99-054D-A500-E6C421D53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9815870"/>
        <c:axId val="77904251"/>
      </c:lineChart>
      <c:catAx>
        <c:axId val="398158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7904251"/>
        <c:crosses val="autoZero"/>
        <c:auto val="1"/>
        <c:lblAlgn val="ctr"/>
        <c:lblOffset val="100"/>
        <c:noMultiLvlLbl val="0"/>
      </c:catAx>
      <c:valAx>
        <c:axId val="779042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98158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'CASERA LIMON 1L'!$D$6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'CASERA LIMON 1L'!$A$7:$A$10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MAYO</c:v>
                </c:pt>
                <c:pt idx="3">
                  <c:v>JULIO</c:v>
                </c:pt>
              </c:strCache>
            </c:strRef>
          </c:cat>
          <c:val>
            <c:numRef>
              <c:f>'CASERA LIMON 1L'!$D$7:$D$10</c:f>
              <c:numCache>
                <c:formatCode>#,##0.00" €"</c:formatCode>
                <c:ptCount val="4"/>
                <c:pt idx="0">
                  <c:v>23.64</c:v>
                </c:pt>
                <c:pt idx="1">
                  <c:v>24.61</c:v>
                </c:pt>
                <c:pt idx="2">
                  <c:v>24.61</c:v>
                </c:pt>
                <c:pt idx="3">
                  <c:v>24.61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1E7-B242-99FC-E6424BF780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6760640"/>
        <c:axId val="6570450"/>
      </c:lineChart>
      <c:catAx>
        <c:axId val="4676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570450"/>
        <c:crosses val="autoZero"/>
        <c:auto val="1"/>
        <c:lblAlgn val="ctr"/>
        <c:lblOffset val="100"/>
        <c:noMultiLvlLbl val="0"/>
      </c:catAx>
      <c:valAx>
        <c:axId val="65704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67606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'CASERA GASEOSA 1L'!$D$6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'CASERA GASEOSA 1L'!$A$7:$A$10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MAYO</c:v>
                </c:pt>
                <c:pt idx="3">
                  <c:v>JULIO</c:v>
                </c:pt>
              </c:strCache>
            </c:strRef>
          </c:cat>
          <c:val>
            <c:numRef>
              <c:f>'CASERA GASEOSA 1L'!$D$7:$D$10</c:f>
              <c:numCache>
                <c:formatCode>#,##0.00" €"</c:formatCode>
                <c:ptCount val="4"/>
                <c:pt idx="0">
                  <c:v>20.64</c:v>
                </c:pt>
                <c:pt idx="1">
                  <c:v>21.48</c:v>
                </c:pt>
                <c:pt idx="2">
                  <c:v>21.48</c:v>
                </c:pt>
                <c:pt idx="3">
                  <c:v>21.48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1EF-CA4B-A0A1-221D6C1A5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3464908"/>
        <c:axId val="90017200"/>
      </c:lineChart>
      <c:catAx>
        <c:axId val="834649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0017200"/>
        <c:crosses val="autoZero"/>
        <c:auto val="1"/>
        <c:lblAlgn val="ctr"/>
        <c:lblOffset val="100"/>
        <c:noMultiLvlLbl val="0"/>
      </c:catAx>
      <c:valAx>
        <c:axId val="900172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34649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'PAN MOLDE BRIOCHE'!$D$6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'PAN MOLDE BRIOCHE'!$A$7:$A$12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ABRIL</c:v>
                </c:pt>
                <c:pt idx="3">
                  <c:v>MAYO</c:v>
                </c:pt>
                <c:pt idx="4">
                  <c:v>JULIO</c:v>
                </c:pt>
                <c:pt idx="5">
                  <c:v>AGOSTO</c:v>
                </c:pt>
              </c:strCache>
            </c:strRef>
          </c:cat>
          <c:val>
            <c:numRef>
              <c:f>'PAN MOLDE BRIOCHE'!$D$7:$D$12</c:f>
              <c:numCache>
                <c:formatCode>#,##0.00" €"</c:formatCode>
                <c:ptCount val="6"/>
                <c:pt idx="0">
                  <c:v>84.7</c:v>
                </c:pt>
                <c:pt idx="1">
                  <c:v>84.7</c:v>
                </c:pt>
                <c:pt idx="2">
                  <c:v>88.09</c:v>
                </c:pt>
                <c:pt idx="3">
                  <c:v>88.09</c:v>
                </c:pt>
                <c:pt idx="4">
                  <c:v>88.09</c:v>
                </c:pt>
                <c:pt idx="5">
                  <c:v>88.09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CE-5144-81EE-878962AD88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3535946"/>
        <c:axId val="36634994"/>
      </c:lineChart>
      <c:catAx>
        <c:axId val="635359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6634994"/>
        <c:crosses val="autoZero"/>
        <c:auto val="1"/>
        <c:lblAlgn val="ctr"/>
        <c:lblOffset val="100"/>
        <c:noMultiLvlLbl val="0"/>
      </c:catAx>
      <c:valAx>
        <c:axId val="366349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353594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'PACO GARCIA CRIANZA 3 4'!$D$6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'PACO GARCIA CRIANZA 3 4'!$A$7:$A$10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MAYO</c:v>
                </c:pt>
                <c:pt idx="3">
                  <c:v>AGOSTO</c:v>
                </c:pt>
              </c:strCache>
            </c:strRef>
          </c:cat>
          <c:val>
            <c:numRef>
              <c:f>'PACO GARCIA CRIANZA 3 4'!$D$7:$D$10</c:f>
              <c:numCache>
                <c:formatCode>#,##0.00" €"</c:formatCode>
                <c:ptCount val="4"/>
                <c:pt idx="0">
                  <c:v>5.0999999999999996</c:v>
                </c:pt>
                <c:pt idx="1">
                  <c:v>5.0999999999999996</c:v>
                </c:pt>
                <c:pt idx="2">
                  <c:v>5.3</c:v>
                </c:pt>
                <c:pt idx="3">
                  <c:v>5.3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13D-C24C-A388-C7B2F5024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9293359"/>
        <c:axId val="92684546"/>
      </c:lineChart>
      <c:catAx>
        <c:axId val="29293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2684546"/>
        <c:crosses val="autoZero"/>
        <c:auto val="1"/>
        <c:lblAlgn val="ctr"/>
        <c:lblOffset val="100"/>
        <c:noMultiLvlLbl val="0"/>
      </c:catAx>
      <c:valAx>
        <c:axId val="926845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92933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'RAMON BILBAO BLANCO VERDEJO'!$D$6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'RAMON BILBAO BLANCO VERDEJO'!$A$7:$A$11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MAYO</c:v>
                </c:pt>
                <c:pt idx="3">
                  <c:v>JULIO</c:v>
                </c:pt>
                <c:pt idx="4">
                  <c:v>AGOSTO</c:v>
                </c:pt>
              </c:strCache>
            </c:strRef>
          </c:cat>
          <c:val>
            <c:numRef>
              <c:f>'RAMON BILBAO BLANCO VERDEJO'!$D$7:$D$11</c:f>
              <c:numCache>
                <c:formatCode>#,##0.00" €"</c:formatCode>
                <c:ptCount val="5"/>
                <c:pt idx="0">
                  <c:v>4.5</c:v>
                </c:pt>
                <c:pt idx="1">
                  <c:v>4.5</c:v>
                </c:pt>
                <c:pt idx="2">
                  <c:v>4.67</c:v>
                </c:pt>
                <c:pt idx="3">
                  <c:v>4.67</c:v>
                </c:pt>
                <c:pt idx="4">
                  <c:v>4.67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8C0-5D4F-8766-A6A882371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5668439"/>
        <c:axId val="9170863"/>
      </c:lineChart>
      <c:catAx>
        <c:axId val="85668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170863"/>
        <c:crosses val="autoZero"/>
        <c:auto val="1"/>
        <c:lblAlgn val="ctr"/>
        <c:lblOffset val="100"/>
        <c:noMultiLvlLbl val="0"/>
      </c:catAx>
      <c:valAx>
        <c:axId val="91708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56684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'GODELLO VINAREDO'!$D$6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'GODELLO VINAREDO'!$A$7:$A$11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MAYO</c:v>
                </c:pt>
                <c:pt idx="3">
                  <c:v>JULIO</c:v>
                </c:pt>
                <c:pt idx="4">
                  <c:v>AGOSTO</c:v>
                </c:pt>
              </c:strCache>
            </c:strRef>
          </c:cat>
          <c:val>
            <c:numRef>
              <c:f>'GODELLO VINAREDO'!$D$7:$D$11</c:f>
              <c:numCache>
                <c:formatCode>#,##0.00" €"</c:formatCode>
                <c:ptCount val="5"/>
                <c:pt idx="0">
                  <c:v>6.78</c:v>
                </c:pt>
                <c:pt idx="1">
                  <c:v>6.78</c:v>
                </c:pt>
                <c:pt idx="2">
                  <c:v>7.03</c:v>
                </c:pt>
                <c:pt idx="3">
                  <c:v>7.03</c:v>
                </c:pt>
                <c:pt idx="4">
                  <c:v>7.03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14F-1341-B898-785CE55F7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7474926"/>
        <c:axId val="62550687"/>
      </c:lineChart>
      <c:catAx>
        <c:axId val="374749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2550687"/>
        <c:crosses val="autoZero"/>
        <c:auto val="1"/>
        <c:lblAlgn val="ctr"/>
        <c:lblOffset val="100"/>
        <c:noMultiLvlLbl val="0"/>
      </c:catAx>
      <c:valAx>
        <c:axId val="6255068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74749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'SENORIO FITERO ROBLE'!$D$6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'SENORIO FITERO ROBLE'!$A$7:$A$11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MAYO</c:v>
                </c:pt>
                <c:pt idx="3">
                  <c:v>JULIO</c:v>
                </c:pt>
                <c:pt idx="4">
                  <c:v>AGOSTO</c:v>
                </c:pt>
              </c:strCache>
            </c:strRef>
          </c:cat>
          <c:val>
            <c:numRef>
              <c:f>'SENORIO FITERO ROBLE'!$D$7:$D$11</c:f>
              <c:numCache>
                <c:formatCode>#,##0.00" €"</c:formatCode>
                <c:ptCount val="5"/>
                <c:pt idx="0">
                  <c:v>2.72</c:v>
                </c:pt>
                <c:pt idx="1">
                  <c:v>2.72</c:v>
                </c:pt>
                <c:pt idx="2">
                  <c:v>2.82</c:v>
                </c:pt>
                <c:pt idx="3">
                  <c:v>2.82</c:v>
                </c:pt>
                <c:pt idx="4">
                  <c:v>2.82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13A-964C-96B3-A187979E0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9011319"/>
        <c:axId val="11092876"/>
      </c:lineChart>
      <c:catAx>
        <c:axId val="19011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1092876"/>
        <c:crosses val="autoZero"/>
        <c:auto val="1"/>
        <c:lblAlgn val="ctr"/>
        <c:lblOffset val="100"/>
        <c:noMultiLvlLbl val="0"/>
      </c:catAx>
      <c:valAx>
        <c:axId val="110928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90113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CORIMBO!$D$6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CORIMBO!$A$7:$A$11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MAYO</c:v>
                </c:pt>
                <c:pt idx="3">
                  <c:v>JULIO</c:v>
                </c:pt>
                <c:pt idx="4">
                  <c:v>AGOSTO</c:v>
                </c:pt>
              </c:strCache>
            </c:strRef>
          </c:cat>
          <c:val>
            <c:numRef>
              <c:f>CORIMBO!$D$7:$D$11</c:f>
              <c:numCache>
                <c:formatCode>#,##0.00" €"</c:formatCode>
                <c:ptCount val="5"/>
                <c:pt idx="0">
                  <c:v>13.42</c:v>
                </c:pt>
                <c:pt idx="1">
                  <c:v>13.42</c:v>
                </c:pt>
                <c:pt idx="2">
                  <c:v>13.91</c:v>
                </c:pt>
                <c:pt idx="3">
                  <c:v>13.91</c:v>
                </c:pt>
                <c:pt idx="4">
                  <c:v>13.91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C12-764F-9C13-647508B119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9798135"/>
        <c:axId val="6632381"/>
      </c:lineChart>
      <c:catAx>
        <c:axId val="89798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632381"/>
        <c:crosses val="autoZero"/>
        <c:auto val="1"/>
        <c:lblAlgn val="ctr"/>
        <c:lblOffset val="100"/>
        <c:noMultiLvlLbl val="0"/>
      </c:catAx>
      <c:valAx>
        <c:axId val="66323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979813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'SCHWEPPES TONICA VIDRIO 20CL'!$D$6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'SCHWEPPES TONICA VIDRIO 20CL'!$A$7:$A$10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MAYO</c:v>
                </c:pt>
                <c:pt idx="3">
                  <c:v>JULIO</c:v>
                </c:pt>
              </c:strCache>
            </c:strRef>
          </c:cat>
          <c:val>
            <c:numRef>
              <c:f>'SCHWEPPES TONICA VIDRIO 20CL'!$D$7:$D$10</c:f>
              <c:numCache>
                <c:formatCode>#,##0.00" €"</c:formatCode>
                <c:ptCount val="4"/>
                <c:pt idx="0">
                  <c:v>30.8</c:v>
                </c:pt>
                <c:pt idx="1">
                  <c:v>31.92</c:v>
                </c:pt>
                <c:pt idx="2">
                  <c:v>31.92</c:v>
                </c:pt>
                <c:pt idx="3">
                  <c:v>31.92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B96-444C-91A0-85F25F2200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0668733"/>
        <c:axId val="73137214"/>
      </c:lineChart>
      <c:catAx>
        <c:axId val="106687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3137214"/>
        <c:crosses val="autoZero"/>
        <c:auto val="1"/>
        <c:lblAlgn val="ctr"/>
        <c:lblOffset val="100"/>
        <c:noMultiLvlLbl val="0"/>
      </c:catAx>
      <c:valAx>
        <c:axId val="731372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06687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'RODA RESERVA 3 4'!$D$6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'RODA RESERVA 3 4'!$A$7:$A$10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MAYO</c:v>
                </c:pt>
                <c:pt idx="3">
                  <c:v>JULIO</c:v>
                </c:pt>
              </c:strCache>
            </c:strRef>
          </c:cat>
          <c:val>
            <c:numRef>
              <c:f>'RODA RESERVA 3 4'!$D$7:$D$10</c:f>
              <c:numCache>
                <c:formatCode>#,##0.00" €"</c:formatCode>
                <c:ptCount val="4"/>
                <c:pt idx="0">
                  <c:v>20.63</c:v>
                </c:pt>
                <c:pt idx="1">
                  <c:v>20.63</c:v>
                </c:pt>
                <c:pt idx="2">
                  <c:v>21.38</c:v>
                </c:pt>
                <c:pt idx="3">
                  <c:v>21.38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C7E-7E44-830F-04646051E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7597268"/>
        <c:axId val="45004333"/>
      </c:lineChart>
      <c:catAx>
        <c:axId val="575972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5004333"/>
        <c:crosses val="autoZero"/>
        <c:auto val="1"/>
        <c:lblAlgn val="ctr"/>
        <c:lblOffset val="100"/>
        <c:noMultiLvlLbl val="0"/>
      </c:catAx>
      <c:valAx>
        <c:axId val="450043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759726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'ALBARINO MAR FRADES'!$D$6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'ALBARINO MAR FRADES'!$A$7:$A$11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MAYO</c:v>
                </c:pt>
                <c:pt idx="3">
                  <c:v>JULIO</c:v>
                </c:pt>
                <c:pt idx="4">
                  <c:v>AGOSTO</c:v>
                </c:pt>
              </c:strCache>
            </c:strRef>
          </c:cat>
          <c:val>
            <c:numRef>
              <c:f>'ALBARINO MAR FRADES'!$D$7:$D$11</c:f>
              <c:numCache>
                <c:formatCode>#,##0.00" €"</c:formatCode>
                <c:ptCount val="5"/>
                <c:pt idx="0">
                  <c:v>11.02</c:v>
                </c:pt>
                <c:pt idx="1">
                  <c:v>11.02</c:v>
                </c:pt>
                <c:pt idx="2">
                  <c:v>11.42</c:v>
                </c:pt>
                <c:pt idx="3">
                  <c:v>11.42</c:v>
                </c:pt>
                <c:pt idx="4">
                  <c:v>11.42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469-5C49-B551-8505AFCAD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1177931"/>
        <c:axId val="21370240"/>
      </c:lineChart>
      <c:catAx>
        <c:axId val="611779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1370240"/>
        <c:crosses val="autoZero"/>
        <c:auto val="1"/>
        <c:lblAlgn val="ctr"/>
        <c:lblOffset val="100"/>
        <c:noMultiLvlLbl val="0"/>
      </c:catAx>
      <c:valAx>
        <c:axId val="2137024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11779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'VINA MAYOR VERDEJO'!$D$6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'VINA MAYOR VERDEJO'!$A$7:$A$9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MAYO</c:v>
                </c:pt>
              </c:strCache>
            </c:strRef>
          </c:cat>
          <c:val>
            <c:numRef>
              <c:f>'VINA MAYOR VERDEJO'!$D$7:$D$9</c:f>
              <c:numCache>
                <c:formatCode>#,##0.00" €"</c:formatCode>
                <c:ptCount val="3"/>
                <c:pt idx="0">
                  <c:v>5.88</c:v>
                </c:pt>
                <c:pt idx="1">
                  <c:v>5.88</c:v>
                </c:pt>
                <c:pt idx="2">
                  <c:v>6.08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DC0-BE44-94E3-9B9AF5232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8423024"/>
        <c:axId val="27559758"/>
      </c:lineChart>
      <c:catAx>
        <c:axId val="4842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7559758"/>
        <c:crosses val="autoZero"/>
        <c:auto val="1"/>
        <c:lblAlgn val="ctr"/>
        <c:lblOffset val="100"/>
        <c:noMultiLvlLbl val="0"/>
      </c:catAx>
      <c:valAx>
        <c:axId val="2755975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84230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'SEVEN UP FREE VIDRIO 20CL'!$D$6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'SEVEN UP FREE VIDRIO 20CL'!$A$7:$A$9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MAYO</c:v>
                </c:pt>
              </c:strCache>
            </c:strRef>
          </c:cat>
          <c:val>
            <c:numRef>
              <c:f>'SEVEN UP FREE VIDRIO 20CL'!$D$7:$D$9</c:f>
              <c:numCache>
                <c:formatCode>#,##0.00" €"</c:formatCode>
                <c:ptCount val="3"/>
                <c:pt idx="0">
                  <c:v>22.56</c:v>
                </c:pt>
                <c:pt idx="1">
                  <c:v>23.28</c:v>
                </c:pt>
                <c:pt idx="2">
                  <c:v>23.28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D33-224B-9F8A-DEA6F0F49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5984258"/>
        <c:axId val="91158594"/>
      </c:lineChart>
      <c:catAx>
        <c:axId val="159842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1158594"/>
        <c:crosses val="autoZero"/>
        <c:auto val="1"/>
        <c:lblAlgn val="ctr"/>
        <c:lblOffset val="100"/>
        <c:noMultiLvlLbl val="0"/>
      </c:catAx>
      <c:valAx>
        <c:axId val="911585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59842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'LIPTON ZERO LIMON VIDRIO 35C'!$D$6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'LIPTON ZERO LIMON VIDRIO 35C'!$A$7:$A$10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MAYO</c:v>
                </c:pt>
                <c:pt idx="3">
                  <c:v>JULIO</c:v>
                </c:pt>
              </c:strCache>
            </c:strRef>
          </c:cat>
          <c:val>
            <c:numRef>
              <c:f>'LIPTON ZERO LIMON VIDRIO 35C'!$D$7:$D$10</c:f>
              <c:numCache>
                <c:formatCode>#,##0.00" €"</c:formatCode>
                <c:ptCount val="4"/>
                <c:pt idx="0">
                  <c:v>31.92</c:v>
                </c:pt>
                <c:pt idx="1">
                  <c:v>32.880000000000003</c:v>
                </c:pt>
                <c:pt idx="2">
                  <c:v>32.880000000000003</c:v>
                </c:pt>
                <c:pt idx="3">
                  <c:v>32.880000000000003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2CF-6743-A5B6-7BAC51FCC4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6786830"/>
        <c:axId val="94900945"/>
      </c:lineChart>
      <c:catAx>
        <c:axId val="667868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4900945"/>
        <c:crosses val="autoZero"/>
        <c:auto val="1"/>
        <c:lblAlgn val="ctr"/>
        <c:lblOffset val="100"/>
        <c:noMultiLvlLbl val="0"/>
      </c:catAx>
      <c:valAx>
        <c:axId val="949009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678683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 B EDI LIM EARLY HARVEST RO'!$D$6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 B EDI LIM EARLY HARVEST RO'!$A$7:$A$10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MAYO</c:v>
                </c:pt>
                <c:pt idx="3">
                  <c:v>JULIO</c:v>
                </c:pt>
              </c:strCache>
            </c:strRef>
          </c:cat>
          <c:val>
            <c:numRef>
              <c:f>'R B EDI LIM EARLY HARVEST RO'!$D$7:$D$10</c:f>
              <c:numCache>
                <c:formatCode>#,##0.00" €"</c:formatCode>
                <c:ptCount val="4"/>
                <c:pt idx="0">
                  <c:v>7.69</c:v>
                </c:pt>
                <c:pt idx="1">
                  <c:v>7.69</c:v>
                </c:pt>
                <c:pt idx="2">
                  <c:v>7.88</c:v>
                </c:pt>
                <c:pt idx="3">
                  <c:v>7.88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8F5-5846-9F20-7C778B91B7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487170"/>
        <c:axId val="21366220"/>
      </c:lineChart>
      <c:catAx>
        <c:axId val="84871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1366220"/>
        <c:crosses val="autoZero"/>
        <c:auto val="1"/>
        <c:lblAlgn val="ctr"/>
        <c:lblOffset val="100"/>
        <c:noMultiLvlLbl val="0"/>
      </c:catAx>
      <c:valAx>
        <c:axId val="2136622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48717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'POMMERY ROYAL BRUT 3 4'!$D$6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'POMMERY ROYAL BRUT 3 4'!$A$7:$A$9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MAYO</c:v>
                </c:pt>
              </c:strCache>
            </c:strRef>
          </c:cat>
          <c:val>
            <c:numRef>
              <c:f>'POMMERY ROYAL BRUT 3 4'!$D$7:$D$9</c:f>
              <c:numCache>
                <c:formatCode>#,##0.00" €"</c:formatCode>
                <c:ptCount val="3"/>
                <c:pt idx="0">
                  <c:v>35.49</c:v>
                </c:pt>
                <c:pt idx="1">
                  <c:v>35.49</c:v>
                </c:pt>
                <c:pt idx="2">
                  <c:v>36.35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B85-9645-A504-6A3BFCA1F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0977950"/>
        <c:axId val="58066455"/>
      </c:lineChart>
      <c:catAx>
        <c:axId val="9097795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8066455"/>
        <c:crosses val="autoZero"/>
        <c:auto val="1"/>
        <c:lblAlgn val="ctr"/>
        <c:lblOffset val="100"/>
        <c:noMultiLvlLbl val="0"/>
      </c:catAx>
      <c:valAx>
        <c:axId val="580664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097795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'GODELLO MAR FRADES'!$D$6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'GODELLO MAR FRADES'!$A$7:$A$8</c:f>
              <c:strCache>
                <c:ptCount val="2"/>
                <c:pt idx="0">
                  <c:v>FEBRERO</c:v>
                </c:pt>
                <c:pt idx="1">
                  <c:v>MAYO</c:v>
                </c:pt>
              </c:strCache>
            </c:strRef>
          </c:cat>
          <c:val>
            <c:numRef>
              <c:f>'GODELLO MAR FRADES'!$D$7:$D$8</c:f>
              <c:numCache>
                <c:formatCode>#,##0.00" €"</c:formatCode>
                <c:ptCount val="2"/>
                <c:pt idx="0">
                  <c:v>17.63</c:v>
                </c:pt>
                <c:pt idx="1">
                  <c:v>18.03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7E2-0A4F-82AD-70C907055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056127"/>
        <c:axId val="71338948"/>
      </c:lineChart>
      <c:catAx>
        <c:axId val="1056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1338948"/>
        <c:crosses val="autoZero"/>
        <c:auto val="1"/>
        <c:lblAlgn val="ctr"/>
        <c:lblOffset val="100"/>
        <c:noMultiLvlLbl val="0"/>
      </c:catAx>
      <c:valAx>
        <c:axId val="713389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0561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'SCHWEPPES LIMON LOW CAL VIDR'!$D$6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'SCHWEPPES LIMON LOW CAL VIDR'!$A$7:$A$10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MAYO</c:v>
                </c:pt>
                <c:pt idx="3">
                  <c:v>JULIO</c:v>
                </c:pt>
              </c:strCache>
            </c:strRef>
          </c:cat>
          <c:val>
            <c:numRef>
              <c:f>'SCHWEPPES LIMON LOW CAL VIDR'!$D$7:$D$10</c:f>
              <c:numCache>
                <c:formatCode>#,##0.00" €"</c:formatCode>
                <c:ptCount val="4"/>
                <c:pt idx="0">
                  <c:v>25.48</c:v>
                </c:pt>
                <c:pt idx="1">
                  <c:v>26.04</c:v>
                </c:pt>
                <c:pt idx="2">
                  <c:v>26.04</c:v>
                </c:pt>
                <c:pt idx="3">
                  <c:v>26.04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9B9-5744-997E-4C2ACEFF70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7745057"/>
        <c:axId val="62921435"/>
      </c:lineChart>
      <c:catAx>
        <c:axId val="577450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2921435"/>
        <c:crosses val="autoZero"/>
        <c:auto val="1"/>
        <c:lblAlgn val="ctr"/>
        <c:lblOffset val="100"/>
        <c:noMultiLvlLbl val="0"/>
      </c:catAx>
      <c:valAx>
        <c:axId val="629214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77450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'SCHWEPPES NARANJA LOW CAL VI'!$D$6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'SCHWEPPES NARANJA LOW CAL VI'!$A$7:$A$10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MAYO</c:v>
                </c:pt>
                <c:pt idx="3">
                  <c:v>JULIO</c:v>
                </c:pt>
              </c:strCache>
            </c:strRef>
          </c:cat>
          <c:val>
            <c:numRef>
              <c:f>'SCHWEPPES NARANJA LOW CAL VI'!$D$7:$D$10</c:f>
              <c:numCache>
                <c:formatCode>#,##0.00" €"</c:formatCode>
                <c:ptCount val="4"/>
                <c:pt idx="0">
                  <c:v>25.48</c:v>
                </c:pt>
                <c:pt idx="1">
                  <c:v>26.04</c:v>
                </c:pt>
                <c:pt idx="2">
                  <c:v>26.04</c:v>
                </c:pt>
                <c:pt idx="3">
                  <c:v>26.04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D48-3244-9A28-70539E895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2680321"/>
        <c:axId val="6703150"/>
      </c:lineChart>
      <c:catAx>
        <c:axId val="426803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703150"/>
        <c:crosses val="autoZero"/>
        <c:auto val="1"/>
        <c:lblAlgn val="ctr"/>
        <c:lblOffset val="100"/>
        <c:noMultiLvlLbl val="0"/>
      </c:catAx>
      <c:valAx>
        <c:axId val="67031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26803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'CUAD A O SUAVE GUADALIMAR 5L'!$D$6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'CUAD A O SUAVE GUADALIMAR 5L'!$A$7:$A$12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ABRIL</c:v>
                </c:pt>
                <c:pt idx="3">
                  <c:v>MAYO</c:v>
                </c:pt>
                <c:pt idx="4">
                  <c:v>JULIO</c:v>
                </c:pt>
                <c:pt idx="5">
                  <c:v>AGOSTO</c:v>
                </c:pt>
              </c:strCache>
            </c:strRef>
          </c:cat>
          <c:val>
            <c:numRef>
              <c:f>'CUAD A O SUAVE GUADALIMAR 5L'!$D$7:$D$12</c:f>
              <c:numCache>
                <c:formatCode>#,##0.00" €"</c:formatCode>
                <c:ptCount val="6"/>
                <c:pt idx="0">
                  <c:v>23.95</c:v>
                </c:pt>
                <c:pt idx="1">
                  <c:v>24.95</c:v>
                </c:pt>
                <c:pt idx="2">
                  <c:v>24.95</c:v>
                </c:pt>
                <c:pt idx="3">
                  <c:v>23.95</c:v>
                </c:pt>
                <c:pt idx="4">
                  <c:v>23.95</c:v>
                </c:pt>
                <c:pt idx="5">
                  <c:v>24.45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D6F-954E-9B8F-0807221DF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5395137"/>
        <c:axId val="51221957"/>
      </c:lineChart>
      <c:catAx>
        <c:axId val="353951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1221957"/>
        <c:crosses val="autoZero"/>
        <c:auto val="1"/>
        <c:lblAlgn val="ctr"/>
        <c:lblOffset val="100"/>
        <c:noMultiLvlLbl val="0"/>
      </c:catAx>
      <c:valAx>
        <c:axId val="512219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539513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'VINAGRE JEREZ RESERVA AL MOS'!$D$6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'VINAGRE JEREZ RESERVA AL MOS'!$A$7:$A$11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MAYO</c:v>
                </c:pt>
                <c:pt idx="3">
                  <c:v>JULIO</c:v>
                </c:pt>
                <c:pt idx="4">
                  <c:v>AGOSTO</c:v>
                </c:pt>
              </c:strCache>
            </c:strRef>
          </c:cat>
          <c:val>
            <c:numRef>
              <c:f>'VINAGRE JEREZ RESERVA AL MOS'!$D$7:$D$11</c:f>
              <c:numCache>
                <c:formatCode>#,##0.00" €"</c:formatCode>
                <c:ptCount val="5"/>
                <c:pt idx="0">
                  <c:v>5.33</c:v>
                </c:pt>
                <c:pt idx="1">
                  <c:v>5.33</c:v>
                </c:pt>
                <c:pt idx="2">
                  <c:v>5.44</c:v>
                </c:pt>
                <c:pt idx="3">
                  <c:v>5.44</c:v>
                </c:pt>
                <c:pt idx="4">
                  <c:v>5.44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16A-A44A-9293-A279B2061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9042604"/>
        <c:axId val="59362171"/>
      </c:lineChart>
      <c:catAx>
        <c:axId val="990426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9362171"/>
        <c:crosses val="autoZero"/>
        <c:auto val="1"/>
        <c:lblAlgn val="ctr"/>
        <c:lblOffset val="100"/>
        <c:noMultiLvlLbl val="0"/>
      </c:catAx>
      <c:valAx>
        <c:axId val="593621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90426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'FLOR ALCACHOFA CONFITADA EN'!$D$6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'FLOR ALCACHOFA CONFITADA EN'!$A$7:$A$10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ABRIL</c:v>
                </c:pt>
                <c:pt idx="3">
                  <c:v>MAYO</c:v>
                </c:pt>
              </c:strCache>
            </c:strRef>
          </c:cat>
          <c:val>
            <c:numRef>
              <c:f>'FLOR ALCACHOFA CONFITADA EN'!$D$7:$D$10</c:f>
              <c:numCache>
                <c:formatCode>#,##0.00" €"</c:formatCode>
                <c:ptCount val="4"/>
                <c:pt idx="0">
                  <c:v>22.45</c:v>
                </c:pt>
                <c:pt idx="1">
                  <c:v>22.45</c:v>
                </c:pt>
                <c:pt idx="2">
                  <c:v>22.9</c:v>
                </c:pt>
                <c:pt idx="3">
                  <c:v>22.9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1CF-9A40-8A6E-65EB0372A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7859097"/>
        <c:axId val="78561256"/>
      </c:lineChart>
      <c:catAx>
        <c:axId val="878590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8561256"/>
        <c:crosses val="autoZero"/>
        <c:auto val="1"/>
        <c:lblAlgn val="ctr"/>
        <c:lblOffset val="100"/>
        <c:noMultiLvlLbl val="0"/>
      </c:catAx>
      <c:valAx>
        <c:axId val="785612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78590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'BARBADILLO VI MOSCATO FRIZZA'!$D$6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'BARBADILLO VI MOSCATO FRIZZA'!$A$7:$A$10</c:f>
              <c:strCache>
                <c:ptCount val="4"/>
                <c:pt idx="0">
                  <c:v>FEBRERO</c:v>
                </c:pt>
                <c:pt idx="1">
                  <c:v>MAYO</c:v>
                </c:pt>
                <c:pt idx="2">
                  <c:v>JULIO</c:v>
                </c:pt>
                <c:pt idx="3">
                  <c:v>AGOSTO</c:v>
                </c:pt>
              </c:strCache>
            </c:strRef>
          </c:cat>
          <c:val>
            <c:numRef>
              <c:f>'BARBADILLO VI MOSCATO FRIZZA'!$D$7:$D$10</c:f>
              <c:numCache>
                <c:formatCode>#,##0.00" €"</c:formatCode>
                <c:ptCount val="4"/>
                <c:pt idx="0">
                  <c:v>5.52</c:v>
                </c:pt>
                <c:pt idx="1">
                  <c:v>5.63</c:v>
                </c:pt>
                <c:pt idx="2">
                  <c:v>5.63</c:v>
                </c:pt>
                <c:pt idx="3">
                  <c:v>5.63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EAA-7341-970E-14F73B3A14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8286733"/>
        <c:axId val="69127966"/>
      </c:lineChart>
      <c:catAx>
        <c:axId val="982867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9127966"/>
        <c:crosses val="autoZero"/>
        <c:auto val="1"/>
        <c:lblAlgn val="ctr"/>
        <c:lblOffset val="100"/>
        <c:noMultiLvlLbl val="0"/>
      </c:catAx>
      <c:valAx>
        <c:axId val="691279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82867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'MAESTRO DOBEL DIAMANTE REPOS'!$D$6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'MAESTRO DOBEL DIAMANTE REPOS'!$A$7:$A$11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MAYO</c:v>
                </c:pt>
                <c:pt idx="3">
                  <c:v>JULIO</c:v>
                </c:pt>
                <c:pt idx="4">
                  <c:v>AGOSTO</c:v>
                </c:pt>
              </c:strCache>
            </c:strRef>
          </c:cat>
          <c:val>
            <c:numRef>
              <c:f>'MAESTRO DOBEL DIAMANTE REPOS'!$D$7:$D$11</c:f>
              <c:numCache>
                <c:formatCode>#,##0.00" €"</c:formatCode>
                <c:ptCount val="5"/>
                <c:pt idx="0">
                  <c:v>54.14</c:v>
                </c:pt>
                <c:pt idx="1">
                  <c:v>54.14</c:v>
                </c:pt>
                <c:pt idx="2">
                  <c:v>55.17</c:v>
                </c:pt>
                <c:pt idx="3">
                  <c:v>55.17</c:v>
                </c:pt>
                <c:pt idx="4">
                  <c:v>55.17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C61-194E-9479-00916BC543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1778955"/>
        <c:axId val="33755077"/>
      </c:lineChart>
      <c:catAx>
        <c:axId val="817789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3755077"/>
        <c:crosses val="autoZero"/>
        <c:auto val="1"/>
        <c:lblAlgn val="ctr"/>
        <c:lblOffset val="100"/>
        <c:noMultiLvlLbl val="0"/>
      </c:catAx>
      <c:valAx>
        <c:axId val="337550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17789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'IZAGUIRRE BOX 20L'!$D$6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'IZAGUIRRE BOX 20L'!$A$7:$A$10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JULIO</c:v>
                </c:pt>
                <c:pt idx="3">
                  <c:v>AGOSTO</c:v>
                </c:pt>
              </c:strCache>
            </c:strRef>
          </c:cat>
          <c:val>
            <c:numRef>
              <c:f>'IZAGUIRRE BOX 20L'!$D$7:$D$10</c:f>
              <c:numCache>
                <c:formatCode>#,##0.00" €"</c:formatCode>
                <c:ptCount val="4"/>
                <c:pt idx="0">
                  <c:v>118.16500000000001</c:v>
                </c:pt>
                <c:pt idx="1">
                  <c:v>116.18</c:v>
                </c:pt>
                <c:pt idx="2">
                  <c:v>120.15</c:v>
                </c:pt>
                <c:pt idx="3">
                  <c:v>120.15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712-DB45-B868-27F85CB965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1840985"/>
        <c:axId val="66498055"/>
      </c:lineChart>
      <c:catAx>
        <c:axId val="318409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6498055"/>
        <c:crosses val="autoZero"/>
        <c:auto val="1"/>
        <c:lblAlgn val="ctr"/>
        <c:lblOffset val="100"/>
        <c:noMultiLvlLbl val="0"/>
      </c:catAx>
      <c:valAx>
        <c:axId val="664980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18409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'MACALLAN 12'!$D$6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'MACALLAN 12'!$A$7:$A$9</c:f>
              <c:strCache>
                <c:ptCount val="3"/>
                <c:pt idx="0">
                  <c:v>FEBRERO</c:v>
                </c:pt>
                <c:pt idx="1">
                  <c:v>MAYO</c:v>
                </c:pt>
                <c:pt idx="2">
                  <c:v>JULIO</c:v>
                </c:pt>
              </c:strCache>
            </c:strRef>
          </c:cat>
          <c:val>
            <c:numRef>
              <c:f>'MACALLAN 12'!$D$7:$D$9</c:f>
              <c:numCache>
                <c:formatCode>#,##0.00" €"</c:formatCode>
                <c:ptCount val="3"/>
                <c:pt idx="0">
                  <c:v>55.2</c:v>
                </c:pt>
                <c:pt idx="1">
                  <c:v>56.01</c:v>
                </c:pt>
                <c:pt idx="2">
                  <c:v>56.01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03-8F48-B80F-2FC316B7C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3856993"/>
        <c:axId val="89674927"/>
      </c:lineChart>
      <c:catAx>
        <c:axId val="938569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9674927"/>
        <c:crosses val="autoZero"/>
        <c:auto val="1"/>
        <c:lblAlgn val="ctr"/>
        <c:lblOffset val="100"/>
        <c:noMultiLvlLbl val="0"/>
      </c:catAx>
      <c:valAx>
        <c:axId val="8967492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38569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'ABSOLUT 0,70'!$D$6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'ABSOLUT 0,70'!$A$7:$A$11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MAYO</c:v>
                </c:pt>
                <c:pt idx="3">
                  <c:v>JULIO</c:v>
                </c:pt>
                <c:pt idx="4">
                  <c:v>AGOSTO</c:v>
                </c:pt>
              </c:strCache>
            </c:strRef>
          </c:cat>
          <c:val>
            <c:numRef>
              <c:f>'ABSOLUT 0,70'!$D$7:$D$11</c:f>
              <c:numCache>
                <c:formatCode>#,##0.00" €"</c:formatCode>
                <c:ptCount val="5"/>
                <c:pt idx="0">
                  <c:v>11.68</c:v>
                </c:pt>
                <c:pt idx="1">
                  <c:v>11.68</c:v>
                </c:pt>
                <c:pt idx="2">
                  <c:v>11.85</c:v>
                </c:pt>
                <c:pt idx="3">
                  <c:v>11.85</c:v>
                </c:pt>
                <c:pt idx="4">
                  <c:v>11.85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C1-2E4B-81CD-CE9F7AEC4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1459558"/>
        <c:axId val="35511861"/>
      </c:lineChart>
      <c:catAx>
        <c:axId val="1145955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5511861"/>
        <c:crosses val="autoZero"/>
        <c:auto val="1"/>
        <c:lblAlgn val="ctr"/>
        <c:lblOffset val="100"/>
        <c:noMultiLvlLbl val="0"/>
      </c:catAx>
      <c:valAx>
        <c:axId val="355118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145955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'BARCELO ANEJO'!$D$6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'BARCELO ANEJO'!$A$7:$A$10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JULIO</c:v>
                </c:pt>
                <c:pt idx="3">
                  <c:v>AGOSTO</c:v>
                </c:pt>
              </c:strCache>
            </c:strRef>
          </c:cat>
          <c:val>
            <c:numRef>
              <c:f>'BARCELO ANEJO'!$D$7:$D$10</c:f>
              <c:numCache>
                <c:formatCode>#,##0.00" €"</c:formatCode>
                <c:ptCount val="4"/>
                <c:pt idx="0">
                  <c:v>12.56</c:v>
                </c:pt>
                <c:pt idx="1">
                  <c:v>12.56</c:v>
                </c:pt>
                <c:pt idx="2">
                  <c:v>12.72</c:v>
                </c:pt>
                <c:pt idx="3">
                  <c:v>12.72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8DB-E248-B41E-1548A6900F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1787710"/>
        <c:axId val="11474786"/>
      </c:lineChart>
      <c:catAx>
        <c:axId val="517877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1474786"/>
        <c:crosses val="autoZero"/>
        <c:auto val="1"/>
        <c:lblAlgn val="ctr"/>
        <c:lblOffset val="100"/>
        <c:noMultiLvlLbl val="0"/>
      </c:catAx>
      <c:valAx>
        <c:axId val="114747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178771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 GIRASOL ALTO OLEICO'!$D$6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 GIRASOL ALTO OLEICO'!$A$7:$A$12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ABRIL</c:v>
                </c:pt>
                <c:pt idx="3">
                  <c:v>MAYO</c:v>
                </c:pt>
                <c:pt idx="4">
                  <c:v>JULIO</c:v>
                </c:pt>
                <c:pt idx="5">
                  <c:v>AGOSTO</c:v>
                </c:pt>
              </c:strCache>
            </c:strRef>
          </c:cat>
          <c:val>
            <c:numRef>
              <c:f>'A GIRASOL ALTO OLEICO'!$D$7:$D$12</c:f>
              <c:numCache>
                <c:formatCode>#,##0.00" €"</c:formatCode>
                <c:ptCount val="6"/>
                <c:pt idx="0">
                  <c:v>44.95</c:v>
                </c:pt>
                <c:pt idx="1">
                  <c:v>44.95</c:v>
                </c:pt>
                <c:pt idx="2">
                  <c:v>44.95</c:v>
                </c:pt>
                <c:pt idx="3">
                  <c:v>44.95</c:v>
                </c:pt>
                <c:pt idx="4">
                  <c:v>44.95</c:v>
                </c:pt>
                <c:pt idx="5">
                  <c:v>45.45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3C3-914D-A7D4-5858942EC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9103522"/>
        <c:axId val="10868574"/>
      </c:lineChart>
      <c:catAx>
        <c:axId val="8910352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0868574"/>
        <c:crosses val="autoZero"/>
        <c:auto val="1"/>
        <c:lblAlgn val="ctr"/>
        <c:lblOffset val="100"/>
        <c:noMultiLvlLbl val="0"/>
      </c:catAx>
      <c:valAx>
        <c:axId val="1086857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910352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'HAVANA 7 ANOS'!$D$6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'HAVANA 7 ANOS'!$A$7:$A$10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MAYO</c:v>
                </c:pt>
                <c:pt idx="3">
                  <c:v>JULIO</c:v>
                </c:pt>
              </c:strCache>
            </c:strRef>
          </c:cat>
          <c:val>
            <c:numRef>
              <c:f>'HAVANA 7 ANOS'!$D$7:$D$10</c:f>
              <c:numCache>
                <c:formatCode>#,##0.00" €"</c:formatCode>
                <c:ptCount val="4"/>
                <c:pt idx="0">
                  <c:v>18.649999999999999</c:v>
                </c:pt>
                <c:pt idx="1">
                  <c:v>18.649999999999999</c:v>
                </c:pt>
                <c:pt idx="2">
                  <c:v>18.649999999999999</c:v>
                </c:pt>
                <c:pt idx="3">
                  <c:v>18.809999999999999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96A-5C44-A3B9-FF96D713CA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4602604"/>
        <c:axId val="92541722"/>
      </c:lineChart>
      <c:catAx>
        <c:axId val="446026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2541722"/>
        <c:crosses val="autoZero"/>
        <c:auto val="1"/>
        <c:lblAlgn val="ctr"/>
        <c:lblOffset val="100"/>
        <c:noMultiLvlLbl val="0"/>
      </c:catAx>
      <c:valAx>
        <c:axId val="925417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46026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'BEEFEATER 0,70'!$D$6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'BEEFEATER 0,70'!$A$7:$A$10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MAYO</c:v>
                </c:pt>
                <c:pt idx="3">
                  <c:v>JULIO</c:v>
                </c:pt>
              </c:strCache>
            </c:strRef>
          </c:cat>
          <c:val>
            <c:numRef>
              <c:f>'BEEFEATER 0,70'!$D$7:$D$10</c:f>
              <c:numCache>
                <c:formatCode>#,##0.00" €"</c:formatCode>
                <c:ptCount val="4"/>
                <c:pt idx="0">
                  <c:v>12.2</c:v>
                </c:pt>
                <c:pt idx="1">
                  <c:v>12.2</c:v>
                </c:pt>
                <c:pt idx="2">
                  <c:v>12.3</c:v>
                </c:pt>
                <c:pt idx="3">
                  <c:v>12.3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D6F-F14D-820A-804991995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6316877"/>
        <c:axId val="89514761"/>
      </c:lineChart>
      <c:catAx>
        <c:axId val="3631687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9514761"/>
        <c:crosses val="autoZero"/>
        <c:auto val="1"/>
        <c:lblAlgn val="ctr"/>
        <c:lblOffset val="100"/>
        <c:noMultiLvlLbl val="0"/>
      </c:catAx>
      <c:valAx>
        <c:axId val="895147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631687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'TRUS CRIANZA 3 4'!$D$6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'TRUS CRIANZA 3 4'!$A$7:$A$9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MAYO</c:v>
                </c:pt>
              </c:strCache>
            </c:strRef>
          </c:cat>
          <c:val>
            <c:numRef>
              <c:f>'TRUS CRIANZA 3 4'!$D$7:$D$9</c:f>
              <c:numCache>
                <c:formatCode>#,##0.00" €"</c:formatCode>
                <c:ptCount val="3"/>
                <c:pt idx="0">
                  <c:v>9.7100000000000009</c:v>
                </c:pt>
                <c:pt idx="1">
                  <c:v>9.7100000000000009</c:v>
                </c:pt>
                <c:pt idx="2">
                  <c:v>9.7799999999999994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BB6-3F46-84C8-D745BAB58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8499301"/>
        <c:axId val="84730785"/>
      </c:lineChart>
      <c:catAx>
        <c:axId val="984993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4730785"/>
        <c:crosses val="autoZero"/>
        <c:auto val="1"/>
        <c:lblAlgn val="ctr"/>
        <c:lblOffset val="100"/>
        <c:noMultiLvlLbl val="0"/>
      </c:catAx>
      <c:valAx>
        <c:axId val="847307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849930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'BRUGAL 0,70'!$D$6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'BRUGAL 0,70'!$A$7:$A$10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MAYO</c:v>
                </c:pt>
                <c:pt idx="3">
                  <c:v>JULIO</c:v>
                </c:pt>
              </c:strCache>
            </c:strRef>
          </c:cat>
          <c:val>
            <c:numRef>
              <c:f>'BRUGAL 0,70'!$D$7:$D$10</c:f>
              <c:numCache>
                <c:formatCode>#,##0.00" €"</c:formatCode>
                <c:ptCount val="4"/>
                <c:pt idx="0">
                  <c:v>11.6</c:v>
                </c:pt>
                <c:pt idx="1">
                  <c:v>11.6</c:v>
                </c:pt>
                <c:pt idx="2">
                  <c:v>11.66</c:v>
                </c:pt>
                <c:pt idx="3">
                  <c:v>11.66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4FC-C04B-A033-D0EA508F8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5954463"/>
        <c:axId val="70211665"/>
      </c:lineChart>
      <c:catAx>
        <c:axId val="159544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0211665"/>
        <c:crosses val="autoZero"/>
        <c:auto val="1"/>
        <c:lblAlgn val="ctr"/>
        <c:lblOffset val="100"/>
        <c:noMultiLvlLbl val="0"/>
      </c:catAx>
      <c:valAx>
        <c:axId val="702116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59544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'LARIOS ESPECIAL 12'!$D$6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'LARIOS ESPECIAL 12'!$A$7:$A$8</c:f>
              <c:strCache>
                <c:ptCount val="2"/>
                <c:pt idx="0">
                  <c:v>ENERO</c:v>
                </c:pt>
                <c:pt idx="1">
                  <c:v>JULIO</c:v>
                </c:pt>
              </c:strCache>
            </c:strRef>
          </c:cat>
          <c:val>
            <c:numRef>
              <c:f>'LARIOS ESPECIAL 12'!$D$7:$D$8</c:f>
              <c:numCache>
                <c:formatCode>#,##0.00" €"</c:formatCode>
                <c:ptCount val="2"/>
                <c:pt idx="0">
                  <c:v>12.06</c:v>
                </c:pt>
                <c:pt idx="1">
                  <c:v>12.12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03C-724B-BEEA-24DF44F7E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6938194"/>
        <c:axId val="70753444"/>
      </c:lineChart>
      <c:catAx>
        <c:axId val="769381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0753444"/>
        <c:crosses val="autoZero"/>
        <c:auto val="1"/>
        <c:lblAlgn val="ctr"/>
        <c:lblOffset val="100"/>
        <c:noMultiLvlLbl val="0"/>
      </c:catAx>
      <c:valAx>
        <c:axId val="7075344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693819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'LARIOS 1L'!$D$6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'LARIOS 1L'!$A$7:$A$9</c:f>
              <c:strCache>
                <c:ptCount val="3"/>
                <c:pt idx="0">
                  <c:v>ENERO</c:v>
                </c:pt>
                <c:pt idx="1">
                  <c:v>JULIO</c:v>
                </c:pt>
                <c:pt idx="2">
                  <c:v>AGOSTO</c:v>
                </c:pt>
              </c:strCache>
            </c:strRef>
          </c:cat>
          <c:val>
            <c:numRef>
              <c:f>'LARIOS 1L'!$D$7:$D$9</c:f>
              <c:numCache>
                <c:formatCode>#,##0.00" €"</c:formatCode>
                <c:ptCount val="3"/>
                <c:pt idx="0">
                  <c:v>10.27</c:v>
                </c:pt>
                <c:pt idx="1">
                  <c:v>10.32</c:v>
                </c:pt>
                <c:pt idx="2">
                  <c:v>10.32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1B5-A048-8204-26D6B6205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7546217"/>
        <c:axId val="33426809"/>
      </c:lineChart>
      <c:catAx>
        <c:axId val="875462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3426809"/>
        <c:crosses val="autoZero"/>
        <c:auto val="1"/>
        <c:lblAlgn val="ctr"/>
        <c:lblOffset val="100"/>
        <c:noMultiLvlLbl val="0"/>
      </c:catAx>
      <c:valAx>
        <c:axId val="334268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75462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'SEAGRAMS 0,70'!$D$6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'SEAGRAMS 0,70'!$A$7:$A$10</c:f>
              <c:strCache>
                <c:ptCount val="4"/>
                <c:pt idx="0">
                  <c:v>ENERO</c:v>
                </c:pt>
                <c:pt idx="1">
                  <c:v>FEBRERO</c:v>
                </c:pt>
                <c:pt idx="2">
                  <c:v>MAYO</c:v>
                </c:pt>
                <c:pt idx="3">
                  <c:v>JULIO</c:v>
                </c:pt>
              </c:strCache>
            </c:strRef>
          </c:cat>
          <c:val>
            <c:numRef>
              <c:f>'SEAGRAMS 0,70'!$D$7:$D$10</c:f>
              <c:numCache>
                <c:formatCode>#,##0.00" €"</c:formatCode>
                <c:ptCount val="4"/>
                <c:pt idx="0">
                  <c:v>13.32</c:v>
                </c:pt>
                <c:pt idx="1">
                  <c:v>13.32</c:v>
                </c:pt>
                <c:pt idx="2">
                  <c:v>13.38</c:v>
                </c:pt>
                <c:pt idx="3">
                  <c:v>13.38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430-C048-BEAE-16815E588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2739665"/>
        <c:axId val="36781634"/>
      </c:lineChart>
      <c:catAx>
        <c:axId val="827396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6781634"/>
        <c:crosses val="autoZero"/>
        <c:auto val="1"/>
        <c:lblAlgn val="ctr"/>
        <c:lblOffset val="100"/>
        <c:noMultiLvlLbl val="0"/>
      </c:catAx>
      <c:valAx>
        <c:axId val="3678163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273966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'DYC 8 ANOS 0,70'!$D$6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'DYC 8 ANOS 0,70'!$A$7:$A$8</c:f>
              <c:strCache>
                <c:ptCount val="2"/>
                <c:pt idx="0">
                  <c:v>ENERO</c:v>
                </c:pt>
                <c:pt idx="1">
                  <c:v>MAYO</c:v>
                </c:pt>
              </c:strCache>
            </c:strRef>
          </c:cat>
          <c:val>
            <c:numRef>
              <c:f>'DYC 8 ANOS 0,70'!$D$7:$D$8</c:f>
              <c:numCache>
                <c:formatCode>#,##0.00" €"</c:formatCode>
                <c:ptCount val="2"/>
                <c:pt idx="0">
                  <c:v>10.64</c:v>
                </c:pt>
                <c:pt idx="1">
                  <c:v>10.67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2F-1141-8F32-65DEEC8CB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128152"/>
        <c:axId val="82308817"/>
      </c:lineChart>
      <c:catAx>
        <c:axId val="8128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2308817"/>
        <c:crosses val="autoZero"/>
        <c:auto val="1"/>
        <c:lblAlgn val="ctr"/>
        <c:lblOffset val="100"/>
        <c:noMultiLvlLbl val="0"/>
      </c:catAx>
      <c:valAx>
        <c:axId val="823088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12815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'ENTRECOT T MORUCHA'!$D$6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'ENTRECOT T MORUCHA'!$A$7:$A$12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ABRIL</c:v>
                </c:pt>
                <c:pt idx="3">
                  <c:v>MAYO</c:v>
                </c:pt>
                <c:pt idx="4">
                  <c:v>JULIO</c:v>
                </c:pt>
                <c:pt idx="5">
                  <c:v>AGOSTO</c:v>
                </c:pt>
              </c:strCache>
            </c:strRef>
          </c:cat>
          <c:val>
            <c:numRef>
              <c:f>'ENTRECOT T MORUCHA'!$D$7:$D$12</c:f>
              <c:numCache>
                <c:formatCode>#,##0.00" €"</c:formatCode>
                <c:ptCount val="6"/>
                <c:pt idx="0">
                  <c:v>27.5</c:v>
                </c:pt>
                <c:pt idx="1">
                  <c:v>27.5</c:v>
                </c:pt>
                <c:pt idx="2">
                  <c:v>27.5</c:v>
                </c:pt>
                <c:pt idx="3">
                  <c:v>27.5</c:v>
                </c:pt>
                <c:pt idx="4">
                  <c:v>27.5</c:v>
                </c:pt>
                <c:pt idx="5">
                  <c:v>27.57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41B-DF47-ABF6-2ECA2B8CA8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6981303"/>
        <c:axId val="97910459"/>
      </c:lineChart>
      <c:catAx>
        <c:axId val="86981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7910459"/>
        <c:crosses val="autoZero"/>
        <c:auto val="1"/>
        <c:lblAlgn val="ctr"/>
        <c:lblOffset val="100"/>
        <c:noMultiLvlLbl val="0"/>
      </c:catAx>
      <c:valAx>
        <c:axId val="9791045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698130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'MEDALLON P SOLOMILLO VACUNO'!$D$6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'MEDALLON P SOLOMILLO VACUNO'!$A$7:$A$12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ABRIL</c:v>
                </c:pt>
                <c:pt idx="3">
                  <c:v>MAYO</c:v>
                </c:pt>
                <c:pt idx="4">
                  <c:v>JULIO</c:v>
                </c:pt>
                <c:pt idx="5">
                  <c:v>AGOSTO</c:v>
                </c:pt>
              </c:strCache>
            </c:strRef>
          </c:cat>
          <c:val>
            <c:numRef>
              <c:f>'MEDALLON P SOLOMILLO VACUNO'!$D$7:$D$12</c:f>
              <c:numCache>
                <c:formatCode>#,##0.00" €"</c:formatCode>
                <c:ptCount val="6"/>
                <c:pt idx="0">
                  <c:v>36.9</c:v>
                </c:pt>
                <c:pt idx="1">
                  <c:v>36.9</c:v>
                </c:pt>
                <c:pt idx="2">
                  <c:v>36.9</c:v>
                </c:pt>
                <c:pt idx="3">
                  <c:v>36.9</c:v>
                </c:pt>
                <c:pt idx="4">
                  <c:v>36.9</c:v>
                </c:pt>
                <c:pt idx="5">
                  <c:v>36.97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8DA-0440-8C39-3CB58F558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3357009"/>
        <c:axId val="60377810"/>
      </c:lineChart>
      <c:catAx>
        <c:axId val="6335700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0377810"/>
        <c:crosses val="autoZero"/>
        <c:auto val="1"/>
        <c:lblAlgn val="ctr"/>
        <c:lblOffset val="100"/>
        <c:noMultiLvlLbl val="0"/>
      </c:catAx>
      <c:valAx>
        <c:axId val="603778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33570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'CRUZ ALBA ROBLE 3 4'!$D$6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'CRUZ ALBA ROBLE 3 4'!$A$7:$A$9</c:f>
              <c:strCache>
                <c:ptCount val="3"/>
                <c:pt idx="0">
                  <c:v>ENERO</c:v>
                </c:pt>
                <c:pt idx="1">
                  <c:v>FEBRERO</c:v>
                </c:pt>
                <c:pt idx="2">
                  <c:v>MAYO</c:v>
                </c:pt>
              </c:strCache>
            </c:strRef>
          </c:cat>
          <c:val>
            <c:numRef>
              <c:f>'CRUZ ALBA ROBLE 3 4'!$D$7:$D$9</c:f>
              <c:numCache>
                <c:formatCode>#,##0.00" €"</c:formatCode>
                <c:ptCount val="3"/>
                <c:pt idx="0">
                  <c:v>7.47</c:v>
                </c:pt>
                <c:pt idx="1">
                  <c:v>7.47</c:v>
                </c:pt>
                <c:pt idx="2">
                  <c:v>7.48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C47-F846-988F-D8B95EED71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8780426"/>
        <c:axId val="50128900"/>
      </c:lineChart>
      <c:catAx>
        <c:axId val="787804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0128900"/>
        <c:crosses val="autoZero"/>
        <c:auto val="1"/>
        <c:lblAlgn val="ctr"/>
        <c:lblOffset val="100"/>
        <c:noMultiLvlLbl val="0"/>
      </c:catAx>
      <c:valAx>
        <c:axId val="501289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87804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HENDRICKS!$D$6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HENDRICKS!$A$7:$A$8</c:f>
              <c:strCache>
                <c:ptCount val="2"/>
                <c:pt idx="0">
                  <c:v>ENERO</c:v>
                </c:pt>
                <c:pt idx="1">
                  <c:v>FEBRERO</c:v>
                </c:pt>
              </c:strCache>
            </c:strRef>
          </c:cat>
          <c:val>
            <c:numRef>
              <c:f>HENDRICKS!$D$7:$D$8</c:f>
              <c:numCache>
                <c:formatCode>#,##0.00" €"</c:formatCode>
                <c:ptCount val="2"/>
                <c:pt idx="0">
                  <c:v>24.43</c:v>
                </c:pt>
                <c:pt idx="1">
                  <c:v>24.46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D53-A04C-B71F-5D293654C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9494574"/>
        <c:axId val="28838961"/>
      </c:lineChart>
      <c:catAx>
        <c:axId val="294945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8838961"/>
        <c:crosses val="autoZero"/>
        <c:auto val="1"/>
        <c:lblAlgn val="ctr"/>
        <c:lblOffset val="100"/>
        <c:noMultiLvlLbl val="0"/>
      </c:catAx>
      <c:valAx>
        <c:axId val="288389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949457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'RACION CECINA PREMIUM 100GR'!$D$6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'RACION CECINA PREMIUM 100GR'!$A$7:$A$11</c:f>
              <c:strCache>
                <c:ptCount val="5"/>
                <c:pt idx="0">
                  <c:v>FEBRERO</c:v>
                </c:pt>
                <c:pt idx="1">
                  <c:v>ABRIL</c:v>
                </c:pt>
                <c:pt idx="2">
                  <c:v>MAYO</c:v>
                </c:pt>
                <c:pt idx="3">
                  <c:v>JULIO</c:v>
                </c:pt>
                <c:pt idx="4">
                  <c:v>AGOSTO</c:v>
                </c:pt>
              </c:strCache>
            </c:strRef>
          </c:cat>
          <c:val>
            <c:numRef>
              <c:f>'RACION CECINA PREMIUM 100GR'!$D$7:$D$11</c:f>
              <c:numCache>
                <c:formatCode>#,##0.00" €"</c:formatCode>
                <c:ptCount val="5"/>
                <c:pt idx="0">
                  <c:v>7.35</c:v>
                </c:pt>
                <c:pt idx="1">
                  <c:v>6.9</c:v>
                </c:pt>
                <c:pt idx="2">
                  <c:v>7.35</c:v>
                </c:pt>
                <c:pt idx="3">
                  <c:v>7.35</c:v>
                </c:pt>
                <c:pt idx="4">
                  <c:v>7.35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AF6-1A4E-AC38-D05EBAB11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1859142"/>
        <c:axId val="99965503"/>
      </c:lineChart>
      <c:catAx>
        <c:axId val="118591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9965503"/>
        <c:crosses val="autoZero"/>
        <c:auto val="1"/>
        <c:lblAlgn val="ctr"/>
        <c:lblOffset val="100"/>
        <c:noMultiLvlLbl val="0"/>
      </c:catAx>
      <c:valAx>
        <c:axId val="999655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18591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'SOLOMILLO VACA'!$D$6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'SOLOMILLO VACA'!$A$7:$A$9</c:f>
              <c:strCache>
                <c:ptCount val="3"/>
                <c:pt idx="0">
                  <c:v>MAYO</c:v>
                </c:pt>
                <c:pt idx="1">
                  <c:v>JULIO</c:v>
                </c:pt>
                <c:pt idx="2">
                  <c:v>AGOSTO</c:v>
                </c:pt>
              </c:strCache>
            </c:strRef>
          </c:cat>
          <c:val>
            <c:numRef>
              <c:f>'SOLOMILLO VACA'!$D$7:$D$9</c:f>
              <c:numCache>
                <c:formatCode>#,##0.00" €"</c:formatCode>
                <c:ptCount val="3"/>
                <c:pt idx="0">
                  <c:v>35</c:v>
                </c:pt>
                <c:pt idx="1">
                  <c:v>34.774999999999999</c:v>
                </c:pt>
                <c:pt idx="2">
                  <c:v>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752-1D4A-AEE4-8F155432D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3893828"/>
        <c:axId val="79088597"/>
      </c:lineChart>
      <c:catAx>
        <c:axId val="138938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9088597"/>
        <c:crosses val="autoZero"/>
        <c:auto val="1"/>
        <c:lblAlgn val="ctr"/>
        <c:lblOffset val="100"/>
        <c:noMultiLvlLbl val="0"/>
      </c:catAx>
      <c:valAx>
        <c:axId val="790885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38938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'RACION CECINA PREMIUM 100 2'!$D$6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'RACION CECINA PREMIUM 100 2'!$A$7:$A$9</c:f>
              <c:strCache>
                <c:ptCount val="3"/>
                <c:pt idx="0">
                  <c:v>FEBRERO</c:v>
                </c:pt>
                <c:pt idx="1">
                  <c:v>ABRIL</c:v>
                </c:pt>
                <c:pt idx="2">
                  <c:v>MAYO</c:v>
                </c:pt>
              </c:strCache>
            </c:strRef>
          </c:cat>
          <c:val>
            <c:numRef>
              <c:f>'RACION CECINA PREMIUM 100 2'!$D$7:$D$9</c:f>
              <c:numCache>
                <c:formatCode>#,##0.00" €"</c:formatCode>
                <c:ptCount val="3"/>
                <c:pt idx="0">
                  <c:v>16</c:v>
                </c:pt>
                <c:pt idx="1">
                  <c:v>7.35</c:v>
                </c:pt>
                <c:pt idx="2">
                  <c:v>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B68-7C4A-829A-A1CDEFEA9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2201332"/>
        <c:axId val="26389292"/>
      </c:lineChart>
      <c:catAx>
        <c:axId val="522013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6389292"/>
        <c:crosses val="autoZero"/>
        <c:auto val="1"/>
        <c:lblAlgn val="ctr"/>
        <c:lblOffset val="100"/>
        <c:noMultiLvlLbl val="0"/>
      </c:catAx>
      <c:valAx>
        <c:axId val="263892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220133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LIMON!$D$6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LIMON!$A$7:$A$11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ABRIL</c:v>
                </c:pt>
                <c:pt idx="3">
                  <c:v>MAYO</c:v>
                </c:pt>
                <c:pt idx="4">
                  <c:v>JULIO</c:v>
                </c:pt>
              </c:strCache>
            </c:strRef>
          </c:cat>
          <c:val>
            <c:numRef>
              <c:f>LIMON!$D$7:$D$11</c:f>
              <c:numCache>
                <c:formatCode>#,##0.00" €"</c:formatCode>
                <c:ptCount val="5"/>
                <c:pt idx="0">
                  <c:v>2.1</c:v>
                </c:pt>
                <c:pt idx="1">
                  <c:v>2.15</c:v>
                </c:pt>
                <c:pt idx="2">
                  <c:v>2.8333333333333335</c:v>
                </c:pt>
                <c:pt idx="3">
                  <c:v>3.3</c:v>
                </c:pt>
                <c:pt idx="4">
                  <c:v>3.6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298-4A47-94BF-C4B34D7BA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1908800"/>
        <c:axId val="16863329"/>
      </c:lineChart>
      <c:catAx>
        <c:axId val="2190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6863329"/>
        <c:crosses val="autoZero"/>
        <c:auto val="1"/>
        <c:lblAlgn val="ctr"/>
        <c:lblOffset val="100"/>
        <c:noMultiLvlLbl val="0"/>
      </c:catAx>
      <c:valAx>
        <c:axId val="168633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19088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'BOQUERON GORDO'!$D$6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'BOQUERON GORDO'!$A$7:$A$11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ABRIL</c:v>
                </c:pt>
                <c:pt idx="3">
                  <c:v>JULIO</c:v>
                </c:pt>
                <c:pt idx="4">
                  <c:v>AGOSTO</c:v>
                </c:pt>
              </c:strCache>
            </c:strRef>
          </c:cat>
          <c:val>
            <c:numRef>
              <c:f>'BOQUERON GORDO'!$D$7:$D$11</c:f>
              <c:numCache>
                <c:formatCode>#,##0.00" €"</c:formatCode>
                <c:ptCount val="5"/>
                <c:pt idx="0">
                  <c:v>8.8000000000000007</c:v>
                </c:pt>
                <c:pt idx="1">
                  <c:v>10.299999999999999</c:v>
                </c:pt>
                <c:pt idx="2">
                  <c:v>9.7000000000000011</c:v>
                </c:pt>
                <c:pt idx="3">
                  <c:v>11.95</c:v>
                </c:pt>
                <c:pt idx="4">
                  <c:v>10.875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680-AB44-8CA9-0A124055F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0345790"/>
        <c:axId val="16870673"/>
      </c:lineChart>
      <c:catAx>
        <c:axId val="403457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6870673"/>
        <c:crosses val="autoZero"/>
        <c:auto val="1"/>
        <c:lblAlgn val="ctr"/>
        <c:lblOffset val="100"/>
        <c:noMultiLvlLbl val="0"/>
      </c:catAx>
      <c:valAx>
        <c:axId val="168706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034579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PARROCHAS!$D$6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PARROCHAS!$A$7:$A$8</c:f>
              <c:strCache>
                <c:ptCount val="2"/>
                <c:pt idx="0">
                  <c:v>MAYO</c:v>
                </c:pt>
                <c:pt idx="1">
                  <c:v>JULIO</c:v>
                </c:pt>
              </c:strCache>
            </c:strRef>
          </c:cat>
          <c:val>
            <c:numRef>
              <c:f>PARROCHAS!$D$7:$D$8</c:f>
              <c:numCache>
                <c:formatCode>#,##0.00" €"</c:formatCode>
                <c:ptCount val="2"/>
                <c:pt idx="0">
                  <c:v>5.9966666666666661</c:v>
                </c:pt>
                <c:pt idx="1">
                  <c:v>7.4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E1D-CD41-8D88-C41CB022C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6238288"/>
        <c:axId val="13934071"/>
      </c:lineChart>
      <c:catAx>
        <c:axId val="9623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3934071"/>
        <c:crosses val="autoZero"/>
        <c:auto val="1"/>
        <c:lblAlgn val="ctr"/>
        <c:lblOffset val="100"/>
        <c:noMultiLvlLbl val="0"/>
      </c:catAx>
      <c:valAx>
        <c:axId val="1393407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623828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'BOQUERON GORDO 2'!$D$6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'BOQUERON GORDO 2'!$A$7:$A$11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ABRIL</c:v>
                </c:pt>
                <c:pt idx="3">
                  <c:v>MAYO</c:v>
                </c:pt>
                <c:pt idx="4">
                  <c:v>JULIO</c:v>
                </c:pt>
              </c:strCache>
            </c:strRef>
          </c:cat>
          <c:val>
            <c:numRef>
              <c:f>'BOQUERON GORDO 2'!$D$7:$D$11</c:f>
              <c:numCache>
                <c:formatCode>#,##0.00" €"</c:formatCode>
                <c:ptCount val="5"/>
                <c:pt idx="0">
                  <c:v>9.09</c:v>
                </c:pt>
                <c:pt idx="1">
                  <c:v>8.18</c:v>
                </c:pt>
                <c:pt idx="2">
                  <c:v>8.6366666666666667</c:v>
                </c:pt>
                <c:pt idx="3">
                  <c:v>8.9774999999999991</c:v>
                </c:pt>
                <c:pt idx="4">
                  <c:v>10.625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433-C947-847A-F825D7F161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2575296"/>
        <c:axId val="82331142"/>
      </c:lineChart>
      <c:catAx>
        <c:axId val="3257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2331142"/>
        <c:crosses val="autoZero"/>
        <c:auto val="1"/>
        <c:lblAlgn val="ctr"/>
        <c:lblOffset val="100"/>
        <c:noMultiLvlLbl val="0"/>
      </c:catAx>
      <c:valAx>
        <c:axId val="823311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257529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QUISQUILLA!$D$6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QUISQUILLA!$A$7:$A$9</c:f>
              <c:strCache>
                <c:ptCount val="3"/>
                <c:pt idx="0">
                  <c:v>ABRIL</c:v>
                </c:pt>
                <c:pt idx="1">
                  <c:v>MAYO</c:v>
                </c:pt>
                <c:pt idx="2">
                  <c:v>JULIO</c:v>
                </c:pt>
              </c:strCache>
            </c:strRef>
          </c:cat>
          <c:val>
            <c:numRef>
              <c:f>QUISQUILLA!$D$7:$D$9</c:f>
              <c:numCache>
                <c:formatCode>#,##0.00" €"</c:formatCode>
                <c:ptCount val="3"/>
                <c:pt idx="0">
                  <c:v>51</c:v>
                </c:pt>
                <c:pt idx="1">
                  <c:v>58</c:v>
                </c:pt>
                <c:pt idx="2">
                  <c:v>58.5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017-8543-B79B-9B12848F72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7527717"/>
        <c:axId val="26651113"/>
      </c:lineChart>
      <c:catAx>
        <c:axId val="775277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6651113"/>
        <c:crosses val="autoZero"/>
        <c:auto val="1"/>
        <c:lblAlgn val="ctr"/>
        <c:lblOffset val="100"/>
        <c:noMultiLvlLbl val="0"/>
      </c:catAx>
      <c:valAx>
        <c:axId val="266511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75277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LANGOSTINOS!$D$6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LANGOSTINOS!$A$7:$A$11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ABRIL</c:v>
                </c:pt>
                <c:pt idx="3">
                  <c:v>MAYO</c:v>
                </c:pt>
                <c:pt idx="4">
                  <c:v>JULIO</c:v>
                </c:pt>
              </c:strCache>
            </c:strRef>
          </c:cat>
          <c:val>
            <c:numRef>
              <c:f>LANGOSTINOS!$D$7:$D$11</c:f>
              <c:numCache>
                <c:formatCode>#,##0.00" €"</c:formatCode>
                <c:ptCount val="5"/>
                <c:pt idx="0">
                  <c:v>31.666666666666668</c:v>
                </c:pt>
                <c:pt idx="1">
                  <c:v>34</c:v>
                </c:pt>
                <c:pt idx="2">
                  <c:v>34</c:v>
                </c:pt>
                <c:pt idx="3">
                  <c:v>35</c:v>
                </c:pt>
                <c:pt idx="4">
                  <c:v>35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D0D-3A4E-A9A7-ABBC2C372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3548924"/>
        <c:axId val="94040073"/>
      </c:lineChart>
      <c:catAx>
        <c:axId val="135489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4040073"/>
        <c:crosses val="autoZero"/>
        <c:auto val="1"/>
        <c:lblAlgn val="ctr"/>
        <c:lblOffset val="100"/>
        <c:noMultiLvlLbl val="0"/>
      </c:catAx>
      <c:valAx>
        <c:axId val="9404007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35489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CIGALAS!$D$6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CIGALAS!$A$7:$A$10</c:f>
              <c:strCache>
                <c:ptCount val="4"/>
                <c:pt idx="0">
                  <c:v>FEBRERO</c:v>
                </c:pt>
                <c:pt idx="1">
                  <c:v>ABRIL</c:v>
                </c:pt>
                <c:pt idx="2">
                  <c:v>MAYO</c:v>
                </c:pt>
                <c:pt idx="3">
                  <c:v>JULIO</c:v>
                </c:pt>
              </c:strCache>
            </c:strRef>
          </c:cat>
          <c:val>
            <c:numRef>
              <c:f>CIGALAS!$D$7:$D$10</c:f>
              <c:numCache>
                <c:formatCode>#,##0.00" €"</c:formatCode>
                <c:ptCount val="4"/>
                <c:pt idx="0">
                  <c:v>68</c:v>
                </c:pt>
                <c:pt idx="1">
                  <c:v>59</c:v>
                </c:pt>
                <c:pt idx="2">
                  <c:v>70</c:v>
                </c:pt>
                <c:pt idx="3">
                  <c:v>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A62-554B-9AB3-9149A6162F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92316695"/>
        <c:axId val="64721937"/>
      </c:lineChart>
      <c:catAx>
        <c:axId val="92316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4721937"/>
        <c:crosses val="autoZero"/>
        <c:auto val="1"/>
        <c:lblAlgn val="ctr"/>
        <c:lblOffset val="100"/>
        <c:noMultiLvlLbl val="0"/>
      </c:catAx>
      <c:valAx>
        <c:axId val="647219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231669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ALISTADOS!$D$6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ALISTADOS!$A$7:$A$10</c:f>
              <c:strCache>
                <c:ptCount val="4"/>
                <c:pt idx="0">
                  <c:v>FEBRERO</c:v>
                </c:pt>
                <c:pt idx="1">
                  <c:v>ABRIL</c:v>
                </c:pt>
                <c:pt idx="2">
                  <c:v>JULIO</c:v>
                </c:pt>
                <c:pt idx="3">
                  <c:v>AGOSTO</c:v>
                </c:pt>
              </c:strCache>
            </c:strRef>
          </c:cat>
          <c:val>
            <c:numRef>
              <c:f>ALISTADOS!$D$7:$D$10</c:f>
              <c:numCache>
                <c:formatCode>#,##0.00" €"</c:formatCode>
                <c:ptCount val="4"/>
                <c:pt idx="0">
                  <c:v>82.5</c:v>
                </c:pt>
                <c:pt idx="1">
                  <c:v>82.5</c:v>
                </c:pt>
                <c:pt idx="2">
                  <c:v>78</c:v>
                </c:pt>
                <c:pt idx="3">
                  <c:v>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72F-F445-9AB7-D60CECA9B4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7443891"/>
        <c:axId val="12288467"/>
      </c:lineChart>
      <c:catAx>
        <c:axId val="274438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2288467"/>
        <c:crosses val="autoZero"/>
        <c:auto val="1"/>
        <c:lblAlgn val="ctr"/>
        <c:lblOffset val="100"/>
        <c:noMultiLvlLbl val="0"/>
      </c:catAx>
      <c:valAx>
        <c:axId val="122884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744389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CARABINEROS!$D$6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CARABINEROS!$A$7:$A$12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ABRIL</c:v>
                </c:pt>
                <c:pt idx="3">
                  <c:v>MAYO</c:v>
                </c:pt>
                <c:pt idx="4">
                  <c:v>JULIO</c:v>
                </c:pt>
                <c:pt idx="5">
                  <c:v>AGOSTO</c:v>
                </c:pt>
              </c:strCache>
            </c:strRef>
          </c:cat>
          <c:val>
            <c:numRef>
              <c:f>CARABINEROS!$D$7:$D$12</c:f>
              <c:numCache>
                <c:formatCode>#,##0.00" €"</c:formatCode>
                <c:ptCount val="6"/>
                <c:pt idx="0">
                  <c:v>93.5</c:v>
                </c:pt>
                <c:pt idx="1">
                  <c:v>94.333333333333329</c:v>
                </c:pt>
                <c:pt idx="2">
                  <c:v>96.333333333333329</c:v>
                </c:pt>
                <c:pt idx="3">
                  <c:v>108</c:v>
                </c:pt>
                <c:pt idx="4">
                  <c:v>98</c:v>
                </c:pt>
                <c:pt idx="5">
                  <c:v>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689-F548-A7AA-3C95BB0EC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1805114"/>
        <c:axId val="65491769"/>
      </c:lineChart>
      <c:catAx>
        <c:axId val="718051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5491769"/>
        <c:crosses val="autoZero"/>
        <c:auto val="1"/>
        <c:lblAlgn val="ctr"/>
        <c:lblOffset val="100"/>
        <c:noMultiLvlLbl val="0"/>
      </c:catAx>
      <c:valAx>
        <c:axId val="6549176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180511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'TOMATE IBERICO'!$D$6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'TOMATE IBERICO'!$A$7:$A$11</c:f>
              <c:strCache>
                <c:ptCount val="5"/>
                <c:pt idx="0">
                  <c:v>ENERO</c:v>
                </c:pt>
                <c:pt idx="1">
                  <c:v>FEBRERO</c:v>
                </c:pt>
                <c:pt idx="2">
                  <c:v>ABRIL</c:v>
                </c:pt>
                <c:pt idx="3">
                  <c:v>MAYO</c:v>
                </c:pt>
                <c:pt idx="4">
                  <c:v>JULIO</c:v>
                </c:pt>
              </c:strCache>
            </c:strRef>
          </c:cat>
          <c:val>
            <c:numRef>
              <c:f>'TOMATE IBERICO'!$D$7:$D$11</c:f>
              <c:numCache>
                <c:formatCode>#,##0.00" €"</c:formatCode>
                <c:ptCount val="5"/>
                <c:pt idx="0">
                  <c:v>5.8</c:v>
                </c:pt>
                <c:pt idx="1">
                  <c:v>5.8</c:v>
                </c:pt>
                <c:pt idx="2">
                  <c:v>7.45</c:v>
                </c:pt>
                <c:pt idx="3">
                  <c:v>8.5</c:v>
                </c:pt>
                <c:pt idx="4">
                  <c:v>5.8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C33-7B43-A033-4C1F59CC9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8956024"/>
        <c:axId val="94814753"/>
      </c:lineChart>
      <c:catAx>
        <c:axId val="78956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4814753"/>
        <c:crosses val="autoZero"/>
        <c:auto val="1"/>
        <c:lblAlgn val="ctr"/>
        <c:lblOffset val="100"/>
        <c:noMultiLvlLbl val="0"/>
      </c:catAx>
      <c:valAx>
        <c:axId val="948147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895602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CALAMARES!$D$6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CALAMARES!$A$7:$A$12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ABRIL</c:v>
                </c:pt>
                <c:pt idx="3">
                  <c:v>MAYO</c:v>
                </c:pt>
                <c:pt idx="4">
                  <c:v>JULIO</c:v>
                </c:pt>
                <c:pt idx="5">
                  <c:v>AGOSTO</c:v>
                </c:pt>
              </c:strCache>
            </c:strRef>
          </c:cat>
          <c:val>
            <c:numRef>
              <c:f>CALAMARES!$D$7:$D$12</c:f>
              <c:numCache>
                <c:formatCode>#,##0.00" €"</c:formatCode>
                <c:ptCount val="6"/>
                <c:pt idx="0">
                  <c:v>24</c:v>
                </c:pt>
                <c:pt idx="1">
                  <c:v>21.5</c:v>
                </c:pt>
                <c:pt idx="2">
                  <c:v>24</c:v>
                </c:pt>
                <c:pt idx="3">
                  <c:v>21.5</c:v>
                </c:pt>
                <c:pt idx="4">
                  <c:v>21.5</c:v>
                </c:pt>
                <c:pt idx="5">
                  <c:v>21.5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C82-944B-98A2-C60D9E10A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5274582"/>
        <c:axId val="55209000"/>
      </c:lineChart>
      <c:catAx>
        <c:axId val="352745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55209000"/>
        <c:crosses val="autoZero"/>
        <c:auto val="1"/>
        <c:lblAlgn val="ctr"/>
        <c:lblOffset val="100"/>
        <c:noMultiLvlLbl val="0"/>
      </c:catAx>
      <c:valAx>
        <c:axId val="552090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527458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NAVAJAS!$D$6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NAVAJAS!$A$7:$A$12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ABRIL</c:v>
                </c:pt>
                <c:pt idx="3">
                  <c:v>MAYO</c:v>
                </c:pt>
                <c:pt idx="4">
                  <c:v>JULIO</c:v>
                </c:pt>
                <c:pt idx="5">
                  <c:v>AGOSTO</c:v>
                </c:pt>
              </c:strCache>
            </c:strRef>
          </c:cat>
          <c:val>
            <c:numRef>
              <c:f>NAVAJAS!$D$7:$D$12</c:f>
              <c:numCache>
                <c:formatCode>#,##0.00" €"</c:formatCode>
                <c:ptCount val="6"/>
                <c:pt idx="0">
                  <c:v>28.625</c:v>
                </c:pt>
                <c:pt idx="1">
                  <c:v>35.1</c:v>
                </c:pt>
                <c:pt idx="2">
                  <c:v>28</c:v>
                </c:pt>
                <c:pt idx="3">
                  <c:v>27.4</c:v>
                </c:pt>
                <c:pt idx="4">
                  <c:v>25.75</c:v>
                </c:pt>
                <c:pt idx="5">
                  <c:v>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724-0445-BF65-81C4536D0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8751513"/>
        <c:axId val="96006847"/>
      </c:lineChart>
      <c:catAx>
        <c:axId val="4875151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6006847"/>
        <c:crosses val="autoZero"/>
        <c:auto val="1"/>
        <c:lblAlgn val="ctr"/>
        <c:lblOffset val="100"/>
        <c:noMultiLvlLbl val="0"/>
      </c:catAx>
      <c:valAx>
        <c:axId val="960068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875151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Precio medio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BERBERECHO!$D$6</c:f>
              <c:strCache>
                <c:ptCount val="1"/>
                <c:pt idx="0">
                  <c:v>PRECIO MEDIO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BERBERECHO!$A$7:$A$12</c:f>
              <c:strCache>
                <c:ptCount val="6"/>
                <c:pt idx="0">
                  <c:v>ENERO</c:v>
                </c:pt>
                <c:pt idx="1">
                  <c:v>FEBRERO</c:v>
                </c:pt>
                <c:pt idx="2">
                  <c:v>ABRIL</c:v>
                </c:pt>
                <c:pt idx="3">
                  <c:v>MAYO</c:v>
                </c:pt>
                <c:pt idx="4">
                  <c:v>JULIO</c:v>
                </c:pt>
                <c:pt idx="5">
                  <c:v>AGOSTO</c:v>
                </c:pt>
              </c:strCache>
            </c:strRef>
          </c:cat>
          <c:val>
            <c:numRef>
              <c:f>BERBERECHO!$D$7:$D$12</c:f>
              <c:numCache>
                <c:formatCode>#,##0.00" €"</c:formatCode>
                <c:ptCount val="6"/>
                <c:pt idx="0">
                  <c:v>61.5</c:v>
                </c:pt>
                <c:pt idx="1">
                  <c:v>22.666666666666668</c:v>
                </c:pt>
                <c:pt idx="2">
                  <c:v>48.333333333333336</c:v>
                </c:pt>
                <c:pt idx="3">
                  <c:v>95</c:v>
                </c:pt>
                <c:pt idx="4">
                  <c:v>24.5</c:v>
                </c:pt>
                <c:pt idx="5">
                  <c:v>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59-434C-BB6C-BFC0A0E4F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0506673"/>
        <c:axId val="12762798"/>
      </c:lineChart>
      <c:catAx>
        <c:axId val="805066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12762798"/>
        <c:crosses val="autoZero"/>
        <c:auto val="1"/>
        <c:lblAlgn val="ctr"/>
        <c:lblOffset val="100"/>
        <c:noMultiLvlLbl val="0"/>
      </c:catAx>
      <c:valAx>
        <c:axId val="127627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&quot; €&quot;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050667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1.xml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2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3.xml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4.xml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7.xml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8.xml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9.xml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0.xml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1.xml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2.xml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3.xml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4.xml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5.xml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6.xml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7.xml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8.xml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9.xml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0.xml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1.xml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2.xml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3.xml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4.xml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5.xml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6.xml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7.xml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8.xml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9.xml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0.xml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1.xml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2.xml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3.xml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4.xml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5.xml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6.xml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7.xml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463680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15</xdr:row>
      <xdr:rowOff>272880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463680</xdr:rowOff>
    </xdr:to>
    <xdr:graphicFrame macro="">
      <xdr:nvGraphicFramePr>
        <xdr:cNvPr id="14" name="Chart 1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15" name="Chart 1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16" name="Chart 1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15</xdr:row>
      <xdr:rowOff>272880</xdr:rowOff>
    </xdr:to>
    <xdr:graphicFrame macro="">
      <xdr:nvGraphicFramePr>
        <xdr:cNvPr id="18" name="Chart 1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19" name="Chart 1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20" name="Chart 1">
          <a:extLst>
            <a:ext uri="{FF2B5EF4-FFF2-40B4-BE49-F238E27FC236}">
              <a16:creationId xmlns:a16="http://schemas.microsoft.com/office/drawing/2014/main" id="{00000000-0008-0000-17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21" name="Chart 1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22" name="Chart 1">
          <a:extLst>
            <a:ext uri="{FF2B5EF4-FFF2-40B4-BE49-F238E27FC236}">
              <a16:creationId xmlns:a16="http://schemas.microsoft.com/office/drawing/2014/main" id="{00000000-0008-0000-19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15</xdr:row>
      <xdr:rowOff>272880</xdr:rowOff>
    </xdr:to>
    <xdr:graphicFrame macro="">
      <xdr:nvGraphicFramePr>
        <xdr:cNvPr id="23" name="Chart 1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24" name="Chart 1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463680</xdr:rowOff>
    </xdr:to>
    <xdr:graphicFrame macro="">
      <xdr:nvGraphicFramePr>
        <xdr:cNvPr id="25" name="Chart 1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463680</xdr:rowOff>
    </xdr:to>
    <xdr:graphicFrame macro="">
      <xdr:nvGraphicFramePr>
        <xdr:cNvPr id="26" name="Chart 1">
          <a:extLst>
            <a:ext uri="{FF2B5EF4-FFF2-40B4-BE49-F238E27FC236}">
              <a16:creationId xmlns:a16="http://schemas.microsoft.com/office/drawing/2014/main" id="{00000000-0008-0000-1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463680</xdr:rowOff>
    </xdr:to>
    <xdr:graphicFrame macro="">
      <xdr:nvGraphicFramePr>
        <xdr:cNvPr id="27" name="Chart 1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463680</xdr:rowOff>
    </xdr:to>
    <xdr:graphicFrame macro="">
      <xdr:nvGraphicFramePr>
        <xdr:cNvPr id="28" name="Chart 1">
          <a:extLst>
            <a:ext uri="{FF2B5EF4-FFF2-40B4-BE49-F238E27FC236}">
              <a16:creationId xmlns:a16="http://schemas.microsoft.com/office/drawing/2014/main" id="{00000000-0008-0000-1F00-00001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29" name="Chart 1">
          <a:extLst>
            <a:ext uri="{FF2B5EF4-FFF2-40B4-BE49-F238E27FC236}">
              <a16:creationId xmlns:a16="http://schemas.microsoft.com/office/drawing/2014/main" id="{00000000-0008-0000-2000-00001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30" name="Chart 1">
          <a:extLst>
            <a:ext uri="{FF2B5EF4-FFF2-40B4-BE49-F238E27FC236}">
              <a16:creationId xmlns:a16="http://schemas.microsoft.com/office/drawing/2014/main" id="{00000000-0008-0000-2100-00001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463680</xdr:rowOff>
    </xdr:to>
    <xdr:graphicFrame macro="">
      <xdr:nvGraphicFramePr>
        <xdr:cNvPr id="31" name="Chart 1">
          <a:extLst>
            <a:ext uri="{FF2B5EF4-FFF2-40B4-BE49-F238E27FC236}">
              <a16:creationId xmlns:a16="http://schemas.microsoft.com/office/drawing/2014/main" id="{00000000-0008-0000-2200-00001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32" name="Chart 1">
          <a:extLst>
            <a:ext uri="{FF2B5EF4-FFF2-40B4-BE49-F238E27FC236}">
              <a16:creationId xmlns:a16="http://schemas.microsoft.com/office/drawing/2014/main" id="{00000000-0008-0000-2300-00002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33" name="Chart 1">
          <a:extLst>
            <a:ext uri="{FF2B5EF4-FFF2-40B4-BE49-F238E27FC236}">
              <a16:creationId xmlns:a16="http://schemas.microsoft.com/office/drawing/2014/main" id="{00000000-0008-0000-2400-00002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34" name="Chart 1">
          <a:extLst>
            <a:ext uri="{FF2B5EF4-FFF2-40B4-BE49-F238E27FC236}">
              <a16:creationId xmlns:a16="http://schemas.microsoft.com/office/drawing/2014/main" id="{00000000-0008-0000-2500-00002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35" name="Chart 1">
          <a:extLst>
            <a:ext uri="{FF2B5EF4-FFF2-40B4-BE49-F238E27FC236}">
              <a16:creationId xmlns:a16="http://schemas.microsoft.com/office/drawing/2014/main" id="{00000000-0008-0000-2600-00002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36" name="Chart 1">
          <a:extLst>
            <a:ext uri="{FF2B5EF4-FFF2-40B4-BE49-F238E27FC236}">
              <a16:creationId xmlns:a16="http://schemas.microsoft.com/office/drawing/2014/main" id="{00000000-0008-0000-2700-00002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37" name="Chart 1">
          <a:extLst>
            <a:ext uri="{FF2B5EF4-FFF2-40B4-BE49-F238E27FC236}">
              <a16:creationId xmlns:a16="http://schemas.microsoft.com/office/drawing/2014/main" id="{00000000-0008-0000-2800-00002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38" name="Chart 1">
          <a:extLst>
            <a:ext uri="{FF2B5EF4-FFF2-40B4-BE49-F238E27FC236}">
              <a16:creationId xmlns:a16="http://schemas.microsoft.com/office/drawing/2014/main" id="{00000000-0008-0000-2900-00002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39" name="Chart 1">
          <a:extLst>
            <a:ext uri="{FF2B5EF4-FFF2-40B4-BE49-F238E27FC236}">
              <a16:creationId xmlns:a16="http://schemas.microsoft.com/office/drawing/2014/main" id="{00000000-0008-0000-2A00-00002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15</xdr:row>
      <xdr:rowOff>272880</xdr:rowOff>
    </xdr:to>
    <xdr:graphicFrame macro="">
      <xdr:nvGraphicFramePr>
        <xdr:cNvPr id="40" name="Chart 1">
          <a:extLst>
            <a:ext uri="{FF2B5EF4-FFF2-40B4-BE49-F238E27FC236}">
              <a16:creationId xmlns:a16="http://schemas.microsoft.com/office/drawing/2014/main" id="{00000000-0008-0000-2B00-00002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463680</xdr:rowOff>
    </xdr:to>
    <xdr:graphicFrame macro="">
      <xdr:nvGraphicFramePr>
        <xdr:cNvPr id="41" name="Chart 1">
          <a:extLst>
            <a:ext uri="{FF2B5EF4-FFF2-40B4-BE49-F238E27FC236}">
              <a16:creationId xmlns:a16="http://schemas.microsoft.com/office/drawing/2014/main" id="{00000000-0008-0000-2C00-00002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42" name="Chart 1">
          <a:extLst>
            <a:ext uri="{FF2B5EF4-FFF2-40B4-BE49-F238E27FC236}">
              <a16:creationId xmlns:a16="http://schemas.microsoft.com/office/drawing/2014/main" id="{00000000-0008-0000-2D00-00002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43" name="Chart 1">
          <a:extLst>
            <a:ext uri="{FF2B5EF4-FFF2-40B4-BE49-F238E27FC236}">
              <a16:creationId xmlns:a16="http://schemas.microsoft.com/office/drawing/2014/main" id="{00000000-0008-0000-2E00-00002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463680</xdr:rowOff>
    </xdr:to>
    <xdr:graphicFrame macro="">
      <xdr:nvGraphicFramePr>
        <xdr:cNvPr id="44" name="Chart 1">
          <a:extLst>
            <a:ext uri="{FF2B5EF4-FFF2-40B4-BE49-F238E27FC236}">
              <a16:creationId xmlns:a16="http://schemas.microsoft.com/office/drawing/2014/main" id="{00000000-0008-0000-2F00-00002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45" name="Chart 1">
          <a:extLst>
            <a:ext uri="{FF2B5EF4-FFF2-40B4-BE49-F238E27FC236}">
              <a16:creationId xmlns:a16="http://schemas.microsoft.com/office/drawing/2014/main" id="{00000000-0008-0000-30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46" name="Chart 1">
          <a:extLst>
            <a:ext uri="{FF2B5EF4-FFF2-40B4-BE49-F238E27FC236}">
              <a16:creationId xmlns:a16="http://schemas.microsoft.com/office/drawing/2014/main" id="{00000000-0008-0000-31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463680</xdr:rowOff>
    </xdr:to>
    <xdr:graphicFrame macro="">
      <xdr:nvGraphicFramePr>
        <xdr:cNvPr id="47" name="Chart 1">
          <a:extLst>
            <a:ext uri="{FF2B5EF4-FFF2-40B4-BE49-F238E27FC236}">
              <a16:creationId xmlns:a16="http://schemas.microsoft.com/office/drawing/2014/main" id="{00000000-0008-0000-3200-00002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48" name="Chart 1">
          <a:extLst>
            <a:ext uri="{FF2B5EF4-FFF2-40B4-BE49-F238E27FC236}">
              <a16:creationId xmlns:a16="http://schemas.microsoft.com/office/drawing/2014/main" id="{00000000-0008-0000-3300-00003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15</xdr:row>
      <xdr:rowOff>272880</xdr:rowOff>
    </xdr:to>
    <xdr:graphicFrame macro="">
      <xdr:nvGraphicFramePr>
        <xdr:cNvPr id="49" name="Chart 1">
          <a:extLst>
            <a:ext uri="{FF2B5EF4-FFF2-40B4-BE49-F238E27FC236}">
              <a16:creationId xmlns:a16="http://schemas.microsoft.com/office/drawing/2014/main" id="{00000000-0008-0000-3400-00003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50" name="Chart 1">
          <a:extLst>
            <a:ext uri="{FF2B5EF4-FFF2-40B4-BE49-F238E27FC236}">
              <a16:creationId xmlns:a16="http://schemas.microsoft.com/office/drawing/2014/main" id="{00000000-0008-0000-3500-00003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51" name="Chart 1">
          <a:extLst>
            <a:ext uri="{FF2B5EF4-FFF2-40B4-BE49-F238E27FC236}">
              <a16:creationId xmlns:a16="http://schemas.microsoft.com/office/drawing/2014/main" id="{00000000-0008-0000-3600-00003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52" name="Chart 1">
          <a:extLst>
            <a:ext uri="{FF2B5EF4-FFF2-40B4-BE49-F238E27FC236}">
              <a16:creationId xmlns:a16="http://schemas.microsoft.com/office/drawing/2014/main" id="{00000000-0008-0000-3700-00003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53" name="Chart 1">
          <a:extLst>
            <a:ext uri="{FF2B5EF4-FFF2-40B4-BE49-F238E27FC236}">
              <a16:creationId xmlns:a16="http://schemas.microsoft.com/office/drawing/2014/main" id="{00000000-0008-0000-3800-00003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54" name="Chart 1">
          <a:extLst>
            <a:ext uri="{FF2B5EF4-FFF2-40B4-BE49-F238E27FC236}">
              <a16:creationId xmlns:a16="http://schemas.microsoft.com/office/drawing/2014/main" id="{00000000-0008-0000-39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55" name="Chart 1">
          <a:extLst>
            <a:ext uri="{FF2B5EF4-FFF2-40B4-BE49-F238E27FC236}">
              <a16:creationId xmlns:a16="http://schemas.microsoft.com/office/drawing/2014/main" id="{00000000-0008-0000-3A00-00003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56" name="Chart 1">
          <a:extLst>
            <a:ext uri="{FF2B5EF4-FFF2-40B4-BE49-F238E27FC236}">
              <a16:creationId xmlns:a16="http://schemas.microsoft.com/office/drawing/2014/main" id="{00000000-0008-0000-3B00-00003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57" name="Chart 1">
          <a:extLst>
            <a:ext uri="{FF2B5EF4-FFF2-40B4-BE49-F238E27FC236}">
              <a16:creationId xmlns:a16="http://schemas.microsoft.com/office/drawing/2014/main" id="{00000000-0008-0000-3C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15</xdr:row>
      <xdr:rowOff>272880</xdr:rowOff>
    </xdr:to>
    <xdr:graphicFrame macro="">
      <xdr:nvGraphicFramePr>
        <xdr:cNvPr id="58" name="Chart 1">
          <a:extLst>
            <a:ext uri="{FF2B5EF4-FFF2-40B4-BE49-F238E27FC236}">
              <a16:creationId xmlns:a16="http://schemas.microsoft.com/office/drawing/2014/main" id="{00000000-0008-0000-3D00-00003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15</xdr:row>
      <xdr:rowOff>272880</xdr:rowOff>
    </xdr:to>
    <xdr:graphicFrame macro="">
      <xdr:nvGraphicFramePr>
        <xdr:cNvPr id="59" name="Chart 1">
          <a:extLst>
            <a:ext uri="{FF2B5EF4-FFF2-40B4-BE49-F238E27FC236}">
              <a16:creationId xmlns:a16="http://schemas.microsoft.com/office/drawing/2014/main" id="{00000000-0008-0000-3E00-00003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60" name="Chart 1">
          <a:extLst>
            <a:ext uri="{FF2B5EF4-FFF2-40B4-BE49-F238E27FC236}">
              <a16:creationId xmlns:a16="http://schemas.microsoft.com/office/drawing/2014/main" id="{00000000-0008-0000-3F00-00003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61" name="Chart 1">
          <a:extLst>
            <a:ext uri="{FF2B5EF4-FFF2-40B4-BE49-F238E27FC236}">
              <a16:creationId xmlns:a16="http://schemas.microsoft.com/office/drawing/2014/main" id="{00000000-0008-0000-4000-00003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463680</xdr:rowOff>
    </xdr:to>
    <xdr:graphicFrame macro="">
      <xdr:nvGraphicFramePr>
        <xdr:cNvPr id="62" name="Chart 1">
          <a:extLst>
            <a:ext uri="{FF2B5EF4-FFF2-40B4-BE49-F238E27FC236}">
              <a16:creationId xmlns:a16="http://schemas.microsoft.com/office/drawing/2014/main" id="{00000000-0008-0000-4100-00003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63" name="Chart 1">
          <a:extLst>
            <a:ext uri="{FF2B5EF4-FFF2-40B4-BE49-F238E27FC236}">
              <a16:creationId xmlns:a16="http://schemas.microsoft.com/office/drawing/2014/main" id="{00000000-0008-0000-4200-00003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64" name="Chart 1">
          <a:extLst>
            <a:ext uri="{FF2B5EF4-FFF2-40B4-BE49-F238E27FC236}">
              <a16:creationId xmlns:a16="http://schemas.microsoft.com/office/drawing/2014/main" id="{00000000-0008-0000-4300-00004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463680</xdr:rowOff>
    </xdr:to>
    <xdr:graphicFrame macro="">
      <xdr:nvGraphicFramePr>
        <xdr:cNvPr id="65" name="Chart 1">
          <a:extLst>
            <a:ext uri="{FF2B5EF4-FFF2-40B4-BE49-F238E27FC236}">
              <a16:creationId xmlns:a16="http://schemas.microsoft.com/office/drawing/2014/main" id="{00000000-0008-0000-4400-00004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463680</xdr:rowOff>
    </xdr:to>
    <xdr:graphicFrame macro="">
      <xdr:nvGraphicFramePr>
        <xdr:cNvPr id="66" name="Chart 1">
          <a:extLst>
            <a:ext uri="{FF2B5EF4-FFF2-40B4-BE49-F238E27FC236}">
              <a16:creationId xmlns:a16="http://schemas.microsoft.com/office/drawing/2014/main" id="{00000000-0008-0000-4500-00004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67" name="Chart 1">
          <a:extLst>
            <a:ext uri="{FF2B5EF4-FFF2-40B4-BE49-F238E27FC236}">
              <a16:creationId xmlns:a16="http://schemas.microsoft.com/office/drawing/2014/main" id="{00000000-0008-0000-4600-00004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463680</xdr:rowOff>
    </xdr:to>
    <xdr:graphicFrame macro="">
      <xdr:nvGraphicFramePr>
        <xdr:cNvPr id="68" name="Chart 1">
          <a:extLst>
            <a:ext uri="{FF2B5EF4-FFF2-40B4-BE49-F238E27FC236}">
              <a16:creationId xmlns:a16="http://schemas.microsoft.com/office/drawing/2014/main" id="{00000000-0008-0000-4700-00004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69" name="Chart 1">
          <a:extLst>
            <a:ext uri="{FF2B5EF4-FFF2-40B4-BE49-F238E27FC236}">
              <a16:creationId xmlns:a16="http://schemas.microsoft.com/office/drawing/2014/main" id="{00000000-0008-0000-4800-00004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463680</xdr:rowOff>
    </xdr:to>
    <xdr:graphicFrame macro="">
      <xdr:nvGraphicFramePr>
        <xdr:cNvPr id="70" name="Chart 1">
          <a:extLst>
            <a:ext uri="{FF2B5EF4-FFF2-40B4-BE49-F238E27FC236}">
              <a16:creationId xmlns:a16="http://schemas.microsoft.com/office/drawing/2014/main" id="{00000000-0008-0000-4900-00004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71" name="Chart 1">
          <a:extLst>
            <a:ext uri="{FF2B5EF4-FFF2-40B4-BE49-F238E27FC236}">
              <a16:creationId xmlns:a16="http://schemas.microsoft.com/office/drawing/2014/main" id="{00000000-0008-0000-4A00-00004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151560</xdr:rowOff>
    </xdr:to>
    <xdr:graphicFrame macro="">
      <xdr:nvGraphicFramePr>
        <xdr:cNvPr id="72" name="Chart 1">
          <a:extLst>
            <a:ext uri="{FF2B5EF4-FFF2-40B4-BE49-F238E27FC236}">
              <a16:creationId xmlns:a16="http://schemas.microsoft.com/office/drawing/2014/main" id="{00000000-0008-0000-4B00-00004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15</xdr:row>
      <xdr:rowOff>272880</xdr:rowOff>
    </xdr:to>
    <xdr:graphicFrame macro="">
      <xdr:nvGraphicFramePr>
        <xdr:cNvPr id="73" name="Chart 1">
          <a:extLst>
            <a:ext uri="{FF2B5EF4-FFF2-40B4-BE49-F238E27FC236}">
              <a16:creationId xmlns:a16="http://schemas.microsoft.com/office/drawing/2014/main" id="{00000000-0008-0000-4C00-00004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14</xdr:row>
      <xdr:rowOff>463680</xdr:rowOff>
    </xdr:to>
    <xdr:graphicFrame macro="">
      <xdr:nvGraphicFramePr>
        <xdr:cNvPr id="74" name="Chart 1">
          <a:extLst>
            <a:ext uri="{FF2B5EF4-FFF2-40B4-BE49-F238E27FC236}">
              <a16:creationId xmlns:a16="http://schemas.microsoft.com/office/drawing/2014/main" id="{00000000-0008-0000-4D00-00004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15</xdr:row>
      <xdr:rowOff>272880</xdr:rowOff>
    </xdr:to>
    <xdr:graphicFrame macro="">
      <xdr:nvGraphicFramePr>
        <xdr:cNvPr id="75" name="Chart 1">
          <a:extLst>
            <a:ext uri="{FF2B5EF4-FFF2-40B4-BE49-F238E27FC236}">
              <a16:creationId xmlns:a16="http://schemas.microsoft.com/office/drawing/2014/main" id="{00000000-0008-0000-4E00-00004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15</xdr:row>
      <xdr:rowOff>272880</xdr:rowOff>
    </xdr:to>
    <xdr:graphicFrame macro="">
      <xdr:nvGraphicFramePr>
        <xdr:cNvPr id="76" name="Chart 1">
          <a:extLst>
            <a:ext uri="{FF2B5EF4-FFF2-40B4-BE49-F238E27FC236}">
              <a16:creationId xmlns:a16="http://schemas.microsoft.com/office/drawing/2014/main" id="{00000000-0008-0000-4F00-00004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160560</xdr:rowOff>
    </xdr:from>
    <xdr:to>
      <xdr:col>16</xdr:col>
      <xdr:colOff>147600</xdr:colOff>
      <xdr:row>15</xdr:row>
      <xdr:rowOff>272880</xdr:rowOff>
    </xdr:to>
    <xdr:graphicFrame macro="">
      <xdr:nvGraphicFramePr>
        <xdr:cNvPr id="77" name="Chart 1">
          <a:extLst>
            <a:ext uri="{FF2B5EF4-FFF2-40B4-BE49-F238E27FC236}">
              <a16:creationId xmlns:a16="http://schemas.microsoft.com/office/drawing/2014/main" id="{00000000-0008-0000-5000-00004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COMPARATIVO%20PRECIOS%202026%20LA%20MINA%20CHAMARTIN.xlsx" TargetMode="External"/><Relationship Id="rId21" Type="http://schemas.openxmlformats.org/officeDocument/2006/relationships/hyperlink" Target="COMPARATIVO%20PRECIOS%202026%20LA%20MINA%20CHAMARTIN.xlsx" TargetMode="External"/><Relationship Id="rId42" Type="http://schemas.openxmlformats.org/officeDocument/2006/relationships/hyperlink" Target="COMPARATIVO%20PRECIOS%202026%20LA%20MINA%20CHAMARTIN.xlsx" TargetMode="External"/><Relationship Id="rId47" Type="http://schemas.openxmlformats.org/officeDocument/2006/relationships/hyperlink" Target="COMPARATIVO%20PRECIOS%202026%20LA%20MINA%20CHAMARTIN.xlsx" TargetMode="External"/><Relationship Id="rId63" Type="http://schemas.openxmlformats.org/officeDocument/2006/relationships/hyperlink" Target="COMPARATIVO%20PRECIOS%202026%20LA%20MINA%20CHAMARTIN.xlsx" TargetMode="External"/><Relationship Id="rId68" Type="http://schemas.openxmlformats.org/officeDocument/2006/relationships/hyperlink" Target="COMPARATIVO%20PRECIOS%202026%20LA%20MINA%20CHAMARTIN.xlsx" TargetMode="External"/><Relationship Id="rId16" Type="http://schemas.openxmlformats.org/officeDocument/2006/relationships/hyperlink" Target="COMPARATIVO%20PRECIOS%202026%20LA%20MINA%20CHAMARTIN.xlsx" TargetMode="External"/><Relationship Id="rId11" Type="http://schemas.openxmlformats.org/officeDocument/2006/relationships/hyperlink" Target="COMPARATIVO%20PRECIOS%202026%20LA%20MINA%20CHAMARTIN.xlsx" TargetMode="External"/><Relationship Id="rId24" Type="http://schemas.openxmlformats.org/officeDocument/2006/relationships/hyperlink" Target="COMPARATIVO%20PRECIOS%202026%20LA%20MINA%20CHAMARTIN.xlsx" TargetMode="External"/><Relationship Id="rId32" Type="http://schemas.openxmlformats.org/officeDocument/2006/relationships/hyperlink" Target="COMPARATIVO%20PRECIOS%202026%20LA%20MINA%20CHAMARTIN.xlsx" TargetMode="External"/><Relationship Id="rId37" Type="http://schemas.openxmlformats.org/officeDocument/2006/relationships/hyperlink" Target="COMPARATIVO%20PRECIOS%202026%20LA%20MINA%20CHAMARTIN.xlsx" TargetMode="External"/><Relationship Id="rId40" Type="http://schemas.openxmlformats.org/officeDocument/2006/relationships/hyperlink" Target="COMPARATIVO%20PRECIOS%202026%20LA%20MINA%20CHAMARTIN.xlsx" TargetMode="External"/><Relationship Id="rId45" Type="http://schemas.openxmlformats.org/officeDocument/2006/relationships/hyperlink" Target="COMPARATIVO%20PRECIOS%202026%20LA%20MINA%20CHAMARTIN.xlsx" TargetMode="External"/><Relationship Id="rId53" Type="http://schemas.openxmlformats.org/officeDocument/2006/relationships/hyperlink" Target="COMPARATIVO%20PRECIOS%202026%20LA%20MINA%20CHAMARTIN.xlsx" TargetMode="External"/><Relationship Id="rId58" Type="http://schemas.openxmlformats.org/officeDocument/2006/relationships/hyperlink" Target="COMPARATIVO%20PRECIOS%202026%20LA%20MINA%20CHAMARTIN.xlsx" TargetMode="External"/><Relationship Id="rId66" Type="http://schemas.openxmlformats.org/officeDocument/2006/relationships/hyperlink" Target="COMPARATIVO%20PRECIOS%202026%20LA%20MINA%20CHAMARTIN.xlsx" TargetMode="External"/><Relationship Id="rId74" Type="http://schemas.openxmlformats.org/officeDocument/2006/relationships/hyperlink" Target="COMPARATIVO%20PRECIOS%202026%20LA%20MINA%20CHAMARTIN.xlsx" TargetMode="External"/><Relationship Id="rId5" Type="http://schemas.openxmlformats.org/officeDocument/2006/relationships/hyperlink" Target="COMPARATIVO%20PRECIOS%202026%20LA%20MINA%20CHAMARTIN.xlsx" TargetMode="External"/><Relationship Id="rId61" Type="http://schemas.openxmlformats.org/officeDocument/2006/relationships/hyperlink" Target="COMPARATIVO%20PRECIOS%202026%20LA%20MINA%20CHAMARTIN.xlsx" TargetMode="External"/><Relationship Id="rId19" Type="http://schemas.openxmlformats.org/officeDocument/2006/relationships/hyperlink" Target="COMPARATIVO%20PRECIOS%202026%20LA%20MINA%20CHAMARTIN.xlsx" TargetMode="External"/><Relationship Id="rId14" Type="http://schemas.openxmlformats.org/officeDocument/2006/relationships/hyperlink" Target="COMPARATIVO%20PRECIOS%202026%20LA%20MINA%20CHAMARTIN.xlsx" TargetMode="External"/><Relationship Id="rId22" Type="http://schemas.openxmlformats.org/officeDocument/2006/relationships/hyperlink" Target="COMPARATIVO%20PRECIOS%202026%20LA%20MINA%20CHAMARTIN.xlsx" TargetMode="External"/><Relationship Id="rId27" Type="http://schemas.openxmlformats.org/officeDocument/2006/relationships/hyperlink" Target="COMPARATIVO%20PRECIOS%202026%20LA%20MINA%20CHAMARTIN.xlsx" TargetMode="External"/><Relationship Id="rId30" Type="http://schemas.openxmlformats.org/officeDocument/2006/relationships/hyperlink" Target="COMPARATIVO%20PRECIOS%202026%20LA%20MINA%20CHAMARTIN.xlsx" TargetMode="External"/><Relationship Id="rId35" Type="http://schemas.openxmlformats.org/officeDocument/2006/relationships/hyperlink" Target="COMPARATIVO%20PRECIOS%202026%20LA%20MINA%20CHAMARTIN.xlsx" TargetMode="External"/><Relationship Id="rId43" Type="http://schemas.openxmlformats.org/officeDocument/2006/relationships/hyperlink" Target="COMPARATIVO%20PRECIOS%202026%20LA%20MINA%20CHAMARTIN.xlsx" TargetMode="External"/><Relationship Id="rId48" Type="http://schemas.openxmlformats.org/officeDocument/2006/relationships/hyperlink" Target="COMPARATIVO%20PRECIOS%202026%20LA%20MINA%20CHAMARTIN.xlsx" TargetMode="External"/><Relationship Id="rId56" Type="http://schemas.openxmlformats.org/officeDocument/2006/relationships/hyperlink" Target="COMPARATIVO%20PRECIOS%202026%20LA%20MINA%20CHAMARTIN.xlsx" TargetMode="External"/><Relationship Id="rId64" Type="http://schemas.openxmlformats.org/officeDocument/2006/relationships/hyperlink" Target="COMPARATIVO%20PRECIOS%202026%20LA%20MINA%20CHAMARTIN.xlsx" TargetMode="External"/><Relationship Id="rId69" Type="http://schemas.openxmlformats.org/officeDocument/2006/relationships/hyperlink" Target="COMPARATIVO%20PRECIOS%202026%20LA%20MINA%20CHAMARTIN.xlsx" TargetMode="External"/><Relationship Id="rId77" Type="http://schemas.openxmlformats.org/officeDocument/2006/relationships/hyperlink" Target="COMPARATIVO%20PRECIOS%202026%20LA%20MINA%20CHAMARTIN.xlsx" TargetMode="External"/><Relationship Id="rId8" Type="http://schemas.openxmlformats.org/officeDocument/2006/relationships/hyperlink" Target="COMPARATIVO%20PRECIOS%202026%20LA%20MINA%20CHAMARTIN.xlsx" TargetMode="External"/><Relationship Id="rId51" Type="http://schemas.openxmlformats.org/officeDocument/2006/relationships/hyperlink" Target="COMPARATIVO%20PRECIOS%202026%20LA%20MINA%20CHAMARTIN.xlsx" TargetMode="External"/><Relationship Id="rId72" Type="http://schemas.openxmlformats.org/officeDocument/2006/relationships/hyperlink" Target="COMPARATIVO%20PRECIOS%202026%20LA%20MINA%20CHAMARTIN.xlsx" TargetMode="External"/><Relationship Id="rId3" Type="http://schemas.openxmlformats.org/officeDocument/2006/relationships/hyperlink" Target="COMPARATIVO%20PRECIOS%202026%20LA%20MINA%20CHAMARTIN.xlsx" TargetMode="External"/><Relationship Id="rId12" Type="http://schemas.openxmlformats.org/officeDocument/2006/relationships/hyperlink" Target="COMPARATIVO%20PRECIOS%202026%20LA%20MINA%20CHAMARTIN.xlsx" TargetMode="External"/><Relationship Id="rId17" Type="http://schemas.openxmlformats.org/officeDocument/2006/relationships/hyperlink" Target="COMPARATIVO%20PRECIOS%202026%20LA%20MINA%20CHAMARTIN.xlsx" TargetMode="External"/><Relationship Id="rId25" Type="http://schemas.openxmlformats.org/officeDocument/2006/relationships/hyperlink" Target="COMPARATIVO%20PRECIOS%202026%20LA%20MINA%20CHAMARTIN.xlsx" TargetMode="External"/><Relationship Id="rId33" Type="http://schemas.openxmlformats.org/officeDocument/2006/relationships/hyperlink" Target="COMPARATIVO%20PRECIOS%202026%20LA%20MINA%20CHAMARTIN.xlsx" TargetMode="External"/><Relationship Id="rId38" Type="http://schemas.openxmlformats.org/officeDocument/2006/relationships/hyperlink" Target="COMPARATIVO%20PRECIOS%202026%20LA%20MINA%20CHAMARTIN.xlsx" TargetMode="External"/><Relationship Id="rId46" Type="http://schemas.openxmlformats.org/officeDocument/2006/relationships/hyperlink" Target="COMPARATIVO%20PRECIOS%202026%20LA%20MINA%20CHAMARTIN.xlsx" TargetMode="External"/><Relationship Id="rId59" Type="http://schemas.openxmlformats.org/officeDocument/2006/relationships/hyperlink" Target="COMPARATIVO%20PRECIOS%202026%20LA%20MINA%20CHAMARTIN.xlsx" TargetMode="External"/><Relationship Id="rId67" Type="http://schemas.openxmlformats.org/officeDocument/2006/relationships/hyperlink" Target="COMPARATIVO%20PRECIOS%202026%20LA%20MINA%20CHAMARTIN.xlsx" TargetMode="External"/><Relationship Id="rId20" Type="http://schemas.openxmlformats.org/officeDocument/2006/relationships/hyperlink" Target="COMPARATIVO%20PRECIOS%202026%20LA%20MINA%20CHAMARTIN.xlsx" TargetMode="External"/><Relationship Id="rId41" Type="http://schemas.openxmlformats.org/officeDocument/2006/relationships/hyperlink" Target="COMPARATIVO%20PRECIOS%202026%20LA%20MINA%20CHAMARTIN.xlsx" TargetMode="External"/><Relationship Id="rId54" Type="http://schemas.openxmlformats.org/officeDocument/2006/relationships/hyperlink" Target="COMPARATIVO%20PRECIOS%202026%20LA%20MINA%20CHAMARTIN.xlsx" TargetMode="External"/><Relationship Id="rId62" Type="http://schemas.openxmlformats.org/officeDocument/2006/relationships/hyperlink" Target="COMPARATIVO%20PRECIOS%202026%20LA%20MINA%20CHAMARTIN.xlsx" TargetMode="External"/><Relationship Id="rId70" Type="http://schemas.openxmlformats.org/officeDocument/2006/relationships/hyperlink" Target="COMPARATIVO%20PRECIOS%202026%20LA%20MINA%20CHAMARTIN.xlsx" TargetMode="External"/><Relationship Id="rId75" Type="http://schemas.openxmlformats.org/officeDocument/2006/relationships/hyperlink" Target="COMPARATIVO%20PRECIOS%202026%20LA%20MINA%20CHAMARTIN.xlsx" TargetMode="External"/><Relationship Id="rId1" Type="http://schemas.openxmlformats.org/officeDocument/2006/relationships/hyperlink" Target="COMPARATIVO%20PRECIOS%202026%20LA%20MINA%20CHAMARTIN.xlsx" TargetMode="External"/><Relationship Id="rId6" Type="http://schemas.openxmlformats.org/officeDocument/2006/relationships/hyperlink" Target="COMPARATIVO%20PRECIOS%202026%20LA%20MINA%20CHAMARTIN.xlsx" TargetMode="External"/><Relationship Id="rId15" Type="http://schemas.openxmlformats.org/officeDocument/2006/relationships/hyperlink" Target="COMPARATIVO%20PRECIOS%202026%20LA%20MINA%20CHAMARTIN.xlsx" TargetMode="External"/><Relationship Id="rId23" Type="http://schemas.openxmlformats.org/officeDocument/2006/relationships/hyperlink" Target="COMPARATIVO%20PRECIOS%202026%20LA%20MINA%20CHAMARTIN.xlsx" TargetMode="External"/><Relationship Id="rId28" Type="http://schemas.openxmlformats.org/officeDocument/2006/relationships/hyperlink" Target="COMPARATIVO%20PRECIOS%202026%20LA%20MINA%20CHAMARTIN.xlsx" TargetMode="External"/><Relationship Id="rId36" Type="http://schemas.openxmlformats.org/officeDocument/2006/relationships/hyperlink" Target="COMPARATIVO%20PRECIOS%202026%20LA%20MINA%20CHAMARTIN.xlsx" TargetMode="External"/><Relationship Id="rId49" Type="http://schemas.openxmlformats.org/officeDocument/2006/relationships/hyperlink" Target="COMPARATIVO%20PRECIOS%202026%20LA%20MINA%20CHAMARTIN.xlsx" TargetMode="External"/><Relationship Id="rId57" Type="http://schemas.openxmlformats.org/officeDocument/2006/relationships/hyperlink" Target="COMPARATIVO%20PRECIOS%202026%20LA%20MINA%20CHAMARTIN.xlsx" TargetMode="External"/><Relationship Id="rId10" Type="http://schemas.openxmlformats.org/officeDocument/2006/relationships/hyperlink" Target="COMPARATIVO%20PRECIOS%202026%20LA%20MINA%20CHAMARTIN.xlsx" TargetMode="External"/><Relationship Id="rId31" Type="http://schemas.openxmlformats.org/officeDocument/2006/relationships/hyperlink" Target="COMPARATIVO%20PRECIOS%202026%20LA%20MINA%20CHAMARTIN.xlsx" TargetMode="External"/><Relationship Id="rId44" Type="http://schemas.openxmlformats.org/officeDocument/2006/relationships/hyperlink" Target="COMPARATIVO%20PRECIOS%202026%20LA%20MINA%20CHAMARTIN.xlsx" TargetMode="External"/><Relationship Id="rId52" Type="http://schemas.openxmlformats.org/officeDocument/2006/relationships/hyperlink" Target="COMPARATIVO%20PRECIOS%202026%20LA%20MINA%20CHAMARTIN.xlsx" TargetMode="External"/><Relationship Id="rId60" Type="http://schemas.openxmlformats.org/officeDocument/2006/relationships/hyperlink" Target="COMPARATIVO%20PRECIOS%202026%20LA%20MINA%20CHAMARTIN.xlsx" TargetMode="External"/><Relationship Id="rId65" Type="http://schemas.openxmlformats.org/officeDocument/2006/relationships/hyperlink" Target="COMPARATIVO%20PRECIOS%202026%20LA%20MINA%20CHAMARTIN.xlsx" TargetMode="External"/><Relationship Id="rId73" Type="http://schemas.openxmlformats.org/officeDocument/2006/relationships/hyperlink" Target="COMPARATIVO%20PRECIOS%202026%20LA%20MINA%20CHAMARTIN.xlsx" TargetMode="External"/><Relationship Id="rId78" Type="http://schemas.openxmlformats.org/officeDocument/2006/relationships/hyperlink" Target="COMPARATIVO%20PRECIOS%202026%20LA%20MINA%20CHAMARTIN.xlsx" TargetMode="External"/><Relationship Id="rId4" Type="http://schemas.openxmlformats.org/officeDocument/2006/relationships/hyperlink" Target="COMPARATIVO%20PRECIOS%202026%20LA%20MINA%20CHAMARTIN.xlsx" TargetMode="External"/><Relationship Id="rId9" Type="http://schemas.openxmlformats.org/officeDocument/2006/relationships/hyperlink" Target="COMPARATIVO%20PRECIOS%202026%20LA%20MINA%20CHAMARTIN.xlsx" TargetMode="External"/><Relationship Id="rId13" Type="http://schemas.openxmlformats.org/officeDocument/2006/relationships/hyperlink" Target="COMPARATIVO%20PRECIOS%202026%20LA%20MINA%20CHAMARTIN.xlsx" TargetMode="External"/><Relationship Id="rId18" Type="http://schemas.openxmlformats.org/officeDocument/2006/relationships/hyperlink" Target="COMPARATIVO%20PRECIOS%202026%20LA%20MINA%20CHAMARTIN.xlsx" TargetMode="External"/><Relationship Id="rId39" Type="http://schemas.openxmlformats.org/officeDocument/2006/relationships/hyperlink" Target="COMPARATIVO%20PRECIOS%202026%20LA%20MINA%20CHAMARTIN.xlsx" TargetMode="External"/><Relationship Id="rId34" Type="http://schemas.openxmlformats.org/officeDocument/2006/relationships/hyperlink" Target="COMPARATIVO%20PRECIOS%202026%20LA%20MINA%20CHAMARTIN.xlsx" TargetMode="External"/><Relationship Id="rId50" Type="http://schemas.openxmlformats.org/officeDocument/2006/relationships/hyperlink" Target="COMPARATIVO%20PRECIOS%202026%20LA%20MINA%20CHAMARTIN.xlsx" TargetMode="External"/><Relationship Id="rId55" Type="http://schemas.openxmlformats.org/officeDocument/2006/relationships/hyperlink" Target="COMPARATIVO%20PRECIOS%202026%20LA%20MINA%20CHAMARTIN.xlsx" TargetMode="External"/><Relationship Id="rId76" Type="http://schemas.openxmlformats.org/officeDocument/2006/relationships/hyperlink" Target="COMPARATIVO%20PRECIOS%202026%20LA%20MINA%20CHAMARTIN.xlsx" TargetMode="External"/><Relationship Id="rId7" Type="http://schemas.openxmlformats.org/officeDocument/2006/relationships/hyperlink" Target="COMPARATIVO%20PRECIOS%202026%20LA%20MINA%20CHAMARTIN.xlsx" TargetMode="External"/><Relationship Id="rId71" Type="http://schemas.openxmlformats.org/officeDocument/2006/relationships/hyperlink" Target="COMPARATIVO%20PRECIOS%202026%20LA%20MINA%20CHAMARTIN.xlsx" TargetMode="External"/><Relationship Id="rId2" Type="http://schemas.openxmlformats.org/officeDocument/2006/relationships/hyperlink" Target="COMPARATIVO%20PRECIOS%202026%20LA%20MINA%20CHAMARTIN.xlsx" TargetMode="External"/><Relationship Id="rId29" Type="http://schemas.openxmlformats.org/officeDocument/2006/relationships/hyperlink" Target="COMPARATIVO%20PRECIOS%202026%20LA%20MINA%20CHAMARTIN.xlsx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COMPARATIVO%20PRECIOS%202026%20LA%20MINA%20CHAMARTIN.xlsx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COMPARATIVO%20PRECIOS%202026%20LA%20MINA%20CHAMARTIN.xlsx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COMPARATIVO%20PRECIOS%202026%20LA%20MINA%20CHAMARTIN.xlsx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COMPARATIVO%20PRECIOS%202026%20LA%20MINA%20CHAMARTIN.xlsx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hyperlink" Target="COMPARATIVO%20PRECIOS%202026%20LA%20MINA%20CHAMARTIN.xlsx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COMPARATIVO%20PRECIOS%202026%20LA%20MINA%20CHAMARTIN.xlsx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hyperlink" Target="COMPARATIVO%20PRECIOS%202026%20LA%20MINA%20CHAMARTIN.xlsx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COMPARATIVO%20PRECIOS%202026%20LA%20MINA%20CHAMARTIN.xlsx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hyperlink" Target="COMPARATIVO%20PRECIOS%202026%20LA%20MINA%20CHAMARTIN.xlsx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hyperlink" Target="COMPARATIVO%20PRECIOS%202026%20LA%20MINA%20CHAMARTIN.xlsx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hyperlink" Target="COMPARATIVO%20PRECIOS%202026%20LA%20MINA%20CHAMARTIN.xlsx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hyperlink" Target="COMPARATIVO%20PRECIOS%202026%20LA%20MINA%20CHAMARTIN.xlsx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hyperlink" Target="COMPARATIVO%20PRECIOS%202026%20LA%20MINA%20CHAMARTIN.xlsx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hyperlink" Target="COMPARATIVO%20PRECIOS%202026%20LA%20MINA%20CHAMARTIN.xlsx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hyperlink" Target="COMPARATIVO%20PRECIOS%202026%20LA%20MINA%20CHAMARTIN.xlsx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hyperlink" Target="COMPARATIVO%20PRECIOS%202026%20LA%20MINA%20CHAMARTIN.xlsx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hyperlink" Target="COMPARATIVO%20PRECIOS%202026%20LA%20MINA%20CHAMARTIN.xlsx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hyperlink" Target="COMPARATIVO%20PRECIOS%202026%20LA%20MINA%20CHAMARTIN.xlsx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hyperlink" Target="COMPARATIVO%20PRECIOS%202026%20LA%20MINA%20CHAMARTIN.xlsx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hyperlink" Target="COMPARATIVO%20PRECIOS%202026%20LA%20MINA%20CHAMARTIN.xlsx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hyperlink" Target="COMPARATIVO%20PRECIOS%202026%20LA%20MINA%20CHAMARTIN.xlsx" TargetMode="Externa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hyperlink" Target="COMPARATIVO%20PRECIOS%202026%20LA%20MINA%20CHAMARTIN.xlsx" TargetMode="Externa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hyperlink" Target="COMPARATIVO%20PRECIOS%202026%20LA%20MINA%20CHAMARTIN.xlsx" TargetMode="Externa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hyperlink" Target="COMPARATIVO%20PRECIOS%202026%20LA%20MINA%20CHAMARTIN.xlsx" TargetMode="Externa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hyperlink" Target="COMPARATIVO%20PRECIOS%202026%20LA%20MINA%20CHAMARTIN.xlsx" TargetMode="Externa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hyperlink" Target="COMPARATIVO%20PRECIOS%202026%20LA%20MINA%20CHAMARTIN.xlsx" TargetMode="External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hyperlink" Target="COMPARATIVO%20PRECIOS%202026%20LA%20MINA%20CHAMARTIN.xlsx" TargetMode="Externa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hyperlink" Target="COMPARATIVO%20PRECIOS%202026%20LA%20MINA%20CHAMARTIN.xlsx" TargetMode="Externa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hyperlink" Target="COMPARATIVO%20PRECIOS%202026%20LA%20MINA%20CHAMARTIN.xlsx" TargetMode="Externa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hyperlink" Target="COMPARATIVO%20PRECIOS%202026%20LA%20MINA%20CHAMARTIN.xlsx" TargetMode="Externa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hyperlink" Target="COMPARATIVO%20PRECIOS%202026%20LA%20MINA%20CHAMARTIN.xlsx" TargetMode="Externa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hyperlink" Target="COMPARATIVO%20PRECIOS%202026%20LA%20MINA%20CHAMARTIN.xlsx" TargetMode="Externa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hyperlink" Target="COMPARATIVO%20PRECIOS%202026%20LA%20MINA%20CHAMARTIN.xlsx" TargetMode="Externa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hyperlink" Target="COMPARATIVO%20PRECIOS%202026%20LA%20MINA%20CHAMARTIN.xlsx" TargetMode="Externa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hyperlink" Target="COMPARATIVO%20PRECIOS%202026%20LA%20MINA%20CHAMARTIN.xlsx" TargetMode="Externa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hyperlink" Target="COMPARATIVO%20PRECIOS%202026%20LA%20MINA%20CHAMARTIN.xlsx" TargetMode="External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hyperlink" Target="COMPARATIVO%20PRECIOS%202026%20LA%20MINA%20CHAMARTIN.xlsx" TargetMode="Externa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hyperlink" Target="COMPARATIVO%20PRECIOS%202026%20LA%20MINA%20CHAMARTIN.xlsx" TargetMode="Externa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hyperlink" Target="COMPARATIVO%20PRECIOS%202026%20LA%20MINA%20CHAMARTIN.xlsx" TargetMode="Externa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hyperlink" Target="COMPARATIVO%20PRECIOS%202026%20LA%20MINA%20CHAMARTIN.xlsx" TargetMode="Externa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hyperlink" Target="COMPARATIVO%20PRECIOS%202026%20LA%20MINA%20CHAMARTIN.xlsx" TargetMode="External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hyperlink" Target="COMPARATIVO%20PRECIOS%202026%20LA%20MINA%20CHAMARTIN.xlsx" TargetMode="External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hyperlink" Target="COMPARATIVO%20PRECIOS%202026%20LA%20MINA%20CHAMARTIN.xlsx" TargetMode="External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hyperlink" Target="COMPARATIVO%20PRECIOS%202026%20LA%20MINA%20CHAMARTIN.xlsx" TargetMode="Externa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hyperlink" Target="COMPARATIVO%20PRECIOS%202026%20LA%20MINA%20CHAMARTIN.xlsx" TargetMode="External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hyperlink" Target="COMPARATIVO%20PRECIOS%202026%20LA%20MINA%20CHAMARTIN.xlsx" TargetMode="Externa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hyperlink" Target="COMPARATIVO%20PRECIOS%202026%20LA%20MINA%20CHAMARTIN.xlsx" TargetMode="External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hyperlink" Target="COMPARATIVO%20PRECIOS%202026%20LA%20MINA%20CHAMARTIN.xlsx" TargetMode="Externa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hyperlink" Target="COMPARATIVO%20PRECIOS%202026%20LA%20MINA%20CHAMARTIN.xlsx" TargetMode="External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hyperlink" Target="COMPARATIVO%20PRECIOS%202026%20LA%20MINA%20CHAMARTIN.xlsx" TargetMode="External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hyperlink" Target="COMPARATIVO%20PRECIOS%202026%20LA%20MINA%20CHAMARTIN.xlsx" TargetMode="External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hyperlink" Target="COMPARATIVO%20PRECIOS%202026%20LA%20MINA%20CHAMARTIN.xlsx" TargetMode="External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hyperlink" Target="COMPARATIVO%20PRECIOS%202026%20LA%20MINA%20CHAMARTIN.xlsx" TargetMode="Externa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hyperlink" Target="COMPARATIVO%20PRECIOS%202026%20LA%20MINA%20CHAMARTIN.xlsx" TargetMode="Externa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hyperlink" Target="COMPARATIVO%20PRECIOS%202026%20LA%20MINA%20CHAMARTIN.xlsx" TargetMode="External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hyperlink" Target="COMPARATIVO%20PRECIOS%202026%20LA%20MINA%20CHAMARTIN.xlsx" TargetMode="External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hyperlink" Target="COMPARATIVO%20PRECIOS%202026%20LA%20MINA%20CHAMARTIN.xlsx" TargetMode="Externa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hyperlink" Target="COMPARATIVO%20PRECIOS%202026%20LA%20MINA%20CHAMARTIN.xlsx" TargetMode="Externa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hyperlink" Target="COMPARATIVO%20PRECIOS%202026%20LA%20MINA%20CHAMARTIN.xlsx" TargetMode="External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hyperlink" Target="COMPARATIVO%20PRECIOS%202026%20LA%20MINA%20CHAMARTIN.xlsx" TargetMode="External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hyperlink" Target="COMPARATIVO%20PRECIOS%202026%20LA%20MINA%20CHAMARTIN.xlsx" TargetMode="External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hyperlink" Target="COMPARATIVO%20PRECIOS%202026%20LA%20MINA%20CHAMARTIN.xlsx" TargetMode="External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hyperlink" Target="COMPARATIVO%20PRECIOS%202026%20LA%20MINA%20CHAMARTIN.xlsx" TargetMode="External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hyperlink" Target="COMPARATIVO%20PRECIOS%202026%20LA%20MINA%20CHAMARTIN.xlsx" TargetMode="External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hyperlink" Target="COMPARATIVO%20PRECIOS%202026%20LA%20MINA%20CHAMARTIN.xlsx" TargetMode="External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hyperlink" Target="COMPARATIVO%20PRECIOS%202026%20LA%20MINA%20CHAMARTIN.xlsx" TargetMode="Externa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hyperlink" Target="COMPARATIVO%20PRECIOS%202026%20LA%20MINA%20CHAMARTIN.xlsx" TargetMode="External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hyperlink" Target="COMPARATIVO%20PRECIOS%202026%20LA%20MINA%20CHAMARTIN.xlsx" TargetMode="External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hyperlink" Target="COMPARATIVO%20PRECIOS%202026%20LA%20MINA%20CHAMARTIN.xlsx" TargetMode="External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hyperlink" Target="COMPARATIVO%20PRECIOS%202026%20LA%20MINA%20CHAMARTIN.xlsx" TargetMode="External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hyperlink" Target="COMPARATIVO%20PRECIOS%202026%20LA%20MINA%20CHAMARTIN.xlsx" TargetMode="External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hyperlink" Target="COMPARATIVO%20PRECIOS%202026%20LA%20MINA%20CHAMARTIN.xlsx" TargetMode="External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hyperlink" Target="COMPARATIVO%20PRECIOS%202026%20LA%20MINA%20CHAMARTIN.xlsx" TargetMode="External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hyperlink" Target="COMPARATIVO%20PRECIOS%202026%20LA%20MINA%20CHAMARTIN.xlsx" TargetMode="External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hyperlink" Target="COMPARATIVO%20PRECIOS%202026%20LA%20MINA%20CHAMARTIN.xlsx" TargetMode="External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hyperlink" Target="COMPARATIVO%20PRECIOS%202026%20LA%20MINA%20CHAMARTIN.xlsx" TargetMode="External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hyperlink" Target="COMPARATIVO%20PRECIOS%202026%20LA%20MINA%20CHAMARTIN.xlsx" TargetMode="External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hyperlink" Target="COMPARATIVO%20PRECIOS%202026%20LA%20MINA%20CHAMARTIN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88"/>
  <sheetViews>
    <sheetView tabSelected="1" zoomScaleNormal="100" workbookViewId="0">
      <pane xSplit="3" ySplit="5" topLeftCell="D18" activePane="bottomRight" state="frozen"/>
      <selection pane="topRight" activeCell="D1" sqref="D1"/>
      <selection pane="bottomLeft" activeCell="A5" sqref="A5"/>
      <selection pane="bottomRight" activeCell="C3" sqref="C3"/>
    </sheetView>
  </sheetViews>
  <sheetFormatPr baseColWidth="10" defaultColWidth="8.6640625" defaultRowHeight="15" x14ac:dyDescent="0.2"/>
  <cols>
    <col min="1" max="1" width="20" customWidth="1"/>
    <col min="2" max="2" width="26" customWidth="1"/>
    <col min="3" max="3" width="38" customWidth="1"/>
    <col min="4" max="11" width="9.5" customWidth="1"/>
    <col min="12" max="14" width="11" customWidth="1"/>
    <col min="15" max="15" width="8" customWidth="1"/>
    <col min="16" max="16" width="60" customWidth="1"/>
    <col min="17" max="17" width="28.5" customWidth="1"/>
  </cols>
  <sheetData>
    <row r="2" spans="1:17" ht="18" x14ac:dyDescent="0.2">
      <c r="A2" s="24" t="s">
        <v>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</row>
    <row r="3" spans="1:17" x14ac:dyDescent="0.2">
      <c r="A3" s="3"/>
    </row>
    <row r="5" spans="1:17" ht="31.5" customHeight="1" x14ac:dyDescent="0.2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</row>
    <row r="6" spans="1:17" x14ac:dyDescent="0.2">
      <c r="A6" s="5" t="s">
        <v>18</v>
      </c>
      <c r="B6" s="5" t="s">
        <v>19</v>
      </c>
      <c r="C6" s="6" t="s">
        <v>20</v>
      </c>
      <c r="D6" s="7"/>
      <c r="E6" s="8">
        <f>IFERROR(INDEX('MORCILLA ASTURIANA'!$D$7:$D$9,MATCH("FEBRERO",'MORCILLA ASTURIANA'!$A$7:$A$9,0)),"")</f>
        <v>8</v>
      </c>
      <c r="F6" s="7"/>
      <c r="G6" s="8">
        <f>IFERROR(INDEX('MORCILLA ASTURIANA'!$D$7:$D$9,MATCH("ABRIL",'MORCILLA ASTURIANA'!$A$7:$A$9,0)),"")</f>
        <v>8</v>
      </c>
      <c r="H6" s="7"/>
      <c r="I6" s="7"/>
      <c r="J6" s="7"/>
      <c r="K6" s="9">
        <f>IFERROR(INDEX('MORCILLA ASTURIANA'!$D$7:$D$9,MATCH("AGOSTO",'MORCILLA ASTURIANA'!$A$7:$A$9,0)),"")</f>
        <v>9</v>
      </c>
      <c r="L6" s="8">
        <f>'MORCILLA ASTURIANA'!D7</f>
        <v>8</v>
      </c>
      <c r="M6" s="8">
        <f>'MORCILLA ASTURIANA'!D9</f>
        <v>9</v>
      </c>
      <c r="N6" s="10">
        <f t="shared" ref="N6:N37" si="0">IFERROR(M6/L6-1,0)</f>
        <v>0.125</v>
      </c>
      <c r="O6" s="5">
        <v>1</v>
      </c>
      <c r="P6" s="11" t="s">
        <v>21</v>
      </c>
      <c r="Q6" s="5" t="s">
        <v>22</v>
      </c>
    </row>
    <row r="7" spans="1:17" x14ac:dyDescent="0.2">
      <c r="A7" s="5" t="s">
        <v>23</v>
      </c>
      <c r="B7" s="5" t="s">
        <v>24</v>
      </c>
      <c r="C7" s="6" t="s">
        <v>25</v>
      </c>
      <c r="D7" s="7"/>
      <c r="E7" s="8">
        <f>IFERROR(INDEX('CANTALAPIEDRA CHIVIRITERO 20'!$D$7:$D$11,MATCH("FEBRERO",'CANTALAPIEDRA CHIVIRITERO 20'!$A$7:$A$11,0)),"")</f>
        <v>15.5</v>
      </c>
      <c r="F7" s="8">
        <f>IFERROR(INDEX('CANTALAPIEDRA CHIVIRITERO 20'!$D$7:$D$11,MATCH("MARZO",'CANTALAPIEDRA CHIVIRITERO 20'!$A$7:$A$11,0)),"")</f>
        <v>15.5</v>
      </c>
      <c r="G7" s="8">
        <f>IFERROR(INDEX('CANTALAPIEDRA CHIVIRITERO 20'!$D$7:$D$11,MATCH("ABRIL",'CANTALAPIEDRA CHIVIRITERO 20'!$A$7:$A$11,0)),"")</f>
        <v>15.5</v>
      </c>
      <c r="H7" s="9">
        <f>IFERROR(INDEX('CANTALAPIEDRA CHIVIRITERO 20'!$D$7:$D$11,MATCH("MAYO",'CANTALAPIEDRA CHIVIRITERO 20'!$A$7:$A$11,0)),"")</f>
        <v>16.899999999999999</v>
      </c>
      <c r="I7" s="7"/>
      <c r="J7" s="8">
        <f>IFERROR(INDEX('CANTALAPIEDRA CHIVIRITERO 20'!$D$7:$D$11,MATCH("JULIO",'CANTALAPIEDRA CHIVIRITERO 20'!$A$7:$A$11,0)),"")</f>
        <v>16.899999999999999</v>
      </c>
      <c r="K7" s="7"/>
      <c r="L7" s="8">
        <f>'CANTALAPIEDRA CHIVIRITERO 20'!D7</f>
        <v>15.5</v>
      </c>
      <c r="M7" s="8">
        <f>'CANTALAPIEDRA CHIVIRITERO 20'!D11</f>
        <v>16.899999999999999</v>
      </c>
      <c r="N7" s="10">
        <f t="shared" si="0"/>
        <v>9.0322580645161299E-2</v>
      </c>
      <c r="O7" s="5">
        <v>1</v>
      </c>
      <c r="P7" s="11" t="s">
        <v>26</v>
      </c>
      <c r="Q7" s="5" t="s">
        <v>22</v>
      </c>
    </row>
    <row r="8" spans="1:17" x14ac:dyDescent="0.2">
      <c r="A8" s="5" t="s">
        <v>23</v>
      </c>
      <c r="B8" s="5" t="s">
        <v>27</v>
      </c>
      <c r="C8" s="6" t="s">
        <v>28</v>
      </c>
      <c r="D8" s="7"/>
      <c r="E8" s="8">
        <f>IFERROR(INDEX('ANCHOAS CANTABRICO RO 550 ET'!$D$7:$D$10,MATCH("FEBRERO",'ANCHOAS CANTABRICO RO 550 ET'!$A$7:$A$10,0)),"")</f>
        <v>18.96</v>
      </c>
      <c r="F8" s="7"/>
      <c r="G8" s="8">
        <f>IFERROR(INDEX('ANCHOAS CANTABRICO RO 550 ET'!$D$7:$D$10,MATCH("ABRIL",'ANCHOAS CANTABRICO RO 550 ET'!$A$7:$A$10,0)),"")</f>
        <v>18.96</v>
      </c>
      <c r="H8" s="9">
        <f>IFERROR(INDEX('ANCHOAS CANTABRICO RO 550 ET'!$D$7:$D$10,MATCH("MAYO",'ANCHOAS CANTABRICO RO 550 ET'!$A$7:$A$10,0)),"")</f>
        <v>20.6</v>
      </c>
      <c r="I8" s="7"/>
      <c r="J8" s="8">
        <f>IFERROR(INDEX('ANCHOAS CANTABRICO RO 550 ET'!$D$7:$D$10,MATCH("JULIO",'ANCHOAS CANTABRICO RO 550 ET'!$A$7:$A$10,0)),"")</f>
        <v>20.6</v>
      </c>
      <c r="K8" s="7"/>
      <c r="L8" s="8">
        <f>'ANCHOAS CANTABRICO RO 550 ET'!D7</f>
        <v>18.96</v>
      </c>
      <c r="M8" s="8">
        <f>'ANCHOAS CANTABRICO RO 550 ET'!D10</f>
        <v>20.6</v>
      </c>
      <c r="N8" s="10">
        <f t="shared" si="0"/>
        <v>8.6497890295358593E-2</v>
      </c>
      <c r="O8" s="5">
        <v>1</v>
      </c>
      <c r="P8" s="11" t="s">
        <v>29</v>
      </c>
      <c r="Q8" s="5" t="s">
        <v>22</v>
      </c>
    </row>
    <row r="9" spans="1:17" x14ac:dyDescent="0.2">
      <c r="A9" s="5" t="s">
        <v>23</v>
      </c>
      <c r="B9" s="5" t="s">
        <v>30</v>
      </c>
      <c r="C9" s="6" t="s">
        <v>31</v>
      </c>
      <c r="D9" s="8">
        <f>IFERROR(INDEX('ZACAPA X O'!$D$7:$D$8,MATCH("ENERO",'ZACAPA X O'!$A$7:$A$8,0)),"")</f>
        <v>122.71</v>
      </c>
      <c r="E9" s="7"/>
      <c r="F9" s="7"/>
      <c r="G9" s="7"/>
      <c r="H9" s="9">
        <f>IFERROR(INDEX('ZACAPA X O'!$D$7:$D$8,MATCH("MAYO",'ZACAPA X O'!$A$7:$A$8,0)),"")</f>
        <v>132.94</v>
      </c>
      <c r="I9" s="7"/>
      <c r="J9" s="7"/>
      <c r="K9" s="7"/>
      <c r="L9" s="8">
        <f>'ZACAPA X O'!D7</f>
        <v>122.71</v>
      </c>
      <c r="M9" s="8">
        <f>'ZACAPA X O'!D8</f>
        <v>132.94</v>
      </c>
      <c r="N9" s="10">
        <f t="shared" si="0"/>
        <v>8.3367288729524924E-2</v>
      </c>
      <c r="O9" s="5">
        <v>1</v>
      </c>
      <c r="P9" s="11" t="s">
        <v>32</v>
      </c>
      <c r="Q9" s="5" t="s">
        <v>22</v>
      </c>
    </row>
    <row r="10" spans="1:17" x14ac:dyDescent="0.2">
      <c r="A10" s="5" t="s">
        <v>23</v>
      </c>
      <c r="B10" s="5" t="s">
        <v>33</v>
      </c>
      <c r="C10" s="6" t="s">
        <v>34</v>
      </c>
      <c r="D10" s="8">
        <f>IFERROR(INDEX('OREMUS 3'!$D$7:$D$8,MATCH("ENERO",'OREMUS 3'!$A$7:$A$8,0)),"")</f>
        <v>27.4</v>
      </c>
      <c r="E10" s="7"/>
      <c r="F10" s="7"/>
      <c r="G10" s="7"/>
      <c r="H10" s="9">
        <f>IFERROR(INDEX('OREMUS 3'!$D$7:$D$8,MATCH("MAYO",'OREMUS 3'!$A$7:$A$8,0)),"")</f>
        <v>29.25</v>
      </c>
      <c r="I10" s="7"/>
      <c r="J10" s="7"/>
      <c r="K10" s="7"/>
      <c r="L10" s="8">
        <f>'OREMUS 3'!D7</f>
        <v>27.4</v>
      </c>
      <c r="M10" s="8">
        <f>'OREMUS 3'!D8</f>
        <v>29.25</v>
      </c>
      <c r="N10" s="10">
        <f t="shared" si="0"/>
        <v>6.7518248175182594E-2</v>
      </c>
      <c r="O10" s="5">
        <v>1</v>
      </c>
      <c r="P10" s="11" t="s">
        <v>35</v>
      </c>
      <c r="Q10" s="5" t="s">
        <v>22</v>
      </c>
    </row>
    <row r="11" spans="1:17" x14ac:dyDescent="0.2">
      <c r="A11" s="5" t="s">
        <v>23</v>
      </c>
      <c r="B11" s="5" t="s">
        <v>36</v>
      </c>
      <c r="C11" s="6" t="s">
        <v>37</v>
      </c>
      <c r="D11" s="8">
        <f>IFERROR(INDEX('GINEBRA MARTIN MILLER 3 4'!$D$7:$D$9,MATCH("ENERO",'GINEBRA MARTIN MILLER 3 4'!$A$7:$A$9,0)),"")</f>
        <v>15.1</v>
      </c>
      <c r="E11" s="7"/>
      <c r="F11" s="7"/>
      <c r="G11" s="7"/>
      <c r="H11" s="9">
        <f>IFERROR(INDEX('GINEBRA MARTIN MILLER 3 4'!$D$7:$D$9,MATCH("MAYO",'GINEBRA MARTIN MILLER 3 4'!$A$7:$A$9,0)),"")</f>
        <v>16.100000000000001</v>
      </c>
      <c r="I11" s="7"/>
      <c r="J11" s="8">
        <f>IFERROR(INDEX('GINEBRA MARTIN MILLER 3 4'!$D$7:$D$9,MATCH("JULIO",'GINEBRA MARTIN MILLER 3 4'!$A$7:$A$9,0)),"")</f>
        <v>16.100000000000001</v>
      </c>
      <c r="K11" s="7"/>
      <c r="L11" s="8">
        <f>'GINEBRA MARTIN MILLER 3 4'!D7</f>
        <v>15.1</v>
      </c>
      <c r="M11" s="8">
        <f>'GINEBRA MARTIN MILLER 3 4'!D9</f>
        <v>16.100000000000001</v>
      </c>
      <c r="N11" s="10">
        <f t="shared" si="0"/>
        <v>6.6225165562914023E-2</v>
      </c>
      <c r="O11" s="5">
        <v>1</v>
      </c>
      <c r="P11" s="11" t="s">
        <v>38</v>
      </c>
      <c r="Q11" s="5" t="s">
        <v>22</v>
      </c>
    </row>
    <row r="12" spans="1:17" x14ac:dyDescent="0.2">
      <c r="A12" s="5" t="s">
        <v>23</v>
      </c>
      <c r="B12" s="5" t="s">
        <v>39</v>
      </c>
      <c r="C12" s="6" t="s">
        <v>40</v>
      </c>
      <c r="D12" s="8">
        <f>IFERROR(INDEX('AQUARADE ZERO NARANJA VIDRIO'!$D$7:$D$10,MATCH("ENERO",'AQUARADE ZERO NARANJA VIDRIO'!$A$7:$A$10,0)),"")</f>
        <v>31.92</v>
      </c>
      <c r="E12" s="9">
        <f>IFERROR(INDEX('AQUARADE ZERO NARANJA VIDRIO'!$D$7:$D$10,MATCH("FEBRERO",'AQUARADE ZERO NARANJA VIDRIO'!$A$7:$A$10,0)),"")</f>
        <v>33.840000000000003</v>
      </c>
      <c r="F12" s="7"/>
      <c r="G12" s="7"/>
      <c r="H12" s="8">
        <f>IFERROR(INDEX('AQUARADE ZERO NARANJA VIDRIO'!$D$7:$D$10,MATCH("MAYO",'AQUARADE ZERO NARANJA VIDRIO'!$A$7:$A$10,0)),"")</f>
        <v>33.840000000000003</v>
      </c>
      <c r="I12" s="7"/>
      <c r="J12" s="8">
        <f>IFERROR(INDEX('AQUARADE ZERO NARANJA VIDRIO'!$D$7:$D$10,MATCH("JULIO",'AQUARADE ZERO NARANJA VIDRIO'!$A$7:$A$10,0)),"")</f>
        <v>33.840000000000003</v>
      </c>
      <c r="K12" s="7"/>
      <c r="L12" s="8">
        <f>'AQUARADE ZERO NARANJA VIDRIO'!D7</f>
        <v>31.92</v>
      </c>
      <c r="M12" s="8">
        <f>'AQUARADE ZERO NARANJA VIDRIO'!D10</f>
        <v>33.840000000000003</v>
      </c>
      <c r="N12" s="10">
        <f t="shared" si="0"/>
        <v>6.0150375939849621E-2</v>
      </c>
      <c r="O12" s="5">
        <v>1</v>
      </c>
      <c r="P12" s="11" t="s">
        <v>41</v>
      </c>
      <c r="Q12" s="5" t="s">
        <v>22</v>
      </c>
    </row>
    <row r="13" spans="1:17" x14ac:dyDescent="0.2">
      <c r="A13" s="5" t="s">
        <v>23</v>
      </c>
      <c r="B13" s="5" t="s">
        <v>27</v>
      </c>
      <c r="C13" s="6" t="s">
        <v>42</v>
      </c>
      <c r="D13" s="8">
        <f>IFERROR(INDEX('VENTRESCA BONITO EXTRA'!$D$7:$D$12,MATCH("ENERO",'VENTRESCA BONITO EXTRA'!$A$7:$A$12,0)),"")</f>
        <v>5.56</v>
      </c>
      <c r="E13" s="8">
        <f>IFERROR(INDEX('VENTRESCA BONITO EXTRA'!$D$7:$D$12,MATCH("FEBRERO",'VENTRESCA BONITO EXTRA'!$A$7:$A$12,0)),"")</f>
        <v>5.56</v>
      </c>
      <c r="F13" s="7"/>
      <c r="G13" s="8">
        <f>IFERROR(INDEX('VENTRESCA BONITO EXTRA'!$D$7:$D$12,MATCH("ABRIL",'VENTRESCA BONITO EXTRA'!$A$7:$A$12,0)),"")</f>
        <v>5.56</v>
      </c>
      <c r="H13" s="8">
        <f>IFERROR(INDEX('VENTRESCA BONITO EXTRA'!$D$7:$D$12,MATCH("MAYO",'VENTRESCA BONITO EXTRA'!$A$7:$A$12,0)),"")</f>
        <v>5.56</v>
      </c>
      <c r="I13" s="7"/>
      <c r="J13" s="9">
        <f>IFERROR(INDEX('VENTRESCA BONITO EXTRA'!$D$7:$D$12,MATCH("JULIO",'VENTRESCA BONITO EXTRA'!$A$7:$A$12,0)),"")</f>
        <v>5.86</v>
      </c>
      <c r="K13" s="8">
        <f>IFERROR(INDEX('VENTRESCA BONITO EXTRA'!$D$7:$D$12,MATCH("AGOSTO",'VENTRESCA BONITO EXTRA'!$A$7:$A$12,0)),"")</f>
        <v>5.86</v>
      </c>
      <c r="L13" s="8">
        <f>'VENTRESCA BONITO EXTRA'!D7</f>
        <v>5.56</v>
      </c>
      <c r="M13" s="8">
        <f>'VENTRESCA BONITO EXTRA'!D12</f>
        <v>5.86</v>
      </c>
      <c r="N13" s="10">
        <f t="shared" si="0"/>
        <v>5.3956834532374209E-2</v>
      </c>
      <c r="O13" s="5">
        <v>1</v>
      </c>
      <c r="P13" s="11" t="s">
        <v>43</v>
      </c>
      <c r="Q13" s="5" t="s">
        <v>22</v>
      </c>
    </row>
    <row r="14" spans="1:17" x14ac:dyDescent="0.2">
      <c r="A14" s="5" t="s">
        <v>23</v>
      </c>
      <c r="B14" s="5" t="s">
        <v>44</v>
      </c>
      <c r="C14" s="6" t="s">
        <v>45</v>
      </c>
      <c r="D14" s="8">
        <f>IFERROR(INDEX('SOLAN CABRAS CON GAS'!$D$7:$D$9,MATCH("ENERO",'SOLAN CABRAS CON GAS'!$A$7:$A$9,0)),"")</f>
        <v>25.44</v>
      </c>
      <c r="E14" s="7"/>
      <c r="F14" s="7"/>
      <c r="G14" s="7"/>
      <c r="H14" s="7"/>
      <c r="I14" s="7"/>
      <c r="J14" s="9">
        <f>IFERROR(INDEX('SOLAN CABRAS CON GAS'!$D$7:$D$9,MATCH("JULIO",'SOLAN CABRAS CON GAS'!$A$7:$A$9,0)),"")</f>
        <v>26.8</v>
      </c>
      <c r="K14" s="8">
        <f>IFERROR(INDEX('SOLAN CABRAS CON GAS'!$D$7:$D$9,MATCH("AGOSTO",'SOLAN CABRAS CON GAS'!$A$7:$A$9,0)),"")</f>
        <v>26.8</v>
      </c>
      <c r="L14" s="8">
        <f>'SOLAN CABRAS CON GAS'!D7</f>
        <v>25.44</v>
      </c>
      <c r="M14" s="8">
        <f>'SOLAN CABRAS CON GAS'!D9</f>
        <v>26.8</v>
      </c>
      <c r="N14" s="10">
        <f t="shared" si="0"/>
        <v>5.3459119496855223E-2</v>
      </c>
      <c r="O14" s="5">
        <v>1</v>
      </c>
      <c r="P14" s="11" t="s">
        <v>46</v>
      </c>
      <c r="Q14" s="5" t="s">
        <v>22</v>
      </c>
    </row>
    <row r="15" spans="1:17" x14ac:dyDescent="0.2">
      <c r="A15" s="5" t="s">
        <v>23</v>
      </c>
      <c r="B15" s="5" t="s">
        <v>39</v>
      </c>
      <c r="C15" s="6" t="s">
        <v>47</v>
      </c>
      <c r="D15" s="8">
        <f>IFERROR(INDEX('AGUA SOLAN CABRAS VIDRIO 50C'!$D$7:$D$10,MATCH("ENERO",'AGUA SOLAN CABRAS VIDRIO 50C'!$A$7:$A$10,0)),"")</f>
        <v>11.68</v>
      </c>
      <c r="E15" s="8">
        <f>IFERROR(INDEX('AGUA SOLAN CABRAS VIDRIO 50C'!$D$7:$D$10,MATCH("FEBRERO",'AGUA SOLAN CABRAS VIDRIO 50C'!$A$7:$A$10,0)),"")</f>
        <v>11.68</v>
      </c>
      <c r="F15" s="7"/>
      <c r="G15" s="7"/>
      <c r="H15" s="8">
        <f>IFERROR(INDEX('AGUA SOLAN CABRAS VIDRIO 50C'!$D$7:$D$10,MATCH("MAYO",'AGUA SOLAN CABRAS VIDRIO 50C'!$A$7:$A$10,0)),"")</f>
        <v>11.68</v>
      </c>
      <c r="I15" s="7"/>
      <c r="J15" s="9">
        <f>IFERROR(INDEX('AGUA SOLAN CABRAS VIDRIO 50C'!$D$7:$D$10,MATCH("JULIO",'AGUA SOLAN CABRAS VIDRIO 50C'!$A$7:$A$10,0)),"")</f>
        <v>12.3</v>
      </c>
      <c r="K15" s="7"/>
      <c r="L15" s="8">
        <f>'AGUA SOLAN CABRAS VIDRIO 50C'!D7</f>
        <v>11.68</v>
      </c>
      <c r="M15" s="8">
        <f>'AGUA SOLAN CABRAS VIDRIO 50C'!D10</f>
        <v>12.3</v>
      </c>
      <c r="N15" s="10">
        <f t="shared" si="0"/>
        <v>5.3082191780821963E-2</v>
      </c>
      <c r="O15" s="5">
        <v>1</v>
      </c>
      <c r="P15" s="11" t="s">
        <v>48</v>
      </c>
      <c r="Q15" s="5" t="s">
        <v>22</v>
      </c>
    </row>
    <row r="16" spans="1:17" x14ac:dyDescent="0.2">
      <c r="A16" s="5" t="s">
        <v>23</v>
      </c>
      <c r="B16" s="5" t="s">
        <v>39</v>
      </c>
      <c r="C16" s="6" t="s">
        <v>49</v>
      </c>
      <c r="D16" s="8">
        <f>IFERROR(INDEX('AGUA CON GAS SOLAN CABRAS VI'!$D$7:$D$10,MATCH("ENERO",'AGUA CON GAS SOLAN CABRAS VI'!$A$7:$A$10,0)),"")</f>
        <v>25.463999999999999</v>
      </c>
      <c r="E16" s="8">
        <f>IFERROR(INDEX('AGUA CON GAS SOLAN CABRAS VI'!$D$7:$D$10,MATCH("FEBRERO",'AGUA CON GAS SOLAN CABRAS VI'!$A$7:$A$10,0)),"")</f>
        <v>25.463999999999999</v>
      </c>
      <c r="F16" s="7"/>
      <c r="G16" s="7"/>
      <c r="H16" s="8">
        <f>IFERROR(INDEX('AGUA CON GAS SOLAN CABRAS VI'!$D$7:$D$10,MATCH("MAYO",'AGUA CON GAS SOLAN CABRAS VI'!$A$7:$A$10,0)),"")</f>
        <v>25.463999999999999</v>
      </c>
      <c r="I16" s="7"/>
      <c r="J16" s="9">
        <f>IFERROR(INDEX('AGUA CON GAS SOLAN CABRAS VI'!$D$7:$D$10,MATCH("JULIO",'AGUA CON GAS SOLAN CABRAS VI'!$A$7:$A$10,0)),"")</f>
        <v>26.81</v>
      </c>
      <c r="K16" s="7"/>
      <c r="L16" s="8">
        <f>'AGUA CON GAS SOLAN CABRAS VI'!D7</f>
        <v>25.463999999999999</v>
      </c>
      <c r="M16" s="8">
        <f>'AGUA CON GAS SOLAN CABRAS VI'!D10</f>
        <v>26.81</v>
      </c>
      <c r="N16" s="10">
        <f t="shared" si="0"/>
        <v>5.2858938108702569E-2</v>
      </c>
      <c r="O16" s="5">
        <v>1</v>
      </c>
      <c r="P16" s="11" t="s">
        <v>50</v>
      </c>
      <c r="Q16" s="5" t="s">
        <v>22</v>
      </c>
    </row>
    <row r="17" spans="1:17" x14ac:dyDescent="0.2">
      <c r="A17" s="5" t="s">
        <v>23</v>
      </c>
      <c r="B17" s="5" t="s">
        <v>27</v>
      </c>
      <c r="C17" s="6" t="s">
        <v>51</v>
      </c>
      <c r="D17" s="8">
        <f>IFERROR(INDEX('MOJAMA EXTRA SUPERIOR CHANCA'!$D$7:$D$10,MATCH("ENERO",'MOJAMA EXTRA SUPERIOR CHANCA'!$A$7:$A$10,0)),"")</f>
        <v>34.6</v>
      </c>
      <c r="E17" s="7"/>
      <c r="F17" s="7"/>
      <c r="G17" s="7"/>
      <c r="H17" s="9">
        <f>IFERROR(INDEX('MOJAMA EXTRA SUPERIOR CHANCA'!$D$7:$D$10,MATCH("MAYO",'MOJAMA EXTRA SUPERIOR CHANCA'!$A$7:$A$10,0)),"")</f>
        <v>36.4</v>
      </c>
      <c r="I17" s="7"/>
      <c r="J17" s="8">
        <f>IFERROR(INDEX('MOJAMA EXTRA SUPERIOR CHANCA'!$D$7:$D$10,MATCH("JULIO",'MOJAMA EXTRA SUPERIOR CHANCA'!$A$7:$A$10,0)),"")</f>
        <v>36.4</v>
      </c>
      <c r="K17" s="8">
        <f>IFERROR(INDEX('MOJAMA EXTRA SUPERIOR CHANCA'!$D$7:$D$10,MATCH("AGOSTO",'MOJAMA EXTRA SUPERIOR CHANCA'!$A$7:$A$10,0)),"")</f>
        <v>36.4</v>
      </c>
      <c r="L17" s="8">
        <f>'MOJAMA EXTRA SUPERIOR CHANCA'!D7</f>
        <v>34.6</v>
      </c>
      <c r="M17" s="8">
        <f>'MOJAMA EXTRA SUPERIOR CHANCA'!D10</f>
        <v>36.4</v>
      </c>
      <c r="N17" s="10">
        <f t="shared" si="0"/>
        <v>5.2023121387283044E-2</v>
      </c>
      <c r="O17" s="5">
        <v>1</v>
      </c>
      <c r="P17" s="11" t="s">
        <v>52</v>
      </c>
      <c r="Q17" s="5" t="s">
        <v>22</v>
      </c>
    </row>
    <row r="18" spans="1:17" x14ac:dyDescent="0.2">
      <c r="A18" s="5" t="s">
        <v>23</v>
      </c>
      <c r="B18" s="5" t="s">
        <v>39</v>
      </c>
      <c r="C18" s="6" t="s">
        <v>53</v>
      </c>
      <c r="D18" s="8">
        <f>IFERROR(INDEX('BITTER KAS VIDRIO 20CL'!$D$7:$D$8,MATCH("ENERO",'BITTER KAS VIDRIO 20CL'!$A$7:$A$8,0)),"")</f>
        <v>37.68</v>
      </c>
      <c r="E18" s="7"/>
      <c r="F18" s="7"/>
      <c r="G18" s="7"/>
      <c r="H18" s="9">
        <f>IFERROR(INDEX('BITTER KAS VIDRIO 20CL'!$D$7:$D$8,MATCH("MAYO",'BITTER KAS VIDRIO 20CL'!$A$7:$A$8,0)),"")</f>
        <v>39.6</v>
      </c>
      <c r="I18" s="7"/>
      <c r="J18" s="7"/>
      <c r="K18" s="7"/>
      <c r="L18" s="8">
        <f>'BITTER KAS VIDRIO 20CL'!D7</f>
        <v>37.68</v>
      </c>
      <c r="M18" s="8">
        <f>'BITTER KAS VIDRIO 20CL'!D8</f>
        <v>39.6</v>
      </c>
      <c r="N18" s="10">
        <f t="shared" si="0"/>
        <v>5.0955414012738842E-2</v>
      </c>
      <c r="O18" s="5">
        <v>1</v>
      </c>
      <c r="P18" s="11" t="s">
        <v>54</v>
      </c>
      <c r="Q18" s="5" t="s">
        <v>22</v>
      </c>
    </row>
    <row r="19" spans="1:17" x14ac:dyDescent="0.2">
      <c r="A19" s="5" t="s">
        <v>23</v>
      </c>
      <c r="B19" s="5" t="s">
        <v>39</v>
      </c>
      <c r="C19" s="6" t="s">
        <v>55</v>
      </c>
      <c r="D19" s="8">
        <f>IFERROR(INDEX('AQUARADE ZERO LIMON VIDRIO 3'!$D$7:$D$10,MATCH("ENERO",'AQUARADE ZERO LIMON VIDRIO 3'!$A$7:$A$10,0)),"")</f>
        <v>31.92</v>
      </c>
      <c r="E19" s="9">
        <f>IFERROR(INDEX('AQUARADE ZERO LIMON VIDRIO 3'!$D$7:$D$10,MATCH("FEBRERO",'AQUARADE ZERO LIMON VIDRIO 3'!$A$7:$A$10,0)),"")</f>
        <v>33.840000000000003</v>
      </c>
      <c r="F19" s="7"/>
      <c r="G19" s="7"/>
      <c r="H19" s="8">
        <f>IFERROR(INDEX('AQUARADE ZERO LIMON VIDRIO 3'!$D$7:$D$10,MATCH("MAYO",'AQUARADE ZERO LIMON VIDRIO 3'!$A$7:$A$10,0)),"")</f>
        <v>33.840000000000003</v>
      </c>
      <c r="I19" s="7"/>
      <c r="J19" s="12">
        <f>IFERROR(INDEX('AQUARADE ZERO LIMON VIDRIO 3'!$D$7:$D$10,MATCH("JULIO",'AQUARADE ZERO LIMON VIDRIO 3'!$A$7:$A$10,0)),"")</f>
        <v>33.54</v>
      </c>
      <c r="K19" s="7"/>
      <c r="L19" s="8">
        <f>'AQUARADE ZERO LIMON VIDRIO 3'!D7</f>
        <v>31.92</v>
      </c>
      <c r="M19" s="8">
        <f>'AQUARADE ZERO LIMON VIDRIO 3'!D10</f>
        <v>33.54</v>
      </c>
      <c r="N19" s="10">
        <f t="shared" si="0"/>
        <v>5.0751879699248104E-2</v>
      </c>
      <c r="O19" s="5">
        <v>1</v>
      </c>
      <c r="P19" s="11" t="s">
        <v>56</v>
      </c>
      <c r="Q19" s="5" t="s">
        <v>22</v>
      </c>
    </row>
    <row r="20" spans="1:17" x14ac:dyDescent="0.2">
      <c r="A20" s="5" t="s">
        <v>23</v>
      </c>
      <c r="B20" s="5" t="s">
        <v>57</v>
      </c>
      <c r="C20" s="6" t="s">
        <v>58</v>
      </c>
      <c r="D20" s="7"/>
      <c r="E20" s="8">
        <f>IFERROR(INDEX('LOMO BELLOTA 100 SM'!$D$7:$D$11,MATCH("FEBRERO",'LOMO BELLOTA 100 SM'!$A$7:$A$11,0)),"")</f>
        <v>48.6</v>
      </c>
      <c r="F20" s="7"/>
      <c r="G20" s="8">
        <f>IFERROR(INDEX('LOMO BELLOTA 100 SM'!$D$7:$D$11,MATCH("ABRIL",'LOMO BELLOTA 100 SM'!$A$7:$A$11,0)),"")</f>
        <v>48.6</v>
      </c>
      <c r="H20" s="8">
        <f>IFERROR(INDEX('LOMO BELLOTA 100 SM'!$D$7:$D$11,MATCH("MAYO",'LOMO BELLOTA 100 SM'!$A$7:$A$11,0)),"")</f>
        <v>48.6</v>
      </c>
      <c r="I20" s="7"/>
      <c r="J20" s="9">
        <f>IFERROR(INDEX('LOMO BELLOTA 100 SM'!$D$7:$D$11,MATCH("JULIO",'LOMO BELLOTA 100 SM'!$A$7:$A$11,0)),"")</f>
        <v>49.8</v>
      </c>
      <c r="K20" s="9">
        <f>IFERROR(INDEX('LOMO BELLOTA 100 SM'!$D$7:$D$11,MATCH("AGOSTO",'LOMO BELLOTA 100 SM'!$A$7:$A$11,0)),"")</f>
        <v>51</v>
      </c>
      <c r="L20" s="8">
        <f>'LOMO BELLOTA 100 SM'!D7</f>
        <v>48.6</v>
      </c>
      <c r="M20" s="8">
        <f>'LOMO BELLOTA 100 SM'!D11</f>
        <v>51</v>
      </c>
      <c r="N20" s="10">
        <f t="shared" si="0"/>
        <v>4.9382716049382713E-2</v>
      </c>
      <c r="O20" s="5">
        <v>2</v>
      </c>
      <c r="P20" s="11" t="s">
        <v>59</v>
      </c>
      <c r="Q20" s="5" t="s">
        <v>22</v>
      </c>
    </row>
    <row r="21" spans="1:17" x14ac:dyDescent="0.2">
      <c r="A21" s="5" t="s">
        <v>23</v>
      </c>
      <c r="B21" s="5" t="s">
        <v>44</v>
      </c>
      <c r="C21" s="6" t="s">
        <v>60</v>
      </c>
      <c r="D21" s="8">
        <f>IFERROR(INDEX('COCA COLA ZERO NAC'!$D$7:$D$8,MATCH("ENERO",'COCA COLA ZERO NAC'!$A$7:$A$8,0)),"")</f>
        <v>20.78</v>
      </c>
      <c r="E21" s="7"/>
      <c r="F21" s="7"/>
      <c r="G21" s="7"/>
      <c r="H21" s="7"/>
      <c r="I21" s="7"/>
      <c r="J21" s="7"/>
      <c r="K21" s="9">
        <f>IFERROR(INDEX('COCA COLA ZERO NAC'!$D$7:$D$8,MATCH("AGOSTO",'COCA COLA ZERO NAC'!$A$7:$A$8,0)),"")</f>
        <v>21.78</v>
      </c>
      <c r="L21" s="8">
        <f>'COCA COLA ZERO NAC'!D7</f>
        <v>20.78</v>
      </c>
      <c r="M21" s="8">
        <f>'COCA COLA ZERO NAC'!D8</f>
        <v>21.78</v>
      </c>
      <c r="N21" s="10">
        <f t="shared" si="0"/>
        <v>4.8123195380173289E-2</v>
      </c>
      <c r="O21" s="5">
        <v>1</v>
      </c>
      <c r="P21" s="11" t="s">
        <v>61</v>
      </c>
      <c r="Q21" s="5" t="s">
        <v>22</v>
      </c>
    </row>
    <row r="22" spans="1:17" x14ac:dyDescent="0.2">
      <c r="A22" s="5" t="s">
        <v>23</v>
      </c>
      <c r="B22" s="5" t="s">
        <v>62</v>
      </c>
      <c r="C22" s="6" t="s">
        <v>63</v>
      </c>
      <c r="D22" s="8">
        <f>IFERROR(INDEX('MANZANILLA SOLEAR 3 8'!$D$7:$D$10,MATCH("ENERO",'MANZANILLA SOLEAR 3 8'!$A$7:$A$10,0)),"")</f>
        <v>4.22</v>
      </c>
      <c r="E22" s="9">
        <f>IFERROR(INDEX('MANZANILLA SOLEAR 3 8'!$D$7:$D$10,MATCH("FEBRERO",'MANZANILLA SOLEAR 3 8'!$A$7:$A$10,0)),"")</f>
        <v>4.42</v>
      </c>
      <c r="F22" s="7"/>
      <c r="G22" s="7"/>
      <c r="H22" s="8">
        <f>IFERROR(INDEX('MANZANILLA SOLEAR 3 8'!$D$7:$D$10,MATCH("MAYO",'MANZANILLA SOLEAR 3 8'!$A$7:$A$10,0)),"")</f>
        <v>4.42</v>
      </c>
      <c r="I22" s="7"/>
      <c r="J22" s="7"/>
      <c r="K22" s="8">
        <f>IFERROR(INDEX('MANZANILLA SOLEAR 3 8'!$D$7:$D$10,MATCH("AGOSTO",'MANZANILLA SOLEAR 3 8'!$A$7:$A$10,0)),"")</f>
        <v>4.42</v>
      </c>
      <c r="L22" s="8">
        <f>'MANZANILLA SOLEAR 3 8'!D7</f>
        <v>4.22</v>
      </c>
      <c r="M22" s="8">
        <f>'MANZANILLA SOLEAR 3 8'!D10</f>
        <v>4.42</v>
      </c>
      <c r="N22" s="10">
        <f t="shared" si="0"/>
        <v>4.7393364928909998E-2</v>
      </c>
      <c r="O22" s="5">
        <v>1</v>
      </c>
      <c r="P22" s="11" t="s">
        <v>64</v>
      </c>
      <c r="Q22" s="5" t="s">
        <v>22</v>
      </c>
    </row>
    <row r="23" spans="1:17" x14ac:dyDescent="0.2">
      <c r="A23" s="5" t="s">
        <v>23</v>
      </c>
      <c r="B23" s="5" t="s">
        <v>65</v>
      </c>
      <c r="C23" s="6" t="s">
        <v>66</v>
      </c>
      <c r="D23" s="8">
        <f>IFERROR(INDEX('PICOS ARTESANOS 500 GR'!$D$7:$D$10,MATCH("ENERO",'PICOS ARTESANOS 500 GR'!$A$7:$A$10,0)),"")</f>
        <v>10.97</v>
      </c>
      <c r="E23" s="8">
        <f>IFERROR(INDEX('PICOS ARTESANOS 500 GR'!$D$7:$D$10,MATCH("FEBRERO",'PICOS ARTESANOS 500 GR'!$A$7:$A$10,0)),"")</f>
        <v>10.97</v>
      </c>
      <c r="F23" s="7"/>
      <c r="G23" s="9">
        <f>IFERROR(INDEX('PICOS ARTESANOS 500 GR'!$D$7:$D$10,MATCH("ABRIL",'PICOS ARTESANOS 500 GR'!$A$7:$A$10,0)),"")</f>
        <v>11.48</v>
      </c>
      <c r="H23" s="8">
        <f>IFERROR(INDEX('PICOS ARTESANOS 500 GR'!$D$7:$D$10,MATCH("MAYO",'PICOS ARTESANOS 500 GR'!$A$7:$A$10,0)),"")</f>
        <v>11.48</v>
      </c>
      <c r="I23" s="7"/>
      <c r="J23" s="7"/>
      <c r="K23" s="7"/>
      <c r="L23" s="8">
        <f>'PICOS ARTESANOS 500 GR'!D7</f>
        <v>10.97</v>
      </c>
      <c r="M23" s="8">
        <f>'PICOS ARTESANOS 500 GR'!D10</f>
        <v>11.48</v>
      </c>
      <c r="N23" s="10">
        <f t="shared" si="0"/>
        <v>4.6490428441203324E-2</v>
      </c>
      <c r="O23" s="5">
        <v>1</v>
      </c>
      <c r="P23" s="11" t="s">
        <v>67</v>
      </c>
      <c r="Q23" s="5" t="s">
        <v>22</v>
      </c>
    </row>
    <row r="24" spans="1:17" x14ac:dyDescent="0.2">
      <c r="A24" s="5" t="s">
        <v>23</v>
      </c>
      <c r="B24" s="5" t="s">
        <v>27</v>
      </c>
      <c r="C24" s="6" t="s">
        <v>68</v>
      </c>
      <c r="D24" s="8">
        <f>IFERROR(INDEX('ANCHOAS CANTABRICO GRAN RESE'!$D$7:$D$12,MATCH("ENERO",'ANCHOAS CANTABRICO GRAN RESE'!$A$7:$A$12,0)),"")</f>
        <v>27.46</v>
      </c>
      <c r="E24" s="8">
        <f>IFERROR(INDEX('ANCHOAS CANTABRICO GRAN RESE'!$D$7:$D$12,MATCH("FEBRERO",'ANCHOAS CANTABRICO GRAN RESE'!$A$7:$A$12,0)),"")</f>
        <v>27.46</v>
      </c>
      <c r="F24" s="7"/>
      <c r="G24" s="9">
        <f>IFERROR(INDEX('ANCHOAS CANTABRICO GRAN RESE'!$D$7:$D$12,MATCH("ABRIL",'ANCHOAS CANTABRICO GRAN RESE'!$A$7:$A$12,0)),"")</f>
        <v>28.66</v>
      </c>
      <c r="H24" s="8">
        <f>IFERROR(INDEX('ANCHOAS CANTABRICO GRAN RESE'!$D$7:$D$12,MATCH("MAYO",'ANCHOAS CANTABRICO GRAN RESE'!$A$7:$A$12,0)),"")</f>
        <v>28.66</v>
      </c>
      <c r="I24" s="7"/>
      <c r="J24" s="8">
        <f>IFERROR(INDEX('ANCHOAS CANTABRICO GRAN RESE'!$D$7:$D$12,MATCH("JULIO",'ANCHOAS CANTABRICO GRAN RESE'!$A$7:$A$12,0)),"")</f>
        <v>28.66</v>
      </c>
      <c r="K24" s="8">
        <f>IFERROR(INDEX('ANCHOAS CANTABRICO GRAN RESE'!$D$7:$D$12,MATCH("AGOSTO",'ANCHOAS CANTABRICO GRAN RESE'!$A$7:$A$12,0)),"")</f>
        <v>28.66</v>
      </c>
      <c r="L24" s="8">
        <f>'ANCHOAS CANTABRICO GRAN RESE'!D7</f>
        <v>27.46</v>
      </c>
      <c r="M24" s="8">
        <f>'ANCHOAS CANTABRICO GRAN RESE'!D12</f>
        <v>28.66</v>
      </c>
      <c r="N24" s="10">
        <f t="shared" si="0"/>
        <v>4.3699927166787944E-2</v>
      </c>
      <c r="O24" s="5">
        <v>1</v>
      </c>
      <c r="P24" s="11" t="s">
        <v>69</v>
      </c>
      <c r="Q24" s="5" t="s">
        <v>22</v>
      </c>
    </row>
    <row r="25" spans="1:17" x14ac:dyDescent="0.2">
      <c r="A25" s="5" t="s">
        <v>23</v>
      </c>
      <c r="B25" s="5" t="s">
        <v>36</v>
      </c>
      <c r="C25" s="6" t="s">
        <v>70</v>
      </c>
      <c r="D25" s="8">
        <f>IFERROR(INDEX('PEPE YLLERA 3 4'!$D$7:$D$9,MATCH("ENERO",'PEPE YLLERA 3 4'!$A$7:$A$9,0)),"")</f>
        <v>7.15</v>
      </c>
      <c r="E25" s="9">
        <f>IFERROR(INDEX('PEPE YLLERA 3 4'!$D$7:$D$9,MATCH("FEBRERO",'PEPE YLLERA 3 4'!$A$7:$A$9,0)),"")</f>
        <v>7.46</v>
      </c>
      <c r="F25" s="7"/>
      <c r="G25" s="7"/>
      <c r="H25" s="8">
        <f>IFERROR(INDEX('PEPE YLLERA 3 4'!$D$7:$D$9,MATCH("MAYO",'PEPE YLLERA 3 4'!$A$7:$A$9,0)),"")</f>
        <v>7.46</v>
      </c>
      <c r="I25" s="7"/>
      <c r="J25" s="7"/>
      <c r="K25" s="7"/>
      <c r="L25" s="8">
        <f>'PEPE YLLERA 3 4'!D7</f>
        <v>7.15</v>
      </c>
      <c r="M25" s="8">
        <f>'PEPE YLLERA 3 4'!D9</f>
        <v>7.46</v>
      </c>
      <c r="N25" s="10">
        <f t="shared" si="0"/>
        <v>4.3356643356643243E-2</v>
      </c>
      <c r="O25" s="5">
        <v>1</v>
      </c>
      <c r="P25" s="11" t="s">
        <v>71</v>
      </c>
      <c r="Q25" s="5" t="s">
        <v>22</v>
      </c>
    </row>
    <row r="26" spans="1:17" x14ac:dyDescent="0.2">
      <c r="A26" s="5" t="s">
        <v>23</v>
      </c>
      <c r="B26" s="5" t="s">
        <v>44</v>
      </c>
      <c r="C26" s="6" t="s">
        <v>72</v>
      </c>
      <c r="D26" s="8">
        <f>IFERROR(INDEX('SCHWEPPES TONICA 28 UDS'!$D$7:$D$8,MATCH("ENERO",'SCHWEPPES TONICA 28 UDS'!$A$7:$A$8,0)),"")</f>
        <v>23.84</v>
      </c>
      <c r="E26" s="7"/>
      <c r="F26" s="7"/>
      <c r="G26" s="7"/>
      <c r="H26" s="7"/>
      <c r="I26" s="7"/>
      <c r="J26" s="7"/>
      <c r="K26" s="9">
        <f>IFERROR(INDEX('SCHWEPPES TONICA 28 UDS'!$D$7:$D$8,MATCH("AGOSTO",'SCHWEPPES TONICA 28 UDS'!$A$7:$A$8,0)),"")</f>
        <v>24.84</v>
      </c>
      <c r="L26" s="8">
        <f>'SCHWEPPES TONICA 28 UDS'!D7</f>
        <v>23.84</v>
      </c>
      <c r="M26" s="8">
        <f>'SCHWEPPES TONICA 28 UDS'!D8</f>
        <v>24.84</v>
      </c>
      <c r="N26" s="10">
        <f t="shared" si="0"/>
        <v>4.1946308724832182E-2</v>
      </c>
      <c r="O26" s="5">
        <v>1</v>
      </c>
      <c r="P26" s="11" t="s">
        <v>73</v>
      </c>
      <c r="Q26" s="5" t="s">
        <v>22</v>
      </c>
    </row>
    <row r="27" spans="1:17" x14ac:dyDescent="0.2">
      <c r="A27" s="5" t="s">
        <v>23</v>
      </c>
      <c r="B27" s="5" t="s">
        <v>39</v>
      </c>
      <c r="C27" s="6" t="s">
        <v>74</v>
      </c>
      <c r="D27" s="8">
        <f>IFERROR(INDEX('CASERA LIMON 1L'!$D$7:$D$10,MATCH("ENERO",'CASERA LIMON 1L'!$A$7:$A$10,0)),"")</f>
        <v>23.64</v>
      </c>
      <c r="E27" s="9">
        <f>IFERROR(INDEX('CASERA LIMON 1L'!$D$7:$D$10,MATCH("FEBRERO",'CASERA LIMON 1L'!$A$7:$A$10,0)),"")</f>
        <v>24.61</v>
      </c>
      <c r="F27" s="7"/>
      <c r="G27" s="7"/>
      <c r="H27" s="8">
        <f>IFERROR(INDEX('CASERA LIMON 1L'!$D$7:$D$10,MATCH("MAYO",'CASERA LIMON 1L'!$A$7:$A$10,0)),"")</f>
        <v>24.61</v>
      </c>
      <c r="I27" s="7"/>
      <c r="J27" s="8">
        <f>IFERROR(INDEX('CASERA LIMON 1L'!$D$7:$D$10,MATCH("JULIO",'CASERA LIMON 1L'!$A$7:$A$10,0)),"")</f>
        <v>24.61</v>
      </c>
      <c r="K27" s="7"/>
      <c r="L27" s="8">
        <f>'CASERA LIMON 1L'!D7</f>
        <v>23.64</v>
      </c>
      <c r="M27" s="8">
        <f>'CASERA LIMON 1L'!D10</f>
        <v>24.61</v>
      </c>
      <c r="N27" s="10">
        <f t="shared" si="0"/>
        <v>4.1032148900169263E-2</v>
      </c>
      <c r="O27" s="5">
        <v>1</v>
      </c>
      <c r="P27" s="11" t="s">
        <v>75</v>
      </c>
      <c r="Q27" s="5" t="s">
        <v>22</v>
      </c>
    </row>
    <row r="28" spans="1:17" x14ac:dyDescent="0.2">
      <c r="A28" s="5" t="s">
        <v>23</v>
      </c>
      <c r="B28" s="5" t="s">
        <v>39</v>
      </c>
      <c r="C28" s="6" t="s">
        <v>76</v>
      </c>
      <c r="D28" s="8">
        <f>IFERROR(INDEX('CASERA GASEOSA 1L'!$D$7:$D$10,MATCH("ENERO",'CASERA GASEOSA 1L'!$A$7:$A$10,0)),"")</f>
        <v>20.64</v>
      </c>
      <c r="E28" s="9">
        <f>IFERROR(INDEX('CASERA GASEOSA 1L'!$D$7:$D$10,MATCH("FEBRERO",'CASERA GASEOSA 1L'!$A$7:$A$10,0)),"")</f>
        <v>21.48</v>
      </c>
      <c r="F28" s="7"/>
      <c r="G28" s="7"/>
      <c r="H28" s="8">
        <f>IFERROR(INDEX('CASERA GASEOSA 1L'!$D$7:$D$10,MATCH("MAYO",'CASERA GASEOSA 1L'!$A$7:$A$10,0)),"")</f>
        <v>21.48</v>
      </c>
      <c r="I28" s="7"/>
      <c r="J28" s="8">
        <f>IFERROR(INDEX('CASERA GASEOSA 1L'!$D$7:$D$10,MATCH("JULIO",'CASERA GASEOSA 1L'!$A$7:$A$10,0)),"")</f>
        <v>21.48</v>
      </c>
      <c r="K28" s="7"/>
      <c r="L28" s="8">
        <f>'CASERA GASEOSA 1L'!D7</f>
        <v>20.64</v>
      </c>
      <c r="M28" s="8">
        <f>'CASERA GASEOSA 1L'!D10</f>
        <v>21.48</v>
      </c>
      <c r="N28" s="10">
        <f t="shared" si="0"/>
        <v>4.0697674418604723E-2</v>
      </c>
      <c r="O28" s="5">
        <v>1</v>
      </c>
      <c r="P28" s="11" t="s">
        <v>77</v>
      </c>
      <c r="Q28" s="5" t="s">
        <v>22</v>
      </c>
    </row>
    <row r="29" spans="1:17" x14ac:dyDescent="0.2">
      <c r="A29" s="5" t="s">
        <v>23</v>
      </c>
      <c r="B29" s="5" t="s">
        <v>65</v>
      </c>
      <c r="C29" s="6" t="s">
        <v>78</v>
      </c>
      <c r="D29" s="8">
        <f>IFERROR(INDEX('PAN MOLDE BRIOCHE'!$D$7:$D$12,MATCH("ENERO",'PAN MOLDE BRIOCHE'!$A$7:$A$12,0)),"")</f>
        <v>84.7</v>
      </c>
      <c r="E29" s="8">
        <f>IFERROR(INDEX('PAN MOLDE BRIOCHE'!$D$7:$D$12,MATCH("FEBRERO",'PAN MOLDE BRIOCHE'!$A$7:$A$12,0)),"")</f>
        <v>84.7</v>
      </c>
      <c r="F29" s="7"/>
      <c r="G29" s="9">
        <f>IFERROR(INDEX('PAN MOLDE BRIOCHE'!$D$7:$D$12,MATCH("ABRIL",'PAN MOLDE BRIOCHE'!$A$7:$A$12,0)),"")</f>
        <v>88.09</v>
      </c>
      <c r="H29" s="8">
        <f>IFERROR(INDEX('PAN MOLDE BRIOCHE'!$D$7:$D$12,MATCH("MAYO",'PAN MOLDE BRIOCHE'!$A$7:$A$12,0)),"")</f>
        <v>88.09</v>
      </c>
      <c r="I29" s="7"/>
      <c r="J29" s="8">
        <f>IFERROR(INDEX('PAN MOLDE BRIOCHE'!$D$7:$D$12,MATCH("JULIO",'PAN MOLDE BRIOCHE'!$A$7:$A$12,0)),"")</f>
        <v>88.09</v>
      </c>
      <c r="K29" s="8">
        <f>IFERROR(INDEX('PAN MOLDE BRIOCHE'!$D$7:$D$12,MATCH("AGOSTO",'PAN MOLDE BRIOCHE'!$A$7:$A$12,0)),"")</f>
        <v>88.09</v>
      </c>
      <c r="L29" s="8">
        <f>'PAN MOLDE BRIOCHE'!D7</f>
        <v>84.7</v>
      </c>
      <c r="M29" s="8">
        <f>'PAN MOLDE BRIOCHE'!D12</f>
        <v>88.09</v>
      </c>
      <c r="N29" s="10">
        <f t="shared" si="0"/>
        <v>4.0023612750885507E-2</v>
      </c>
      <c r="O29" s="5">
        <v>1</v>
      </c>
      <c r="P29" s="11" t="s">
        <v>79</v>
      </c>
      <c r="Q29" s="5" t="s">
        <v>22</v>
      </c>
    </row>
    <row r="30" spans="1:17" x14ac:dyDescent="0.2">
      <c r="A30" s="5" t="s">
        <v>23</v>
      </c>
      <c r="B30" s="5" t="s">
        <v>62</v>
      </c>
      <c r="C30" s="6" t="s">
        <v>80</v>
      </c>
      <c r="D30" s="8">
        <f>IFERROR(INDEX('PACO GARCIA CRIANZA 3 4'!$D$7:$D$10,MATCH("ENERO",'PACO GARCIA CRIANZA 3 4'!$A$7:$A$10,0)),"")</f>
        <v>5.0999999999999996</v>
      </c>
      <c r="E30" s="8">
        <f>IFERROR(INDEX('PACO GARCIA CRIANZA 3 4'!$D$7:$D$10,MATCH("FEBRERO",'PACO GARCIA CRIANZA 3 4'!$A$7:$A$10,0)),"")</f>
        <v>5.0999999999999996</v>
      </c>
      <c r="F30" s="7"/>
      <c r="G30" s="7"/>
      <c r="H30" s="9">
        <f>IFERROR(INDEX('PACO GARCIA CRIANZA 3 4'!$D$7:$D$10,MATCH("MAYO",'PACO GARCIA CRIANZA 3 4'!$A$7:$A$10,0)),"")</f>
        <v>5.3</v>
      </c>
      <c r="I30" s="7"/>
      <c r="J30" s="7"/>
      <c r="K30" s="8">
        <f>IFERROR(INDEX('PACO GARCIA CRIANZA 3 4'!$D$7:$D$10,MATCH("AGOSTO",'PACO GARCIA CRIANZA 3 4'!$A$7:$A$10,0)),"")</f>
        <v>5.3</v>
      </c>
      <c r="L30" s="8">
        <f>'PACO GARCIA CRIANZA 3 4'!D7</f>
        <v>5.0999999999999996</v>
      </c>
      <c r="M30" s="8">
        <f>'PACO GARCIA CRIANZA 3 4'!D10</f>
        <v>5.3</v>
      </c>
      <c r="N30" s="10">
        <f t="shared" si="0"/>
        <v>3.9215686274509887E-2</v>
      </c>
      <c r="O30" s="5">
        <v>1</v>
      </c>
      <c r="P30" s="11" t="s">
        <v>81</v>
      </c>
      <c r="Q30" s="5" t="s">
        <v>22</v>
      </c>
    </row>
    <row r="31" spans="1:17" x14ac:dyDescent="0.2">
      <c r="A31" s="5" t="s">
        <v>23</v>
      </c>
      <c r="B31" s="5" t="s">
        <v>62</v>
      </c>
      <c r="C31" s="6" t="s">
        <v>82</v>
      </c>
      <c r="D31" s="8">
        <f>IFERROR(INDEX('RAMON BILBAO BLANCO VERDEJO'!$D$7:$D$11,MATCH("ENERO",'RAMON BILBAO BLANCO VERDEJO'!$A$7:$A$11,0)),"")</f>
        <v>4.5</v>
      </c>
      <c r="E31" s="8">
        <f>IFERROR(INDEX('RAMON BILBAO BLANCO VERDEJO'!$D$7:$D$11,MATCH("FEBRERO",'RAMON BILBAO BLANCO VERDEJO'!$A$7:$A$11,0)),"")</f>
        <v>4.5</v>
      </c>
      <c r="F31" s="7"/>
      <c r="G31" s="7"/>
      <c r="H31" s="9">
        <f>IFERROR(INDEX('RAMON BILBAO BLANCO VERDEJO'!$D$7:$D$11,MATCH("MAYO",'RAMON BILBAO BLANCO VERDEJO'!$A$7:$A$11,0)),"")</f>
        <v>4.67</v>
      </c>
      <c r="I31" s="7"/>
      <c r="J31" s="8">
        <f>IFERROR(INDEX('RAMON BILBAO BLANCO VERDEJO'!$D$7:$D$11,MATCH("JULIO",'RAMON BILBAO BLANCO VERDEJO'!$A$7:$A$11,0)),"")</f>
        <v>4.67</v>
      </c>
      <c r="K31" s="8">
        <f>IFERROR(INDEX('RAMON BILBAO BLANCO VERDEJO'!$D$7:$D$11,MATCH("AGOSTO",'RAMON BILBAO BLANCO VERDEJO'!$A$7:$A$11,0)),"")</f>
        <v>4.67</v>
      </c>
      <c r="L31" s="8">
        <f>'RAMON BILBAO BLANCO VERDEJO'!D7</f>
        <v>4.5</v>
      </c>
      <c r="M31" s="8">
        <f>'RAMON BILBAO BLANCO VERDEJO'!D11</f>
        <v>4.67</v>
      </c>
      <c r="N31" s="10">
        <f t="shared" si="0"/>
        <v>3.7777777777777688E-2</v>
      </c>
      <c r="O31" s="5">
        <v>1</v>
      </c>
      <c r="P31" s="11" t="s">
        <v>83</v>
      </c>
      <c r="Q31" s="5" t="s">
        <v>22</v>
      </c>
    </row>
    <row r="32" spans="1:17" x14ac:dyDescent="0.2">
      <c r="A32" s="5" t="s">
        <v>23</v>
      </c>
      <c r="B32" s="5" t="s">
        <v>36</v>
      </c>
      <c r="C32" s="6" t="s">
        <v>84</v>
      </c>
      <c r="D32" s="8">
        <f>IFERROR(INDEX('GODELLO VINAREDO'!$D$7:$D$11,MATCH("ENERO",'GODELLO VINAREDO'!$A$7:$A$11,0)),"")</f>
        <v>6.78</v>
      </c>
      <c r="E32" s="8">
        <f>IFERROR(INDEX('GODELLO VINAREDO'!$D$7:$D$11,MATCH("FEBRERO",'GODELLO VINAREDO'!$A$7:$A$11,0)),"")</f>
        <v>6.78</v>
      </c>
      <c r="F32" s="7"/>
      <c r="G32" s="7"/>
      <c r="H32" s="9">
        <f>IFERROR(INDEX('GODELLO VINAREDO'!$D$7:$D$11,MATCH("MAYO",'GODELLO VINAREDO'!$A$7:$A$11,0)),"")</f>
        <v>7.03</v>
      </c>
      <c r="I32" s="7"/>
      <c r="J32" s="8">
        <f>IFERROR(INDEX('GODELLO VINAREDO'!$D$7:$D$11,MATCH("JULIO",'GODELLO VINAREDO'!$A$7:$A$11,0)),"")</f>
        <v>7.03</v>
      </c>
      <c r="K32" s="8">
        <f>IFERROR(INDEX('GODELLO VINAREDO'!$D$7:$D$11,MATCH("AGOSTO",'GODELLO VINAREDO'!$A$7:$A$11,0)),"")</f>
        <v>7.03</v>
      </c>
      <c r="L32" s="8">
        <f>'GODELLO VINAREDO'!D7</f>
        <v>6.78</v>
      </c>
      <c r="M32" s="8">
        <f>'GODELLO VINAREDO'!D11</f>
        <v>7.03</v>
      </c>
      <c r="N32" s="10">
        <f t="shared" si="0"/>
        <v>3.6873156342182911E-2</v>
      </c>
      <c r="O32" s="5">
        <v>1</v>
      </c>
      <c r="P32" s="11" t="s">
        <v>85</v>
      </c>
      <c r="Q32" s="5" t="s">
        <v>22</v>
      </c>
    </row>
    <row r="33" spans="1:17" x14ac:dyDescent="0.2">
      <c r="A33" s="5" t="s">
        <v>23</v>
      </c>
      <c r="B33" s="5" t="s">
        <v>36</v>
      </c>
      <c r="C33" s="6" t="s">
        <v>86</v>
      </c>
      <c r="D33" s="8">
        <f>IFERROR(INDEX('SENORIO FITERO ROBLE'!$D$7:$D$11,MATCH("ENERO",'SENORIO FITERO ROBLE'!$A$7:$A$11,0)),"")</f>
        <v>2.72</v>
      </c>
      <c r="E33" s="8">
        <f>IFERROR(INDEX('SENORIO FITERO ROBLE'!$D$7:$D$11,MATCH("FEBRERO",'SENORIO FITERO ROBLE'!$A$7:$A$11,0)),"")</f>
        <v>2.72</v>
      </c>
      <c r="F33" s="7"/>
      <c r="G33" s="7"/>
      <c r="H33" s="9">
        <f>IFERROR(INDEX('SENORIO FITERO ROBLE'!$D$7:$D$11,MATCH("MAYO",'SENORIO FITERO ROBLE'!$A$7:$A$11,0)),"")</f>
        <v>2.82</v>
      </c>
      <c r="I33" s="7"/>
      <c r="J33" s="8">
        <f>IFERROR(INDEX('SENORIO FITERO ROBLE'!$D$7:$D$11,MATCH("JULIO",'SENORIO FITERO ROBLE'!$A$7:$A$11,0)),"")</f>
        <v>2.82</v>
      </c>
      <c r="K33" s="8">
        <f>IFERROR(INDEX('SENORIO FITERO ROBLE'!$D$7:$D$11,MATCH("AGOSTO",'SENORIO FITERO ROBLE'!$A$7:$A$11,0)),"")</f>
        <v>2.82</v>
      </c>
      <c r="L33" s="8">
        <f>'SENORIO FITERO ROBLE'!D7</f>
        <v>2.72</v>
      </c>
      <c r="M33" s="8">
        <f>'SENORIO FITERO ROBLE'!D11</f>
        <v>2.82</v>
      </c>
      <c r="N33" s="10">
        <f t="shared" si="0"/>
        <v>3.6764705882352811E-2</v>
      </c>
      <c r="O33" s="5">
        <v>1</v>
      </c>
      <c r="P33" s="11" t="s">
        <v>87</v>
      </c>
      <c r="Q33" s="5" t="s">
        <v>22</v>
      </c>
    </row>
    <row r="34" spans="1:17" x14ac:dyDescent="0.2">
      <c r="A34" s="5" t="s">
        <v>23</v>
      </c>
      <c r="B34" s="5" t="s">
        <v>62</v>
      </c>
      <c r="C34" s="6" t="s">
        <v>88</v>
      </c>
      <c r="D34" s="8">
        <f>IFERROR(INDEX(CORIMBO!$D$7:$D$11,MATCH("ENERO",CORIMBO!$A$7:$A$11,0)),"")</f>
        <v>13.42</v>
      </c>
      <c r="E34" s="8">
        <f>IFERROR(INDEX(CORIMBO!$D$7:$D$11,MATCH("FEBRERO",CORIMBO!$A$7:$A$11,0)),"")</f>
        <v>13.42</v>
      </c>
      <c r="F34" s="7"/>
      <c r="G34" s="7"/>
      <c r="H34" s="9">
        <f>IFERROR(INDEX(CORIMBO!$D$7:$D$11,MATCH("MAYO",CORIMBO!$A$7:$A$11,0)),"")</f>
        <v>13.91</v>
      </c>
      <c r="I34" s="7"/>
      <c r="J34" s="8">
        <f>IFERROR(INDEX(CORIMBO!$D$7:$D$11,MATCH("JULIO",CORIMBO!$A$7:$A$11,0)),"")</f>
        <v>13.91</v>
      </c>
      <c r="K34" s="8">
        <f>IFERROR(INDEX(CORIMBO!$D$7:$D$11,MATCH("AGOSTO",CORIMBO!$A$7:$A$11,0)),"")</f>
        <v>13.91</v>
      </c>
      <c r="L34" s="8">
        <f>CORIMBO!D7</f>
        <v>13.42</v>
      </c>
      <c r="M34" s="8">
        <f>CORIMBO!D11</f>
        <v>13.91</v>
      </c>
      <c r="N34" s="10">
        <f t="shared" si="0"/>
        <v>3.6512667660208553E-2</v>
      </c>
      <c r="O34" s="5">
        <v>1</v>
      </c>
      <c r="P34" s="11" t="s">
        <v>89</v>
      </c>
      <c r="Q34" s="5" t="s">
        <v>22</v>
      </c>
    </row>
    <row r="35" spans="1:17" x14ac:dyDescent="0.2">
      <c r="A35" s="5" t="s">
        <v>23</v>
      </c>
      <c r="B35" s="5" t="s">
        <v>39</v>
      </c>
      <c r="C35" s="6" t="s">
        <v>90</v>
      </c>
      <c r="D35" s="8">
        <f>IFERROR(INDEX('SCHWEPPES TONICA VIDRIO 20CL'!$D$7:$D$10,MATCH("ENERO",'SCHWEPPES TONICA VIDRIO 20CL'!$A$7:$A$10,0)),"")</f>
        <v>30.8</v>
      </c>
      <c r="E35" s="9">
        <f>IFERROR(INDEX('SCHWEPPES TONICA VIDRIO 20CL'!$D$7:$D$10,MATCH("FEBRERO",'SCHWEPPES TONICA VIDRIO 20CL'!$A$7:$A$10,0)),"")</f>
        <v>31.92</v>
      </c>
      <c r="F35" s="7"/>
      <c r="G35" s="7"/>
      <c r="H35" s="8">
        <f>IFERROR(INDEX('SCHWEPPES TONICA VIDRIO 20CL'!$D$7:$D$10,MATCH("MAYO",'SCHWEPPES TONICA VIDRIO 20CL'!$A$7:$A$10,0)),"")</f>
        <v>31.92</v>
      </c>
      <c r="I35" s="7"/>
      <c r="J35" s="8">
        <f>IFERROR(INDEX('SCHWEPPES TONICA VIDRIO 20CL'!$D$7:$D$10,MATCH("JULIO",'SCHWEPPES TONICA VIDRIO 20CL'!$A$7:$A$10,0)),"")</f>
        <v>31.92</v>
      </c>
      <c r="K35" s="7"/>
      <c r="L35" s="8">
        <f>'SCHWEPPES TONICA VIDRIO 20CL'!D7</f>
        <v>30.8</v>
      </c>
      <c r="M35" s="8">
        <f>'SCHWEPPES TONICA VIDRIO 20CL'!D10</f>
        <v>31.92</v>
      </c>
      <c r="N35" s="10">
        <f t="shared" si="0"/>
        <v>3.6363636363636376E-2</v>
      </c>
      <c r="O35" s="5">
        <v>1</v>
      </c>
      <c r="P35" s="11" t="s">
        <v>91</v>
      </c>
      <c r="Q35" s="5" t="s">
        <v>22</v>
      </c>
    </row>
    <row r="36" spans="1:17" x14ac:dyDescent="0.2">
      <c r="A36" s="5" t="s">
        <v>23</v>
      </c>
      <c r="B36" s="5" t="s">
        <v>62</v>
      </c>
      <c r="C36" s="6" t="s">
        <v>92</v>
      </c>
      <c r="D36" s="8">
        <f>IFERROR(INDEX('RODA RESERVA 3 4'!$D$7:$D$10,MATCH("ENERO",'RODA RESERVA 3 4'!$A$7:$A$10,0)),"")</f>
        <v>20.63</v>
      </c>
      <c r="E36" s="8">
        <f>IFERROR(INDEX('RODA RESERVA 3 4'!$D$7:$D$10,MATCH("FEBRERO",'RODA RESERVA 3 4'!$A$7:$A$10,0)),"")</f>
        <v>20.63</v>
      </c>
      <c r="F36" s="7"/>
      <c r="G36" s="7"/>
      <c r="H36" s="9">
        <f>IFERROR(INDEX('RODA RESERVA 3 4'!$D$7:$D$10,MATCH("MAYO",'RODA RESERVA 3 4'!$A$7:$A$10,0)),"")</f>
        <v>21.38</v>
      </c>
      <c r="I36" s="7"/>
      <c r="J36" s="8">
        <f>IFERROR(INDEX('RODA RESERVA 3 4'!$D$7:$D$10,MATCH("JULIO",'RODA RESERVA 3 4'!$A$7:$A$10,0)),"")</f>
        <v>21.38</v>
      </c>
      <c r="K36" s="7"/>
      <c r="L36" s="8">
        <f>'RODA RESERVA 3 4'!D7</f>
        <v>20.63</v>
      </c>
      <c r="M36" s="8">
        <f>'RODA RESERVA 3 4'!D10</f>
        <v>21.38</v>
      </c>
      <c r="N36" s="10">
        <f t="shared" si="0"/>
        <v>3.6354823073194487E-2</v>
      </c>
      <c r="O36" s="5">
        <v>1</v>
      </c>
      <c r="P36" s="11" t="s">
        <v>93</v>
      </c>
      <c r="Q36" s="5" t="s">
        <v>22</v>
      </c>
    </row>
    <row r="37" spans="1:17" x14ac:dyDescent="0.2">
      <c r="A37" s="5" t="s">
        <v>23</v>
      </c>
      <c r="B37" s="5" t="s">
        <v>36</v>
      </c>
      <c r="C37" s="6" t="s">
        <v>94</v>
      </c>
      <c r="D37" s="8">
        <f>IFERROR(INDEX('ALBARINO MAR FRADES'!$D$7:$D$11,MATCH("ENERO",'ALBARINO MAR FRADES'!$A$7:$A$11,0)),"")</f>
        <v>11.02</v>
      </c>
      <c r="E37" s="8">
        <f>IFERROR(INDEX('ALBARINO MAR FRADES'!$D$7:$D$11,MATCH("FEBRERO",'ALBARINO MAR FRADES'!$A$7:$A$11,0)),"")</f>
        <v>11.02</v>
      </c>
      <c r="F37" s="7"/>
      <c r="G37" s="7"/>
      <c r="H37" s="9">
        <f>IFERROR(INDEX('ALBARINO MAR FRADES'!$D$7:$D$11,MATCH("MAYO",'ALBARINO MAR FRADES'!$A$7:$A$11,0)),"")</f>
        <v>11.42</v>
      </c>
      <c r="I37" s="7"/>
      <c r="J37" s="8">
        <f>IFERROR(INDEX('ALBARINO MAR FRADES'!$D$7:$D$11,MATCH("JULIO",'ALBARINO MAR FRADES'!$A$7:$A$11,0)),"")</f>
        <v>11.42</v>
      </c>
      <c r="K37" s="8">
        <f>IFERROR(INDEX('ALBARINO MAR FRADES'!$D$7:$D$11,MATCH("AGOSTO",'ALBARINO MAR FRADES'!$A$7:$A$11,0)),"")</f>
        <v>11.42</v>
      </c>
      <c r="L37" s="8">
        <f>'ALBARINO MAR FRADES'!D7</f>
        <v>11.02</v>
      </c>
      <c r="M37" s="8">
        <f>'ALBARINO MAR FRADES'!D11</f>
        <v>11.42</v>
      </c>
      <c r="N37" s="10">
        <f t="shared" si="0"/>
        <v>3.6297640653357499E-2</v>
      </c>
      <c r="O37" s="5">
        <v>1</v>
      </c>
      <c r="P37" s="11" t="s">
        <v>95</v>
      </c>
      <c r="Q37" s="5" t="s">
        <v>22</v>
      </c>
    </row>
    <row r="38" spans="1:17" x14ac:dyDescent="0.2">
      <c r="A38" s="5" t="s">
        <v>23</v>
      </c>
      <c r="B38" s="5" t="s">
        <v>62</v>
      </c>
      <c r="C38" s="6" t="s">
        <v>96</v>
      </c>
      <c r="D38" s="8">
        <f>IFERROR(INDEX('VINA MAYOR VERDEJO'!$D$7:$D$9,MATCH("ENERO",'VINA MAYOR VERDEJO'!$A$7:$A$9,0)),"")</f>
        <v>5.88</v>
      </c>
      <c r="E38" s="8">
        <f>IFERROR(INDEX('VINA MAYOR VERDEJO'!$D$7:$D$9,MATCH("FEBRERO",'VINA MAYOR VERDEJO'!$A$7:$A$9,0)),"")</f>
        <v>5.88</v>
      </c>
      <c r="F38" s="7"/>
      <c r="G38" s="7"/>
      <c r="H38" s="9">
        <f>IFERROR(INDEX('VINA MAYOR VERDEJO'!$D$7:$D$9,MATCH("MAYO",'VINA MAYOR VERDEJO'!$A$7:$A$9,0)),"")</f>
        <v>6.08</v>
      </c>
      <c r="I38" s="7"/>
      <c r="J38" s="7"/>
      <c r="K38" s="7"/>
      <c r="L38" s="8">
        <f>'VINA MAYOR VERDEJO'!D7</f>
        <v>5.88</v>
      </c>
      <c r="M38" s="8">
        <f>'VINA MAYOR VERDEJO'!D9</f>
        <v>6.08</v>
      </c>
      <c r="N38" s="10">
        <f t="shared" ref="N38:N69" si="1">IFERROR(M38/L38-1,0)</f>
        <v>3.4013605442176909E-2</v>
      </c>
      <c r="O38" s="5">
        <v>1</v>
      </c>
      <c r="P38" s="11" t="s">
        <v>97</v>
      </c>
      <c r="Q38" s="5" t="s">
        <v>22</v>
      </c>
    </row>
    <row r="39" spans="1:17" x14ac:dyDescent="0.2">
      <c r="A39" s="5" t="s">
        <v>23</v>
      </c>
      <c r="B39" s="5" t="s">
        <v>39</v>
      </c>
      <c r="C39" s="6" t="s">
        <v>98</v>
      </c>
      <c r="D39" s="8">
        <f>IFERROR(INDEX('SEVEN UP FREE VIDRIO 20CL'!$D$7:$D$9,MATCH("ENERO",'SEVEN UP FREE VIDRIO 20CL'!$A$7:$A$9,0)),"")</f>
        <v>22.56</v>
      </c>
      <c r="E39" s="9">
        <f>IFERROR(INDEX('SEVEN UP FREE VIDRIO 20CL'!$D$7:$D$9,MATCH("FEBRERO",'SEVEN UP FREE VIDRIO 20CL'!$A$7:$A$9,0)),"")</f>
        <v>23.28</v>
      </c>
      <c r="F39" s="7"/>
      <c r="G39" s="7"/>
      <c r="H39" s="8">
        <f>IFERROR(INDEX('SEVEN UP FREE VIDRIO 20CL'!$D$7:$D$9,MATCH("MAYO",'SEVEN UP FREE VIDRIO 20CL'!$A$7:$A$9,0)),"")</f>
        <v>23.28</v>
      </c>
      <c r="I39" s="7"/>
      <c r="J39" s="7"/>
      <c r="K39" s="7"/>
      <c r="L39" s="8">
        <f>'SEVEN UP FREE VIDRIO 20CL'!D7</f>
        <v>22.56</v>
      </c>
      <c r="M39" s="8">
        <f>'SEVEN UP FREE VIDRIO 20CL'!D9</f>
        <v>23.28</v>
      </c>
      <c r="N39" s="10">
        <f t="shared" si="1"/>
        <v>3.1914893617021489E-2</v>
      </c>
      <c r="O39" s="5">
        <v>1</v>
      </c>
      <c r="P39" s="11" t="s">
        <v>99</v>
      </c>
      <c r="Q39" s="5" t="s">
        <v>22</v>
      </c>
    </row>
    <row r="40" spans="1:17" x14ac:dyDescent="0.2">
      <c r="A40" s="5" t="s">
        <v>23</v>
      </c>
      <c r="B40" s="5" t="s">
        <v>39</v>
      </c>
      <c r="C40" s="6" t="s">
        <v>100</v>
      </c>
      <c r="D40" s="8">
        <f>IFERROR(INDEX('LIPTON ZERO LIMON VIDRIO 35C'!$D$7:$D$10,MATCH("ENERO",'LIPTON ZERO LIMON VIDRIO 35C'!$A$7:$A$10,0)),"")</f>
        <v>31.92</v>
      </c>
      <c r="E40" s="9">
        <f>IFERROR(INDEX('LIPTON ZERO LIMON VIDRIO 35C'!$D$7:$D$10,MATCH("FEBRERO",'LIPTON ZERO LIMON VIDRIO 35C'!$A$7:$A$10,0)),"")</f>
        <v>32.880000000000003</v>
      </c>
      <c r="F40" s="7"/>
      <c r="G40" s="7"/>
      <c r="H40" s="8">
        <f>IFERROR(INDEX('LIPTON ZERO LIMON VIDRIO 35C'!$D$7:$D$10,MATCH("MAYO",'LIPTON ZERO LIMON VIDRIO 35C'!$A$7:$A$10,0)),"")</f>
        <v>32.880000000000003</v>
      </c>
      <c r="I40" s="7"/>
      <c r="J40" s="8">
        <f>IFERROR(INDEX('LIPTON ZERO LIMON VIDRIO 35C'!$D$7:$D$10,MATCH("JULIO",'LIPTON ZERO LIMON VIDRIO 35C'!$A$7:$A$10,0)),"")</f>
        <v>32.880000000000003</v>
      </c>
      <c r="K40" s="7"/>
      <c r="L40" s="8">
        <f>'LIPTON ZERO LIMON VIDRIO 35C'!D7</f>
        <v>31.92</v>
      </c>
      <c r="M40" s="8">
        <f>'LIPTON ZERO LIMON VIDRIO 35C'!D10</f>
        <v>32.880000000000003</v>
      </c>
      <c r="N40" s="10">
        <f t="shared" si="1"/>
        <v>3.007518796992481E-2</v>
      </c>
      <c r="O40" s="5">
        <v>1</v>
      </c>
      <c r="P40" s="11" t="s">
        <v>101</v>
      </c>
      <c r="Q40" s="5" t="s">
        <v>22</v>
      </c>
    </row>
    <row r="41" spans="1:17" x14ac:dyDescent="0.2">
      <c r="A41" s="5" t="s">
        <v>23</v>
      </c>
      <c r="B41" s="5" t="s">
        <v>62</v>
      </c>
      <c r="C41" s="6" t="s">
        <v>102</v>
      </c>
      <c r="D41" s="8">
        <f>IFERROR(INDEX('R B EDI LIM EARLY HARVEST RO'!$D$7:$D$10,MATCH("ENERO",'R B EDI LIM EARLY HARVEST RO'!$A$7:$A$10,0)),"")</f>
        <v>7.69</v>
      </c>
      <c r="E41" s="8">
        <f>IFERROR(INDEX('R B EDI LIM EARLY HARVEST RO'!$D$7:$D$10,MATCH("FEBRERO",'R B EDI LIM EARLY HARVEST RO'!$A$7:$A$10,0)),"")</f>
        <v>7.69</v>
      </c>
      <c r="F41" s="7"/>
      <c r="G41" s="7"/>
      <c r="H41" s="9">
        <f>IFERROR(INDEX('R B EDI LIM EARLY HARVEST RO'!$D$7:$D$10,MATCH("MAYO",'R B EDI LIM EARLY HARVEST RO'!$A$7:$A$10,0)),"")</f>
        <v>7.88</v>
      </c>
      <c r="I41" s="7"/>
      <c r="J41" s="8">
        <f>IFERROR(INDEX('R B EDI LIM EARLY HARVEST RO'!$D$7:$D$10,MATCH("JULIO",'R B EDI LIM EARLY HARVEST RO'!$A$7:$A$10,0)),"")</f>
        <v>7.88</v>
      </c>
      <c r="K41" s="7"/>
      <c r="L41" s="8">
        <f>'R B EDI LIM EARLY HARVEST RO'!D7</f>
        <v>7.69</v>
      </c>
      <c r="M41" s="8">
        <f>'R B EDI LIM EARLY HARVEST RO'!D10</f>
        <v>7.88</v>
      </c>
      <c r="N41" s="10">
        <f t="shared" si="1"/>
        <v>2.4707412223667014E-2</v>
      </c>
      <c r="O41" s="5">
        <v>1</v>
      </c>
      <c r="P41" s="11" t="s">
        <v>103</v>
      </c>
      <c r="Q41" s="5" t="s">
        <v>22</v>
      </c>
    </row>
    <row r="42" spans="1:17" x14ac:dyDescent="0.2">
      <c r="A42" s="5" t="s">
        <v>23</v>
      </c>
      <c r="B42" s="5" t="s">
        <v>36</v>
      </c>
      <c r="C42" s="6" t="s">
        <v>104</v>
      </c>
      <c r="D42" s="8">
        <f>IFERROR(INDEX('POMMERY ROYAL BRUT 3 4'!$D$7:$D$9,MATCH("ENERO",'POMMERY ROYAL BRUT 3 4'!$A$7:$A$9,0)),"")</f>
        <v>35.49</v>
      </c>
      <c r="E42" s="8">
        <f>IFERROR(INDEX('POMMERY ROYAL BRUT 3 4'!$D$7:$D$9,MATCH("FEBRERO",'POMMERY ROYAL BRUT 3 4'!$A$7:$A$9,0)),"")</f>
        <v>35.49</v>
      </c>
      <c r="F42" s="7"/>
      <c r="G42" s="7"/>
      <c r="H42" s="9">
        <f>IFERROR(INDEX('POMMERY ROYAL BRUT 3 4'!$D$7:$D$9,MATCH("MAYO",'POMMERY ROYAL BRUT 3 4'!$A$7:$A$9,0)),"")</f>
        <v>36.35</v>
      </c>
      <c r="I42" s="7"/>
      <c r="J42" s="7"/>
      <c r="K42" s="7"/>
      <c r="L42" s="8">
        <f>'POMMERY ROYAL BRUT 3 4'!D7</f>
        <v>35.49</v>
      </c>
      <c r="M42" s="8">
        <f>'POMMERY ROYAL BRUT 3 4'!D9</f>
        <v>36.35</v>
      </c>
      <c r="N42" s="10">
        <f t="shared" si="1"/>
        <v>2.423217807833189E-2</v>
      </c>
      <c r="O42" s="5">
        <v>1</v>
      </c>
      <c r="P42" s="11" t="s">
        <v>105</v>
      </c>
      <c r="Q42" s="5" t="s">
        <v>22</v>
      </c>
    </row>
    <row r="43" spans="1:17" x14ac:dyDescent="0.2">
      <c r="A43" s="5" t="s">
        <v>23</v>
      </c>
      <c r="B43" s="5" t="s">
        <v>36</v>
      </c>
      <c r="C43" s="6" t="s">
        <v>106</v>
      </c>
      <c r="D43" s="7"/>
      <c r="E43" s="8">
        <f>IFERROR(INDEX('GODELLO MAR FRADES'!$D$7:$D$8,MATCH("FEBRERO",'GODELLO MAR FRADES'!$A$7:$A$8,0)),"")</f>
        <v>17.63</v>
      </c>
      <c r="F43" s="7"/>
      <c r="G43" s="7"/>
      <c r="H43" s="9">
        <f>IFERROR(INDEX('GODELLO MAR FRADES'!$D$7:$D$8,MATCH("MAYO",'GODELLO MAR FRADES'!$A$7:$A$8,0)),"")</f>
        <v>18.03</v>
      </c>
      <c r="I43" s="7"/>
      <c r="J43" s="7"/>
      <c r="K43" s="7"/>
      <c r="L43" s="8">
        <f>'GODELLO MAR FRADES'!D7</f>
        <v>17.63</v>
      </c>
      <c r="M43" s="8">
        <f>'GODELLO MAR FRADES'!D8</f>
        <v>18.03</v>
      </c>
      <c r="N43" s="10">
        <f t="shared" si="1"/>
        <v>2.2688598979013097E-2</v>
      </c>
      <c r="O43" s="5">
        <v>1</v>
      </c>
      <c r="P43" s="11" t="s">
        <v>107</v>
      </c>
      <c r="Q43" s="5" t="s">
        <v>22</v>
      </c>
    </row>
    <row r="44" spans="1:17" x14ac:dyDescent="0.2">
      <c r="A44" s="5" t="s">
        <v>23</v>
      </c>
      <c r="B44" s="5" t="s">
        <v>39</v>
      </c>
      <c r="C44" s="6" t="s">
        <v>108</v>
      </c>
      <c r="D44" s="8">
        <f>IFERROR(INDEX('SCHWEPPES LIMON LOW CAL VIDR'!$D$7:$D$10,MATCH("ENERO",'SCHWEPPES LIMON LOW CAL VIDR'!$A$7:$A$10,0)),"")</f>
        <v>25.48</v>
      </c>
      <c r="E44" s="9">
        <f>IFERROR(INDEX('SCHWEPPES LIMON LOW CAL VIDR'!$D$7:$D$10,MATCH("FEBRERO",'SCHWEPPES LIMON LOW CAL VIDR'!$A$7:$A$10,0)),"")</f>
        <v>26.04</v>
      </c>
      <c r="F44" s="7"/>
      <c r="G44" s="7"/>
      <c r="H44" s="8">
        <f>IFERROR(INDEX('SCHWEPPES LIMON LOW CAL VIDR'!$D$7:$D$10,MATCH("MAYO",'SCHWEPPES LIMON LOW CAL VIDR'!$A$7:$A$10,0)),"")</f>
        <v>26.04</v>
      </c>
      <c r="I44" s="7"/>
      <c r="J44" s="8">
        <f>IFERROR(INDEX('SCHWEPPES LIMON LOW CAL VIDR'!$D$7:$D$10,MATCH("JULIO",'SCHWEPPES LIMON LOW CAL VIDR'!$A$7:$A$10,0)),"")</f>
        <v>26.04</v>
      </c>
      <c r="K44" s="7"/>
      <c r="L44" s="8">
        <f>'SCHWEPPES LIMON LOW CAL VIDR'!D7</f>
        <v>25.48</v>
      </c>
      <c r="M44" s="8">
        <f>'SCHWEPPES LIMON LOW CAL VIDR'!D10</f>
        <v>26.04</v>
      </c>
      <c r="N44" s="10">
        <f t="shared" si="1"/>
        <v>2.19780219780219E-2</v>
      </c>
      <c r="O44" s="5">
        <v>1</v>
      </c>
      <c r="P44" s="11" t="s">
        <v>109</v>
      </c>
      <c r="Q44" s="5" t="s">
        <v>22</v>
      </c>
    </row>
    <row r="45" spans="1:17" x14ac:dyDescent="0.2">
      <c r="A45" s="5" t="s">
        <v>23</v>
      </c>
      <c r="B45" s="5" t="s">
        <v>39</v>
      </c>
      <c r="C45" s="6" t="s">
        <v>110</v>
      </c>
      <c r="D45" s="8">
        <f>IFERROR(INDEX('SCHWEPPES NARANJA LOW CAL VI'!$D$7:$D$10,MATCH("ENERO",'SCHWEPPES NARANJA LOW CAL VI'!$A$7:$A$10,0)),"")</f>
        <v>25.48</v>
      </c>
      <c r="E45" s="9">
        <f>IFERROR(INDEX('SCHWEPPES NARANJA LOW CAL VI'!$D$7:$D$10,MATCH("FEBRERO",'SCHWEPPES NARANJA LOW CAL VI'!$A$7:$A$10,0)),"")</f>
        <v>26.04</v>
      </c>
      <c r="F45" s="7"/>
      <c r="G45" s="7"/>
      <c r="H45" s="8">
        <f>IFERROR(INDEX('SCHWEPPES NARANJA LOW CAL VI'!$D$7:$D$10,MATCH("MAYO",'SCHWEPPES NARANJA LOW CAL VI'!$A$7:$A$10,0)),"")</f>
        <v>26.04</v>
      </c>
      <c r="I45" s="7"/>
      <c r="J45" s="8">
        <f>IFERROR(INDEX('SCHWEPPES NARANJA LOW CAL VI'!$D$7:$D$10,MATCH("JULIO",'SCHWEPPES NARANJA LOW CAL VI'!$A$7:$A$10,0)),"")</f>
        <v>26.04</v>
      </c>
      <c r="K45" s="7"/>
      <c r="L45" s="8">
        <f>'SCHWEPPES NARANJA LOW CAL VI'!D7</f>
        <v>25.48</v>
      </c>
      <c r="M45" s="8">
        <f>'SCHWEPPES NARANJA LOW CAL VI'!D10</f>
        <v>26.04</v>
      </c>
      <c r="N45" s="10">
        <f t="shared" si="1"/>
        <v>2.19780219780219E-2</v>
      </c>
      <c r="O45" s="5">
        <v>1</v>
      </c>
      <c r="P45" s="11" t="s">
        <v>109</v>
      </c>
      <c r="Q45" s="5" t="s">
        <v>22</v>
      </c>
    </row>
    <row r="46" spans="1:17" ht="30" x14ac:dyDescent="0.2">
      <c r="A46" s="5" t="s">
        <v>23</v>
      </c>
      <c r="B46" s="5" t="s">
        <v>111</v>
      </c>
      <c r="C46" s="6" t="s">
        <v>112</v>
      </c>
      <c r="D46" s="8">
        <f>IFERROR(INDEX('CUAD A O SUAVE GUADALIMAR 5L'!$D$7:$D$12,MATCH("ENERO",'CUAD A O SUAVE GUADALIMAR 5L'!$A$7:$A$12,0)),"")</f>
        <v>23.95</v>
      </c>
      <c r="E46" s="9">
        <f>IFERROR(INDEX('CUAD A O SUAVE GUADALIMAR 5L'!$D$7:$D$12,MATCH("FEBRERO",'CUAD A O SUAVE GUADALIMAR 5L'!$A$7:$A$12,0)),"")</f>
        <v>24.95</v>
      </c>
      <c r="F46" s="7"/>
      <c r="G46" s="8">
        <f>IFERROR(INDEX('CUAD A O SUAVE GUADALIMAR 5L'!$D$7:$D$12,MATCH("ABRIL",'CUAD A O SUAVE GUADALIMAR 5L'!$A$7:$A$12,0)),"")</f>
        <v>24.95</v>
      </c>
      <c r="H46" s="12">
        <f>IFERROR(INDEX('CUAD A O SUAVE GUADALIMAR 5L'!$D$7:$D$12,MATCH("MAYO",'CUAD A O SUAVE GUADALIMAR 5L'!$A$7:$A$12,0)),"")</f>
        <v>23.95</v>
      </c>
      <c r="I46" s="7"/>
      <c r="J46" s="8">
        <f>IFERROR(INDEX('CUAD A O SUAVE GUADALIMAR 5L'!$D$7:$D$12,MATCH("JULIO",'CUAD A O SUAVE GUADALIMAR 5L'!$A$7:$A$12,0)),"")</f>
        <v>23.95</v>
      </c>
      <c r="K46" s="9">
        <f>IFERROR(INDEX('CUAD A O SUAVE GUADALIMAR 5L'!$D$7:$D$12,MATCH("AGOSTO",'CUAD A O SUAVE GUADALIMAR 5L'!$A$7:$A$12,0)),"")</f>
        <v>24.45</v>
      </c>
      <c r="L46" s="8">
        <f>'CUAD A O SUAVE GUADALIMAR 5L'!D7</f>
        <v>23.95</v>
      </c>
      <c r="M46" s="8">
        <f>'CUAD A O SUAVE GUADALIMAR 5L'!D12</f>
        <v>24.45</v>
      </c>
      <c r="N46" s="10">
        <f t="shared" si="1"/>
        <v>2.087682672233826E-2</v>
      </c>
      <c r="O46" s="5">
        <v>2</v>
      </c>
      <c r="P46" s="11" t="s">
        <v>113</v>
      </c>
      <c r="Q46" s="5" t="s">
        <v>22</v>
      </c>
    </row>
    <row r="47" spans="1:17" x14ac:dyDescent="0.2">
      <c r="A47" s="5" t="s">
        <v>23</v>
      </c>
      <c r="B47" s="5" t="s">
        <v>62</v>
      </c>
      <c r="C47" s="6" t="s">
        <v>114</v>
      </c>
      <c r="D47" s="8">
        <f>IFERROR(INDEX('VINAGRE JEREZ RESERVA AL MOS'!$D$7:$D$11,MATCH("ENERO",'VINAGRE JEREZ RESERVA AL MOS'!$A$7:$A$11,0)),"")</f>
        <v>5.33</v>
      </c>
      <c r="E47" s="8">
        <f>IFERROR(INDEX('VINAGRE JEREZ RESERVA AL MOS'!$D$7:$D$11,MATCH("FEBRERO",'VINAGRE JEREZ RESERVA AL MOS'!$A$7:$A$11,0)),"")</f>
        <v>5.33</v>
      </c>
      <c r="F47" s="7"/>
      <c r="G47" s="7"/>
      <c r="H47" s="9">
        <f>IFERROR(INDEX('VINAGRE JEREZ RESERVA AL MOS'!$D$7:$D$11,MATCH("MAYO",'VINAGRE JEREZ RESERVA AL MOS'!$A$7:$A$11,0)),"")</f>
        <v>5.44</v>
      </c>
      <c r="I47" s="7"/>
      <c r="J47" s="8">
        <f>IFERROR(INDEX('VINAGRE JEREZ RESERVA AL MOS'!$D$7:$D$11,MATCH("JULIO",'VINAGRE JEREZ RESERVA AL MOS'!$A$7:$A$11,0)),"")</f>
        <v>5.44</v>
      </c>
      <c r="K47" s="8">
        <f>IFERROR(INDEX('VINAGRE JEREZ RESERVA AL MOS'!$D$7:$D$11,MATCH("AGOSTO",'VINAGRE JEREZ RESERVA AL MOS'!$A$7:$A$11,0)),"")</f>
        <v>5.44</v>
      </c>
      <c r="L47" s="8">
        <f>'VINAGRE JEREZ RESERVA AL MOS'!D7</f>
        <v>5.33</v>
      </c>
      <c r="M47" s="8">
        <f>'VINAGRE JEREZ RESERVA AL MOS'!D11</f>
        <v>5.44</v>
      </c>
      <c r="N47" s="10">
        <f t="shared" si="1"/>
        <v>2.0637898686679312E-2</v>
      </c>
      <c r="O47" s="5">
        <v>1</v>
      </c>
      <c r="P47" s="11" t="s">
        <v>115</v>
      </c>
      <c r="Q47" s="5" t="s">
        <v>22</v>
      </c>
    </row>
    <row r="48" spans="1:17" x14ac:dyDescent="0.2">
      <c r="A48" s="5" t="s">
        <v>23</v>
      </c>
      <c r="B48" s="5" t="s">
        <v>116</v>
      </c>
      <c r="C48" s="6" t="s">
        <v>117</v>
      </c>
      <c r="D48" s="8">
        <f>IFERROR(INDEX('FLOR ALCACHOFA CONFITADA EN'!$D$7:$D$10,MATCH("ENERO",'FLOR ALCACHOFA CONFITADA EN'!$A$7:$A$10,0)),"")</f>
        <v>22.45</v>
      </c>
      <c r="E48" s="8">
        <f>IFERROR(INDEX('FLOR ALCACHOFA CONFITADA EN'!$D$7:$D$10,MATCH("FEBRERO",'FLOR ALCACHOFA CONFITADA EN'!$A$7:$A$10,0)),"")</f>
        <v>22.45</v>
      </c>
      <c r="F48" s="7"/>
      <c r="G48" s="9">
        <f>IFERROR(INDEX('FLOR ALCACHOFA CONFITADA EN'!$D$7:$D$10,MATCH("ABRIL",'FLOR ALCACHOFA CONFITADA EN'!$A$7:$A$10,0)),"")</f>
        <v>22.9</v>
      </c>
      <c r="H48" s="8">
        <f>IFERROR(INDEX('FLOR ALCACHOFA CONFITADA EN'!$D$7:$D$10,MATCH("MAYO",'FLOR ALCACHOFA CONFITADA EN'!$A$7:$A$10,0)),"")</f>
        <v>22.9</v>
      </c>
      <c r="I48" s="7"/>
      <c r="J48" s="7"/>
      <c r="K48" s="7"/>
      <c r="L48" s="8">
        <f>'FLOR ALCACHOFA CONFITADA EN'!D7</f>
        <v>22.45</v>
      </c>
      <c r="M48" s="8">
        <f>'FLOR ALCACHOFA CONFITADA EN'!D10</f>
        <v>22.9</v>
      </c>
      <c r="N48" s="10">
        <f t="shared" si="1"/>
        <v>2.0044543429843964E-2</v>
      </c>
      <c r="O48" s="5">
        <v>1</v>
      </c>
      <c r="P48" s="11" t="s">
        <v>118</v>
      </c>
      <c r="Q48" s="5" t="s">
        <v>22</v>
      </c>
    </row>
    <row r="49" spans="1:17" x14ac:dyDescent="0.2">
      <c r="A49" s="5" t="s">
        <v>23</v>
      </c>
      <c r="B49" s="5" t="s">
        <v>62</v>
      </c>
      <c r="C49" s="6" t="s">
        <v>119</v>
      </c>
      <c r="D49" s="7"/>
      <c r="E49" s="8">
        <f>IFERROR(INDEX('BARBADILLO VI MOSCATO FRIZZA'!$D$7:$D$10,MATCH("FEBRERO",'BARBADILLO VI MOSCATO FRIZZA'!$A$7:$A$10,0)),"")</f>
        <v>5.52</v>
      </c>
      <c r="F49" s="7"/>
      <c r="G49" s="7"/>
      <c r="H49" s="9">
        <f>IFERROR(INDEX('BARBADILLO VI MOSCATO FRIZZA'!$D$7:$D$10,MATCH("MAYO",'BARBADILLO VI MOSCATO FRIZZA'!$A$7:$A$10,0)),"")</f>
        <v>5.63</v>
      </c>
      <c r="I49" s="7"/>
      <c r="J49" s="8">
        <f>IFERROR(INDEX('BARBADILLO VI MOSCATO FRIZZA'!$D$7:$D$10,MATCH("JULIO",'BARBADILLO VI MOSCATO FRIZZA'!$A$7:$A$10,0)),"")</f>
        <v>5.63</v>
      </c>
      <c r="K49" s="8">
        <f>IFERROR(INDEX('BARBADILLO VI MOSCATO FRIZZA'!$D$7:$D$10,MATCH("AGOSTO",'BARBADILLO VI MOSCATO FRIZZA'!$A$7:$A$10,0)),"")</f>
        <v>5.63</v>
      </c>
      <c r="L49" s="8">
        <f>'BARBADILLO VI MOSCATO FRIZZA'!D7</f>
        <v>5.52</v>
      </c>
      <c r="M49" s="8">
        <f>'BARBADILLO VI MOSCATO FRIZZA'!D10</f>
        <v>5.63</v>
      </c>
      <c r="N49" s="10">
        <f t="shared" si="1"/>
        <v>1.9927536231884035E-2</v>
      </c>
      <c r="O49" s="5">
        <v>1</v>
      </c>
      <c r="P49" s="11" t="s">
        <v>120</v>
      </c>
      <c r="Q49" s="5" t="s">
        <v>22</v>
      </c>
    </row>
    <row r="50" spans="1:17" x14ac:dyDescent="0.2">
      <c r="A50" s="5" t="s">
        <v>23</v>
      </c>
      <c r="B50" s="5" t="s">
        <v>30</v>
      </c>
      <c r="C50" s="6" t="s">
        <v>121</v>
      </c>
      <c r="D50" s="8">
        <f>IFERROR(INDEX('MAESTRO DOBEL DIAMANTE REPOS'!$D$7:$D$11,MATCH("ENERO",'MAESTRO DOBEL DIAMANTE REPOS'!$A$7:$A$11,0)),"")</f>
        <v>54.14</v>
      </c>
      <c r="E50" s="8">
        <f>IFERROR(INDEX('MAESTRO DOBEL DIAMANTE REPOS'!$D$7:$D$11,MATCH("FEBRERO",'MAESTRO DOBEL DIAMANTE REPOS'!$A$7:$A$11,0)),"")</f>
        <v>54.14</v>
      </c>
      <c r="F50" s="7"/>
      <c r="G50" s="7"/>
      <c r="H50" s="9">
        <f>IFERROR(INDEX('MAESTRO DOBEL DIAMANTE REPOS'!$D$7:$D$11,MATCH("MAYO",'MAESTRO DOBEL DIAMANTE REPOS'!$A$7:$A$11,0)),"")</f>
        <v>55.17</v>
      </c>
      <c r="I50" s="7"/>
      <c r="J50" s="8">
        <f>IFERROR(INDEX('MAESTRO DOBEL DIAMANTE REPOS'!$D$7:$D$11,MATCH("JULIO",'MAESTRO DOBEL DIAMANTE REPOS'!$A$7:$A$11,0)),"")</f>
        <v>55.17</v>
      </c>
      <c r="K50" s="8">
        <f>IFERROR(INDEX('MAESTRO DOBEL DIAMANTE REPOS'!$D$7:$D$11,MATCH("AGOSTO",'MAESTRO DOBEL DIAMANTE REPOS'!$A$7:$A$11,0)),"")</f>
        <v>55.17</v>
      </c>
      <c r="L50" s="8">
        <f>'MAESTRO DOBEL DIAMANTE REPOS'!D7</f>
        <v>54.14</v>
      </c>
      <c r="M50" s="8">
        <f>'MAESTRO DOBEL DIAMANTE REPOS'!D11</f>
        <v>55.17</v>
      </c>
      <c r="N50" s="10">
        <f t="shared" si="1"/>
        <v>1.9024750646472022E-2</v>
      </c>
      <c r="O50" s="5">
        <v>1</v>
      </c>
      <c r="P50" s="11" t="s">
        <v>122</v>
      </c>
      <c r="Q50" s="5" t="s">
        <v>22</v>
      </c>
    </row>
    <row r="51" spans="1:17" ht="30" x14ac:dyDescent="0.2">
      <c r="A51" s="5" t="s">
        <v>23</v>
      </c>
      <c r="B51" s="5" t="s">
        <v>44</v>
      </c>
      <c r="C51" s="6" t="s">
        <v>123</v>
      </c>
      <c r="D51" s="8">
        <f>IFERROR(INDEX('IZAGUIRRE BOX 20L'!$D$7:$D$10,MATCH("ENERO",'IZAGUIRRE BOX 20L'!$A$7:$A$10,0)),"")</f>
        <v>118.16500000000001</v>
      </c>
      <c r="E51" s="12">
        <f>IFERROR(INDEX('IZAGUIRRE BOX 20L'!$D$7:$D$10,MATCH("FEBRERO",'IZAGUIRRE BOX 20L'!$A$7:$A$10,0)),"")</f>
        <v>116.18</v>
      </c>
      <c r="F51" s="7"/>
      <c r="G51" s="7"/>
      <c r="H51" s="7"/>
      <c r="I51" s="7"/>
      <c r="J51" s="9">
        <f>IFERROR(INDEX('IZAGUIRRE BOX 20L'!$D$7:$D$10,MATCH("JULIO",'IZAGUIRRE BOX 20L'!$A$7:$A$10,0)),"")</f>
        <v>120.15</v>
      </c>
      <c r="K51" s="8">
        <f>IFERROR(INDEX('IZAGUIRRE BOX 20L'!$D$7:$D$10,MATCH("AGOSTO",'IZAGUIRRE BOX 20L'!$A$7:$A$10,0)),"")</f>
        <v>120.15</v>
      </c>
      <c r="L51" s="8">
        <f>'IZAGUIRRE BOX 20L'!D7</f>
        <v>118.16500000000001</v>
      </c>
      <c r="M51" s="8">
        <f>'IZAGUIRRE BOX 20L'!D10</f>
        <v>120.15</v>
      </c>
      <c r="N51" s="10">
        <f t="shared" si="1"/>
        <v>1.6798544408242799E-2</v>
      </c>
      <c r="O51" s="5">
        <v>1</v>
      </c>
      <c r="P51" s="11" t="s">
        <v>124</v>
      </c>
      <c r="Q51" s="5" t="s">
        <v>22</v>
      </c>
    </row>
    <row r="52" spans="1:17" x14ac:dyDescent="0.2">
      <c r="A52" s="5" t="s">
        <v>23</v>
      </c>
      <c r="B52" s="5" t="s">
        <v>30</v>
      </c>
      <c r="C52" s="6" t="s">
        <v>125</v>
      </c>
      <c r="D52" s="7"/>
      <c r="E52" s="8">
        <f>IFERROR(INDEX('MACALLAN 12'!$D$7:$D$9,MATCH("FEBRERO",'MACALLAN 12'!$A$7:$A$9,0)),"")</f>
        <v>55.2</v>
      </c>
      <c r="F52" s="7"/>
      <c r="G52" s="7"/>
      <c r="H52" s="9">
        <f>IFERROR(INDEX('MACALLAN 12'!$D$7:$D$9,MATCH("MAYO",'MACALLAN 12'!$A$7:$A$9,0)),"")</f>
        <v>56.01</v>
      </c>
      <c r="I52" s="7"/>
      <c r="J52" s="8">
        <f>IFERROR(INDEX('MACALLAN 12'!$D$7:$D$9,MATCH("JULIO",'MACALLAN 12'!$A$7:$A$9,0)),"")</f>
        <v>56.01</v>
      </c>
      <c r="K52" s="7"/>
      <c r="L52" s="8">
        <f>'MACALLAN 12'!D7</f>
        <v>55.2</v>
      </c>
      <c r="M52" s="8">
        <f>'MACALLAN 12'!D9</f>
        <v>56.01</v>
      </c>
      <c r="N52" s="10">
        <f t="shared" si="1"/>
        <v>1.4673913043478093E-2</v>
      </c>
      <c r="O52" s="5">
        <v>1</v>
      </c>
      <c r="P52" s="11" t="s">
        <v>126</v>
      </c>
      <c r="Q52" s="5" t="s">
        <v>22</v>
      </c>
    </row>
    <row r="53" spans="1:17" x14ac:dyDescent="0.2">
      <c r="A53" s="5" t="s">
        <v>23</v>
      </c>
      <c r="B53" s="5" t="s">
        <v>30</v>
      </c>
      <c r="C53" s="6" t="s">
        <v>127</v>
      </c>
      <c r="D53" s="8">
        <f>IFERROR(INDEX('ABSOLUT 0,70'!$D$7:$D$11,MATCH("ENERO",'ABSOLUT 0,70'!$A$7:$A$11,0)),"")</f>
        <v>11.68</v>
      </c>
      <c r="E53" s="8">
        <f>IFERROR(INDEX('ABSOLUT 0,70'!$D$7:$D$11,MATCH("FEBRERO",'ABSOLUT 0,70'!$A$7:$A$11,0)),"")</f>
        <v>11.68</v>
      </c>
      <c r="F53" s="7"/>
      <c r="G53" s="7"/>
      <c r="H53" s="9">
        <f>IFERROR(INDEX('ABSOLUT 0,70'!$D$7:$D$11,MATCH("MAYO",'ABSOLUT 0,70'!$A$7:$A$11,0)),"")</f>
        <v>11.85</v>
      </c>
      <c r="I53" s="7"/>
      <c r="J53" s="8">
        <f>IFERROR(INDEX('ABSOLUT 0,70'!$D$7:$D$11,MATCH("JULIO",'ABSOLUT 0,70'!$A$7:$A$11,0)),"")</f>
        <v>11.85</v>
      </c>
      <c r="K53" s="8">
        <f>IFERROR(INDEX('ABSOLUT 0,70'!$D$7:$D$11,MATCH("AGOSTO",'ABSOLUT 0,70'!$A$7:$A$11,0)),"")</f>
        <v>11.85</v>
      </c>
      <c r="L53" s="8">
        <f>'ABSOLUT 0,70'!D7</f>
        <v>11.68</v>
      </c>
      <c r="M53" s="8">
        <f>'ABSOLUT 0,70'!D11</f>
        <v>11.85</v>
      </c>
      <c r="N53" s="10">
        <f t="shared" si="1"/>
        <v>1.4554794520547976E-2</v>
      </c>
      <c r="O53" s="5">
        <v>1</v>
      </c>
      <c r="P53" s="11" t="s">
        <v>128</v>
      </c>
      <c r="Q53" s="5" t="s">
        <v>22</v>
      </c>
    </row>
    <row r="54" spans="1:17" x14ac:dyDescent="0.2">
      <c r="A54" s="5" t="s">
        <v>23</v>
      </c>
      <c r="B54" s="5" t="s">
        <v>44</v>
      </c>
      <c r="C54" s="6" t="s">
        <v>129</v>
      </c>
      <c r="D54" s="8">
        <f>IFERROR(INDEX('BARCELO ANEJO'!$D$7:$D$10,MATCH("ENERO",'BARCELO ANEJO'!$A$7:$A$10,0)),"")</f>
        <v>12.56</v>
      </c>
      <c r="E54" s="8">
        <f>IFERROR(INDEX('BARCELO ANEJO'!$D$7:$D$10,MATCH("FEBRERO",'BARCELO ANEJO'!$A$7:$A$10,0)),"")</f>
        <v>12.56</v>
      </c>
      <c r="F54" s="7"/>
      <c r="G54" s="7"/>
      <c r="H54" s="7"/>
      <c r="I54" s="7"/>
      <c r="J54" s="9">
        <f>IFERROR(INDEX('BARCELO ANEJO'!$D$7:$D$10,MATCH("JULIO",'BARCELO ANEJO'!$A$7:$A$10,0)),"")</f>
        <v>12.72</v>
      </c>
      <c r="K54" s="8">
        <f>IFERROR(INDEX('BARCELO ANEJO'!$D$7:$D$10,MATCH("AGOSTO",'BARCELO ANEJO'!$A$7:$A$10,0)),"")</f>
        <v>12.72</v>
      </c>
      <c r="L54" s="8">
        <f>'BARCELO ANEJO'!D7</f>
        <v>12.56</v>
      </c>
      <c r="M54" s="8">
        <f>'BARCELO ANEJO'!D10</f>
        <v>12.72</v>
      </c>
      <c r="N54" s="10">
        <f t="shared" si="1"/>
        <v>1.2738853503184711E-2</v>
      </c>
      <c r="O54" s="5">
        <v>1</v>
      </c>
      <c r="P54" s="11" t="s">
        <v>130</v>
      </c>
      <c r="Q54" s="5" t="s">
        <v>22</v>
      </c>
    </row>
    <row r="55" spans="1:17" x14ac:dyDescent="0.2">
      <c r="A55" s="5" t="s">
        <v>23</v>
      </c>
      <c r="B55" s="5" t="s">
        <v>111</v>
      </c>
      <c r="C55" s="6" t="s">
        <v>131</v>
      </c>
      <c r="D55" s="8">
        <f>IFERROR(INDEX('A GIRASOL ALTO OLEICO'!$D$7:$D$12,MATCH("ENERO",'A GIRASOL ALTO OLEICO'!$A$7:$A$12,0)),"")</f>
        <v>44.95</v>
      </c>
      <c r="E55" s="8">
        <f>IFERROR(INDEX('A GIRASOL ALTO OLEICO'!$D$7:$D$12,MATCH("FEBRERO",'A GIRASOL ALTO OLEICO'!$A$7:$A$12,0)),"")</f>
        <v>44.95</v>
      </c>
      <c r="F55" s="7"/>
      <c r="G55" s="8">
        <f>IFERROR(INDEX('A GIRASOL ALTO OLEICO'!$D$7:$D$12,MATCH("ABRIL",'A GIRASOL ALTO OLEICO'!$A$7:$A$12,0)),"")</f>
        <v>44.95</v>
      </c>
      <c r="H55" s="8">
        <f>IFERROR(INDEX('A GIRASOL ALTO OLEICO'!$D$7:$D$12,MATCH("MAYO",'A GIRASOL ALTO OLEICO'!$A$7:$A$12,0)),"")</f>
        <v>44.95</v>
      </c>
      <c r="I55" s="7"/>
      <c r="J55" s="8">
        <f>IFERROR(INDEX('A GIRASOL ALTO OLEICO'!$D$7:$D$12,MATCH("JULIO",'A GIRASOL ALTO OLEICO'!$A$7:$A$12,0)),"")</f>
        <v>44.95</v>
      </c>
      <c r="K55" s="9">
        <f>IFERROR(INDEX('A GIRASOL ALTO OLEICO'!$D$7:$D$12,MATCH("AGOSTO",'A GIRASOL ALTO OLEICO'!$A$7:$A$12,0)),"")</f>
        <v>45.45</v>
      </c>
      <c r="L55" s="8">
        <f>'A GIRASOL ALTO OLEICO'!D7</f>
        <v>44.95</v>
      </c>
      <c r="M55" s="8">
        <f>'A GIRASOL ALTO OLEICO'!D12</f>
        <v>45.45</v>
      </c>
      <c r="N55" s="10">
        <f t="shared" si="1"/>
        <v>1.1123470522803158E-2</v>
      </c>
      <c r="O55" s="5">
        <v>1</v>
      </c>
      <c r="P55" s="11" t="s">
        <v>132</v>
      </c>
      <c r="Q55" s="5" t="s">
        <v>22</v>
      </c>
    </row>
    <row r="56" spans="1:17" x14ac:dyDescent="0.2">
      <c r="A56" s="5" t="s">
        <v>23</v>
      </c>
      <c r="B56" s="5" t="s">
        <v>30</v>
      </c>
      <c r="C56" s="6" t="s">
        <v>133</v>
      </c>
      <c r="D56" s="8">
        <f>IFERROR(INDEX('HAVANA 7 ANOS'!$D$7:$D$10,MATCH("ENERO",'HAVANA 7 ANOS'!$A$7:$A$10,0)),"")</f>
        <v>18.649999999999999</v>
      </c>
      <c r="E56" s="8">
        <f>IFERROR(INDEX('HAVANA 7 ANOS'!$D$7:$D$10,MATCH("FEBRERO",'HAVANA 7 ANOS'!$A$7:$A$10,0)),"")</f>
        <v>18.649999999999999</v>
      </c>
      <c r="F56" s="7"/>
      <c r="G56" s="7"/>
      <c r="H56" s="8">
        <f>IFERROR(INDEX('HAVANA 7 ANOS'!$D$7:$D$10,MATCH("MAYO",'HAVANA 7 ANOS'!$A$7:$A$10,0)),"")</f>
        <v>18.649999999999999</v>
      </c>
      <c r="I56" s="7"/>
      <c r="J56" s="9">
        <f>IFERROR(INDEX('HAVANA 7 ANOS'!$D$7:$D$10,MATCH("JULIO",'HAVANA 7 ANOS'!$A$7:$A$10,0)),"")</f>
        <v>18.809999999999999</v>
      </c>
      <c r="K56" s="7"/>
      <c r="L56" s="8">
        <f>'HAVANA 7 ANOS'!D7</f>
        <v>18.649999999999999</v>
      </c>
      <c r="M56" s="8">
        <f>'HAVANA 7 ANOS'!D10</f>
        <v>18.809999999999999</v>
      </c>
      <c r="N56" s="10">
        <f t="shared" si="1"/>
        <v>8.5790884718499605E-3</v>
      </c>
      <c r="O56" s="5">
        <v>1</v>
      </c>
      <c r="P56" s="11" t="s">
        <v>134</v>
      </c>
      <c r="Q56" s="5" t="s">
        <v>22</v>
      </c>
    </row>
    <row r="57" spans="1:17" x14ac:dyDescent="0.2">
      <c r="A57" s="5" t="s">
        <v>23</v>
      </c>
      <c r="B57" s="5" t="s">
        <v>30</v>
      </c>
      <c r="C57" s="6" t="s">
        <v>135</v>
      </c>
      <c r="D57" s="8">
        <f>IFERROR(INDEX('BEEFEATER 0,70'!$D$7:$D$10,MATCH("ENERO",'BEEFEATER 0,70'!$A$7:$A$10,0)),"")</f>
        <v>12.2</v>
      </c>
      <c r="E57" s="8">
        <f>IFERROR(INDEX('BEEFEATER 0,70'!$D$7:$D$10,MATCH("FEBRERO",'BEEFEATER 0,70'!$A$7:$A$10,0)),"")</f>
        <v>12.2</v>
      </c>
      <c r="F57" s="7"/>
      <c r="G57" s="7"/>
      <c r="H57" s="9">
        <f>IFERROR(INDEX('BEEFEATER 0,70'!$D$7:$D$10,MATCH("MAYO",'BEEFEATER 0,70'!$A$7:$A$10,0)),"")</f>
        <v>12.3</v>
      </c>
      <c r="I57" s="7"/>
      <c r="J57" s="8">
        <f>IFERROR(INDEX('BEEFEATER 0,70'!$D$7:$D$10,MATCH("JULIO",'BEEFEATER 0,70'!$A$7:$A$10,0)),"")</f>
        <v>12.3</v>
      </c>
      <c r="K57" s="7"/>
      <c r="L57" s="8">
        <f>'BEEFEATER 0,70'!D7</f>
        <v>12.2</v>
      </c>
      <c r="M57" s="8">
        <f>'BEEFEATER 0,70'!D10</f>
        <v>12.3</v>
      </c>
      <c r="N57" s="10">
        <f t="shared" si="1"/>
        <v>8.19672131147553E-3</v>
      </c>
      <c r="O57" s="5">
        <v>1</v>
      </c>
      <c r="P57" s="11" t="s">
        <v>136</v>
      </c>
      <c r="Q57" s="5" t="s">
        <v>22</v>
      </c>
    </row>
    <row r="58" spans="1:17" x14ac:dyDescent="0.2">
      <c r="A58" s="5" t="s">
        <v>23</v>
      </c>
      <c r="B58" s="5" t="s">
        <v>36</v>
      </c>
      <c r="C58" s="6" t="s">
        <v>137</v>
      </c>
      <c r="D58" s="8">
        <f>IFERROR(INDEX('TRUS CRIANZA 3 4'!$D$7:$D$9,MATCH("ENERO",'TRUS CRIANZA 3 4'!$A$7:$A$9,0)),"")</f>
        <v>9.7100000000000009</v>
      </c>
      <c r="E58" s="8">
        <f>IFERROR(INDEX('TRUS CRIANZA 3 4'!$D$7:$D$9,MATCH("FEBRERO",'TRUS CRIANZA 3 4'!$A$7:$A$9,0)),"")</f>
        <v>9.7100000000000009</v>
      </c>
      <c r="F58" s="7"/>
      <c r="G58" s="7"/>
      <c r="H58" s="9">
        <f>IFERROR(INDEX('TRUS CRIANZA 3 4'!$D$7:$D$9,MATCH("MAYO",'TRUS CRIANZA 3 4'!$A$7:$A$9,0)),"")</f>
        <v>9.7799999999999994</v>
      </c>
      <c r="I58" s="7"/>
      <c r="J58" s="7"/>
      <c r="K58" s="7"/>
      <c r="L58" s="8">
        <f>'TRUS CRIANZA 3 4'!D7</f>
        <v>9.7100000000000009</v>
      </c>
      <c r="M58" s="8">
        <f>'TRUS CRIANZA 3 4'!D9</f>
        <v>9.7799999999999994</v>
      </c>
      <c r="N58" s="10">
        <f t="shared" si="1"/>
        <v>7.2090628218330899E-3</v>
      </c>
      <c r="O58" s="5">
        <v>1</v>
      </c>
      <c r="P58" s="11" t="s">
        <v>138</v>
      </c>
      <c r="Q58" s="5" t="s">
        <v>22</v>
      </c>
    </row>
    <row r="59" spans="1:17" x14ac:dyDescent="0.2">
      <c r="A59" s="5" t="s">
        <v>23</v>
      </c>
      <c r="B59" s="5" t="s">
        <v>30</v>
      </c>
      <c r="C59" s="6" t="s">
        <v>139</v>
      </c>
      <c r="D59" s="8">
        <f>IFERROR(INDEX('BRUGAL 0,70'!$D$7:$D$10,MATCH("ENERO",'BRUGAL 0,70'!$A$7:$A$10,0)),"")</f>
        <v>11.6</v>
      </c>
      <c r="E59" s="8">
        <f>IFERROR(INDEX('BRUGAL 0,70'!$D$7:$D$10,MATCH("FEBRERO",'BRUGAL 0,70'!$A$7:$A$10,0)),"")</f>
        <v>11.6</v>
      </c>
      <c r="F59" s="7"/>
      <c r="G59" s="7"/>
      <c r="H59" s="9">
        <f>IFERROR(INDEX('BRUGAL 0,70'!$D$7:$D$10,MATCH("MAYO",'BRUGAL 0,70'!$A$7:$A$10,0)),"")</f>
        <v>11.66</v>
      </c>
      <c r="I59" s="7"/>
      <c r="J59" s="8">
        <f>IFERROR(INDEX('BRUGAL 0,70'!$D$7:$D$10,MATCH("JULIO",'BRUGAL 0,70'!$A$7:$A$10,0)),"")</f>
        <v>11.66</v>
      </c>
      <c r="K59" s="7"/>
      <c r="L59" s="8">
        <f>'BRUGAL 0,70'!D7</f>
        <v>11.6</v>
      </c>
      <c r="M59" s="8">
        <f>'BRUGAL 0,70'!D10</f>
        <v>11.66</v>
      </c>
      <c r="N59" s="10">
        <f t="shared" si="1"/>
        <v>5.1724137931035141E-3</v>
      </c>
      <c r="O59" s="5">
        <v>1</v>
      </c>
      <c r="P59" s="11" t="s">
        <v>140</v>
      </c>
      <c r="Q59" s="5" t="s">
        <v>22</v>
      </c>
    </row>
    <row r="60" spans="1:17" x14ac:dyDescent="0.2">
      <c r="A60" s="5" t="s">
        <v>23</v>
      </c>
      <c r="B60" s="5" t="s">
        <v>30</v>
      </c>
      <c r="C60" s="6" t="s">
        <v>141</v>
      </c>
      <c r="D60" s="8">
        <f>IFERROR(INDEX('LARIOS ESPECIAL 12'!$D$7:$D$8,MATCH("ENERO",'LARIOS ESPECIAL 12'!$A$7:$A$8,0)),"")</f>
        <v>12.06</v>
      </c>
      <c r="E60" s="7"/>
      <c r="F60" s="7"/>
      <c r="G60" s="7"/>
      <c r="H60" s="7"/>
      <c r="I60" s="7"/>
      <c r="J60" s="9">
        <f>IFERROR(INDEX('LARIOS ESPECIAL 12'!$D$7:$D$8,MATCH("JULIO",'LARIOS ESPECIAL 12'!$A$7:$A$8,0)),"")</f>
        <v>12.12</v>
      </c>
      <c r="K60" s="7"/>
      <c r="L60" s="8">
        <f>'LARIOS ESPECIAL 12'!D7</f>
        <v>12.06</v>
      </c>
      <c r="M60" s="8">
        <f>'LARIOS ESPECIAL 12'!D8</f>
        <v>12.12</v>
      </c>
      <c r="N60" s="10">
        <f t="shared" si="1"/>
        <v>4.9751243781093191E-3</v>
      </c>
      <c r="O60" s="5">
        <v>1</v>
      </c>
      <c r="P60" s="11" t="s">
        <v>142</v>
      </c>
      <c r="Q60" s="5" t="s">
        <v>22</v>
      </c>
    </row>
    <row r="61" spans="1:17" x14ac:dyDescent="0.2">
      <c r="A61" s="5" t="s">
        <v>23</v>
      </c>
      <c r="B61" s="5" t="s">
        <v>30</v>
      </c>
      <c r="C61" s="6" t="s">
        <v>143</v>
      </c>
      <c r="D61" s="8">
        <f>IFERROR(INDEX('LARIOS 1L'!$D$7:$D$9,MATCH("ENERO",'LARIOS 1L'!$A$7:$A$9,0)),"")</f>
        <v>10.27</v>
      </c>
      <c r="E61" s="7"/>
      <c r="F61" s="7"/>
      <c r="G61" s="7"/>
      <c r="H61" s="7"/>
      <c r="I61" s="7"/>
      <c r="J61" s="9">
        <f>IFERROR(INDEX('LARIOS 1L'!$D$7:$D$9,MATCH("JULIO",'LARIOS 1L'!$A$7:$A$9,0)),"")</f>
        <v>10.32</v>
      </c>
      <c r="K61" s="8">
        <f>IFERROR(INDEX('LARIOS 1L'!$D$7:$D$9,MATCH("AGOSTO",'LARIOS 1L'!$A$7:$A$9,0)),"")</f>
        <v>10.32</v>
      </c>
      <c r="L61" s="8">
        <f>'LARIOS 1L'!D7</f>
        <v>10.27</v>
      </c>
      <c r="M61" s="8">
        <f>'LARIOS 1L'!D9</f>
        <v>10.32</v>
      </c>
      <c r="N61" s="10">
        <f t="shared" si="1"/>
        <v>4.8685491723468033E-3</v>
      </c>
      <c r="O61" s="5">
        <v>1</v>
      </c>
      <c r="P61" s="11" t="s">
        <v>144</v>
      </c>
      <c r="Q61" s="5" t="s">
        <v>22</v>
      </c>
    </row>
    <row r="62" spans="1:17" x14ac:dyDescent="0.2">
      <c r="A62" s="5" t="s">
        <v>23</v>
      </c>
      <c r="B62" s="5" t="s">
        <v>30</v>
      </c>
      <c r="C62" s="6" t="s">
        <v>145</v>
      </c>
      <c r="D62" s="8">
        <f>IFERROR(INDEX('SEAGRAMS 0,70'!$D$7:$D$10,MATCH("ENERO",'SEAGRAMS 0,70'!$A$7:$A$10,0)),"")</f>
        <v>13.32</v>
      </c>
      <c r="E62" s="8">
        <f>IFERROR(INDEX('SEAGRAMS 0,70'!$D$7:$D$10,MATCH("FEBRERO",'SEAGRAMS 0,70'!$A$7:$A$10,0)),"")</f>
        <v>13.32</v>
      </c>
      <c r="F62" s="7"/>
      <c r="G62" s="7"/>
      <c r="H62" s="9">
        <f>IFERROR(INDEX('SEAGRAMS 0,70'!$D$7:$D$10,MATCH("MAYO",'SEAGRAMS 0,70'!$A$7:$A$10,0)),"")</f>
        <v>13.38</v>
      </c>
      <c r="I62" s="7"/>
      <c r="J62" s="8">
        <f>IFERROR(INDEX('SEAGRAMS 0,70'!$D$7:$D$10,MATCH("JULIO",'SEAGRAMS 0,70'!$A$7:$A$10,0)),"")</f>
        <v>13.38</v>
      </c>
      <c r="K62" s="7"/>
      <c r="L62" s="8">
        <f>'SEAGRAMS 0,70'!D7</f>
        <v>13.32</v>
      </c>
      <c r="M62" s="8">
        <f>'SEAGRAMS 0,70'!D10</f>
        <v>13.38</v>
      </c>
      <c r="N62" s="10">
        <f t="shared" si="1"/>
        <v>4.5045045045044585E-3</v>
      </c>
      <c r="O62" s="5">
        <v>1</v>
      </c>
      <c r="P62" s="11" t="s">
        <v>146</v>
      </c>
      <c r="Q62" s="5" t="s">
        <v>22</v>
      </c>
    </row>
    <row r="63" spans="1:17" x14ac:dyDescent="0.2">
      <c r="A63" s="5" t="s">
        <v>23</v>
      </c>
      <c r="B63" s="5" t="s">
        <v>30</v>
      </c>
      <c r="C63" s="6" t="s">
        <v>147</v>
      </c>
      <c r="D63" s="8">
        <f>IFERROR(INDEX('DYC 8 ANOS 0,70'!$D$7:$D$8,MATCH("ENERO",'DYC 8 ANOS 0,70'!$A$7:$A$8,0)),"")</f>
        <v>10.64</v>
      </c>
      <c r="E63" s="7"/>
      <c r="F63" s="7"/>
      <c r="G63" s="7"/>
      <c r="H63" s="9">
        <f>IFERROR(INDEX('DYC 8 ANOS 0,70'!$D$7:$D$8,MATCH("MAYO",'DYC 8 ANOS 0,70'!$A$7:$A$8,0)),"")</f>
        <v>10.67</v>
      </c>
      <c r="I63" s="7"/>
      <c r="J63" s="7"/>
      <c r="K63" s="7"/>
      <c r="L63" s="8">
        <f>'DYC 8 ANOS 0,70'!D7</f>
        <v>10.64</v>
      </c>
      <c r="M63" s="8">
        <f>'DYC 8 ANOS 0,70'!D8</f>
        <v>10.67</v>
      </c>
      <c r="N63" s="10">
        <f t="shared" si="1"/>
        <v>2.8195488721804995E-3</v>
      </c>
      <c r="O63" s="5">
        <v>1</v>
      </c>
      <c r="P63" s="11" t="s">
        <v>148</v>
      </c>
      <c r="Q63" s="5" t="s">
        <v>22</v>
      </c>
    </row>
    <row r="64" spans="1:17" x14ac:dyDescent="0.2">
      <c r="A64" s="5" t="s">
        <v>18</v>
      </c>
      <c r="B64" s="5" t="s">
        <v>149</v>
      </c>
      <c r="C64" s="6" t="s">
        <v>150</v>
      </c>
      <c r="D64" s="8">
        <f>IFERROR(INDEX('ENTRECOT T MORUCHA'!$D$7:$D$12,MATCH("ENERO",'ENTRECOT T MORUCHA'!$A$7:$A$12,0)),"")</f>
        <v>27.5</v>
      </c>
      <c r="E64" s="8">
        <f>IFERROR(INDEX('ENTRECOT T MORUCHA'!$D$7:$D$12,MATCH("FEBRERO",'ENTRECOT T MORUCHA'!$A$7:$A$12,0)),"")</f>
        <v>27.5</v>
      </c>
      <c r="F64" s="7"/>
      <c r="G64" s="8">
        <f>IFERROR(INDEX('ENTRECOT T MORUCHA'!$D$7:$D$12,MATCH("ABRIL",'ENTRECOT T MORUCHA'!$A$7:$A$12,0)),"")</f>
        <v>27.5</v>
      </c>
      <c r="H64" s="8">
        <f>IFERROR(INDEX('ENTRECOT T MORUCHA'!$D$7:$D$12,MATCH("MAYO",'ENTRECOT T MORUCHA'!$A$7:$A$12,0)),"")</f>
        <v>27.5</v>
      </c>
      <c r="I64" s="7"/>
      <c r="J64" s="8">
        <f>IFERROR(INDEX('ENTRECOT T MORUCHA'!$D$7:$D$12,MATCH("JULIO",'ENTRECOT T MORUCHA'!$A$7:$A$12,0)),"")</f>
        <v>27.5</v>
      </c>
      <c r="K64" s="9">
        <f>IFERROR(INDEX('ENTRECOT T MORUCHA'!$D$7:$D$12,MATCH("AGOSTO",'ENTRECOT T MORUCHA'!$A$7:$A$12,0)),"")</f>
        <v>27.57</v>
      </c>
      <c r="L64" s="8">
        <f>'ENTRECOT T MORUCHA'!D7</f>
        <v>27.5</v>
      </c>
      <c r="M64" s="8">
        <f>'ENTRECOT T MORUCHA'!D12</f>
        <v>27.57</v>
      </c>
      <c r="N64" s="10">
        <f t="shared" si="1"/>
        <v>2.5454545454546285E-3</v>
      </c>
      <c r="O64" s="5">
        <v>1</v>
      </c>
      <c r="P64" s="11" t="s">
        <v>151</v>
      </c>
      <c r="Q64" s="5" t="s">
        <v>22</v>
      </c>
    </row>
    <row r="65" spans="1:17" x14ac:dyDescent="0.2">
      <c r="A65" s="5" t="s">
        <v>18</v>
      </c>
      <c r="B65" s="5" t="s">
        <v>149</v>
      </c>
      <c r="C65" s="6" t="s">
        <v>152</v>
      </c>
      <c r="D65" s="8">
        <f>IFERROR(INDEX('MEDALLON P SOLOMILLO VACUNO'!$D$7:$D$12,MATCH("ENERO",'MEDALLON P SOLOMILLO VACUNO'!$A$7:$A$12,0)),"")</f>
        <v>36.9</v>
      </c>
      <c r="E65" s="8">
        <f>IFERROR(INDEX('MEDALLON P SOLOMILLO VACUNO'!$D$7:$D$12,MATCH("FEBRERO",'MEDALLON P SOLOMILLO VACUNO'!$A$7:$A$12,0)),"")</f>
        <v>36.9</v>
      </c>
      <c r="F65" s="7"/>
      <c r="G65" s="8">
        <f>IFERROR(INDEX('MEDALLON P SOLOMILLO VACUNO'!$D$7:$D$12,MATCH("ABRIL",'MEDALLON P SOLOMILLO VACUNO'!$A$7:$A$12,0)),"")</f>
        <v>36.9</v>
      </c>
      <c r="H65" s="8">
        <f>IFERROR(INDEX('MEDALLON P SOLOMILLO VACUNO'!$D$7:$D$12,MATCH("MAYO",'MEDALLON P SOLOMILLO VACUNO'!$A$7:$A$12,0)),"")</f>
        <v>36.9</v>
      </c>
      <c r="I65" s="7"/>
      <c r="J65" s="8">
        <f>IFERROR(INDEX('MEDALLON P SOLOMILLO VACUNO'!$D$7:$D$12,MATCH("JULIO",'MEDALLON P SOLOMILLO VACUNO'!$A$7:$A$12,0)),"")</f>
        <v>36.9</v>
      </c>
      <c r="K65" s="9">
        <f>IFERROR(INDEX('MEDALLON P SOLOMILLO VACUNO'!$D$7:$D$12,MATCH("AGOSTO",'MEDALLON P SOLOMILLO VACUNO'!$A$7:$A$12,0)),"")</f>
        <v>36.97</v>
      </c>
      <c r="L65" s="8">
        <f>'MEDALLON P SOLOMILLO VACUNO'!D7</f>
        <v>36.9</v>
      </c>
      <c r="M65" s="8">
        <f>'MEDALLON P SOLOMILLO VACUNO'!D12</f>
        <v>36.97</v>
      </c>
      <c r="N65" s="10">
        <f t="shared" si="1"/>
        <v>1.8970189701896789E-3</v>
      </c>
      <c r="O65" s="5">
        <v>1</v>
      </c>
      <c r="P65" s="11" t="s">
        <v>153</v>
      </c>
      <c r="Q65" s="5" t="s">
        <v>22</v>
      </c>
    </row>
    <row r="66" spans="1:17" x14ac:dyDescent="0.2">
      <c r="A66" s="5" t="s">
        <v>23</v>
      </c>
      <c r="B66" s="5" t="s">
        <v>36</v>
      </c>
      <c r="C66" s="6" t="s">
        <v>154</v>
      </c>
      <c r="D66" s="8">
        <f>IFERROR(INDEX('CRUZ ALBA ROBLE 3 4'!$D$7:$D$9,MATCH("ENERO",'CRUZ ALBA ROBLE 3 4'!$A$7:$A$9,0)),"")</f>
        <v>7.47</v>
      </c>
      <c r="E66" s="8">
        <f>IFERROR(INDEX('CRUZ ALBA ROBLE 3 4'!$D$7:$D$9,MATCH("FEBRERO",'CRUZ ALBA ROBLE 3 4'!$A$7:$A$9,0)),"")</f>
        <v>7.47</v>
      </c>
      <c r="F66" s="7"/>
      <c r="G66" s="7"/>
      <c r="H66" s="9">
        <f>IFERROR(INDEX('CRUZ ALBA ROBLE 3 4'!$D$7:$D$9,MATCH("MAYO",'CRUZ ALBA ROBLE 3 4'!$A$7:$A$9,0)),"")</f>
        <v>7.48</v>
      </c>
      <c r="I66" s="7"/>
      <c r="J66" s="7"/>
      <c r="K66" s="7"/>
      <c r="L66" s="8">
        <f>'CRUZ ALBA ROBLE 3 4'!D7</f>
        <v>7.47</v>
      </c>
      <c r="M66" s="8">
        <f>'CRUZ ALBA ROBLE 3 4'!D9</f>
        <v>7.48</v>
      </c>
      <c r="N66" s="10">
        <f t="shared" si="1"/>
        <v>1.3386880856760541E-3</v>
      </c>
      <c r="O66" s="5">
        <v>1</v>
      </c>
      <c r="P66" s="11" t="s">
        <v>155</v>
      </c>
      <c r="Q66" s="5" t="s">
        <v>22</v>
      </c>
    </row>
    <row r="67" spans="1:17" x14ac:dyDescent="0.2">
      <c r="A67" s="5" t="s">
        <v>23</v>
      </c>
      <c r="B67" s="5" t="s">
        <v>44</v>
      </c>
      <c r="C67" s="6" t="s">
        <v>156</v>
      </c>
      <c r="D67" s="8">
        <f>IFERROR(INDEX(HENDRICKS!$D$7:$D$8,MATCH("ENERO",HENDRICKS!$A$7:$A$8,0)),"")</f>
        <v>24.43</v>
      </c>
      <c r="E67" s="9">
        <f>IFERROR(INDEX(HENDRICKS!$D$7:$D$8,MATCH("FEBRERO",HENDRICKS!$A$7:$A$8,0)),"")</f>
        <v>24.46</v>
      </c>
      <c r="F67" s="7"/>
      <c r="G67" s="7"/>
      <c r="H67" s="7"/>
      <c r="I67" s="7"/>
      <c r="J67" s="7"/>
      <c r="K67" s="7"/>
      <c r="L67" s="8">
        <f>HENDRICKS!D7</f>
        <v>24.43</v>
      </c>
      <c r="M67" s="8">
        <f>HENDRICKS!D8</f>
        <v>24.46</v>
      </c>
      <c r="N67" s="10">
        <f t="shared" si="1"/>
        <v>1.2279983626688473E-3</v>
      </c>
      <c r="O67" s="5">
        <v>1</v>
      </c>
      <c r="P67" s="11" t="s">
        <v>157</v>
      </c>
      <c r="Q67" s="5" t="s">
        <v>22</v>
      </c>
    </row>
    <row r="68" spans="1:17" x14ac:dyDescent="0.2">
      <c r="A68" s="5" t="s">
        <v>23</v>
      </c>
      <c r="B68" s="5" t="s">
        <v>158</v>
      </c>
      <c r="C68" s="6" t="s">
        <v>159</v>
      </c>
      <c r="D68" s="7"/>
      <c r="E68" s="8">
        <f>IFERROR(INDEX('RACION CECINA PREMIUM 100GR'!$D$7:$D$11,MATCH("FEBRERO",'RACION CECINA PREMIUM 100GR'!$A$7:$A$11,0)),"")</f>
        <v>7.35</v>
      </c>
      <c r="F68" s="7"/>
      <c r="G68" s="12">
        <f>IFERROR(INDEX('RACION CECINA PREMIUM 100GR'!$D$7:$D$11,MATCH("ABRIL",'RACION CECINA PREMIUM 100GR'!$A$7:$A$11,0)),"")</f>
        <v>6.9</v>
      </c>
      <c r="H68" s="9">
        <f>IFERROR(INDEX('RACION CECINA PREMIUM 100GR'!$D$7:$D$11,MATCH("MAYO",'RACION CECINA PREMIUM 100GR'!$A$7:$A$11,0)),"")</f>
        <v>7.35</v>
      </c>
      <c r="I68" s="7"/>
      <c r="J68" s="8">
        <f>IFERROR(INDEX('RACION CECINA PREMIUM 100GR'!$D$7:$D$11,MATCH("JULIO",'RACION CECINA PREMIUM 100GR'!$A$7:$A$11,0)),"")</f>
        <v>7.35</v>
      </c>
      <c r="K68" s="8">
        <f>IFERROR(INDEX('RACION CECINA PREMIUM 100GR'!$D$7:$D$11,MATCH("AGOSTO",'RACION CECINA PREMIUM 100GR'!$A$7:$A$11,0)),"")</f>
        <v>7.35</v>
      </c>
      <c r="L68" s="8">
        <f>'RACION CECINA PREMIUM 100GR'!D7</f>
        <v>7.35</v>
      </c>
      <c r="M68" s="8">
        <f>'RACION CECINA PREMIUM 100GR'!D11</f>
        <v>7.35</v>
      </c>
      <c r="N68" s="13">
        <f t="shared" si="1"/>
        <v>0</v>
      </c>
      <c r="O68" s="5">
        <v>1</v>
      </c>
      <c r="P68" s="11" t="s">
        <v>160</v>
      </c>
      <c r="Q68" s="5" t="s">
        <v>161</v>
      </c>
    </row>
    <row r="69" spans="1:17" x14ac:dyDescent="0.2">
      <c r="A69" s="5" t="s">
        <v>18</v>
      </c>
      <c r="B69" s="5" t="s">
        <v>162</v>
      </c>
      <c r="C69" s="6" t="s">
        <v>163</v>
      </c>
      <c r="D69" s="7"/>
      <c r="E69" s="7"/>
      <c r="F69" s="7"/>
      <c r="G69" s="7"/>
      <c r="H69" s="8">
        <f>IFERROR(INDEX('SOLOMILLO VACA'!$D$7:$D$9,MATCH("MAYO",'SOLOMILLO VACA'!$A$7:$A$9,0)),"")</f>
        <v>35</v>
      </c>
      <c r="I69" s="7"/>
      <c r="J69" s="12">
        <f>IFERROR(INDEX('SOLOMILLO VACA'!$D$7:$D$9,MATCH("JULIO",'SOLOMILLO VACA'!$A$7:$A$9,0)),"")</f>
        <v>34.774999999999999</v>
      </c>
      <c r="K69" s="9">
        <f>IFERROR(INDEX('SOLOMILLO VACA'!$D$7:$D$9,MATCH("AGOSTO",'SOLOMILLO VACA'!$A$7:$A$9,0)),"")</f>
        <v>35</v>
      </c>
      <c r="L69" s="8">
        <f>'SOLOMILLO VACA'!D7</f>
        <v>35</v>
      </c>
      <c r="M69" s="8">
        <f>'SOLOMILLO VACA'!D9</f>
        <v>35</v>
      </c>
      <c r="N69" s="13">
        <f t="shared" si="1"/>
        <v>0</v>
      </c>
      <c r="O69" s="5">
        <v>1</v>
      </c>
      <c r="P69" s="11" t="s">
        <v>164</v>
      </c>
      <c r="Q69" s="5" t="s">
        <v>161</v>
      </c>
    </row>
    <row r="70" spans="1:17" x14ac:dyDescent="0.2">
      <c r="A70" s="5" t="s">
        <v>23</v>
      </c>
      <c r="B70" s="5" t="s">
        <v>158</v>
      </c>
      <c r="C70" s="6" t="s">
        <v>165</v>
      </c>
      <c r="D70" s="7"/>
      <c r="E70" s="8">
        <f>IFERROR(INDEX('RACION CECINA PREMIUM 100 2'!$D$7:$D$9,MATCH("FEBRERO",'RACION CECINA PREMIUM 100 2'!$A$7:$A$9,0)),"")</f>
        <v>16</v>
      </c>
      <c r="F70" s="7"/>
      <c r="G70" s="12">
        <f>IFERROR(INDEX('RACION CECINA PREMIUM 100 2'!$D$7:$D$9,MATCH("ABRIL",'RACION CECINA PREMIUM 100 2'!$A$7:$A$9,0)),"")</f>
        <v>7.35</v>
      </c>
      <c r="H70" s="9">
        <f>IFERROR(INDEX('RACION CECINA PREMIUM 100 2'!$D$7:$D$9,MATCH("MAYO",'RACION CECINA PREMIUM 100 2'!$A$7:$A$9,0)),"")</f>
        <v>16</v>
      </c>
      <c r="I70" s="7"/>
      <c r="J70" s="7"/>
      <c r="K70" s="7"/>
      <c r="L70" s="8">
        <f>'RACION CECINA PREMIUM 100 2'!D7</f>
        <v>16</v>
      </c>
      <c r="M70" s="8">
        <f>'RACION CECINA PREMIUM 100 2'!D9</f>
        <v>16</v>
      </c>
      <c r="N70" s="13">
        <f t="shared" ref="N70:N101" si="2">IFERROR(M70/L70-1,0)</f>
        <v>0</v>
      </c>
      <c r="O70" s="5">
        <v>1</v>
      </c>
      <c r="P70" s="11" t="s">
        <v>166</v>
      </c>
      <c r="Q70" s="5" t="s">
        <v>161</v>
      </c>
    </row>
    <row r="71" spans="1:17" x14ac:dyDescent="0.2">
      <c r="A71" s="14" t="s">
        <v>167</v>
      </c>
      <c r="B71" s="14" t="s">
        <v>168</v>
      </c>
      <c r="C71" s="15" t="s">
        <v>169</v>
      </c>
      <c r="D71" s="8">
        <f>IFERROR(INDEX(LIMON!$D$7:$D$11,MATCH("ENERO",LIMON!$A$7:$A$11,0)),"")</f>
        <v>2.1</v>
      </c>
      <c r="E71" s="8">
        <f>IFERROR(INDEX(LIMON!$D$7:$D$11,MATCH("FEBRERO",LIMON!$A$7:$A$11,0)),"")</f>
        <v>2.15</v>
      </c>
      <c r="F71" s="7"/>
      <c r="G71" s="9">
        <f>IFERROR(INDEX(LIMON!$D$7:$D$11,MATCH("ABRIL",LIMON!$A$7:$A$11,0)),"")</f>
        <v>2.8333333333333335</v>
      </c>
      <c r="H71" s="9">
        <f>IFERROR(INDEX(LIMON!$D$7:$D$11,MATCH("MAYO",LIMON!$A$7:$A$11,0)),"")</f>
        <v>3.3</v>
      </c>
      <c r="I71" s="7"/>
      <c r="J71" s="8">
        <f>IFERROR(INDEX(LIMON!$D$7:$D$11,MATCH("JULIO",LIMON!$A$7:$A$11,0)),"")</f>
        <v>3.6</v>
      </c>
      <c r="K71" s="7"/>
      <c r="L71" s="8">
        <f>LIMON!D7</f>
        <v>2.1</v>
      </c>
      <c r="M71" s="8">
        <f>LIMON!D11</f>
        <v>3.6</v>
      </c>
      <c r="N71" s="10">
        <f t="shared" si="2"/>
        <v>0.71428571428571419</v>
      </c>
      <c r="O71" s="5">
        <v>2</v>
      </c>
      <c r="P71" s="11" t="s">
        <v>170</v>
      </c>
      <c r="Q71" s="14" t="s">
        <v>171</v>
      </c>
    </row>
    <row r="72" spans="1:17" x14ac:dyDescent="0.2">
      <c r="A72" s="14" t="s">
        <v>172</v>
      </c>
      <c r="B72" s="14" t="s">
        <v>173</v>
      </c>
      <c r="C72" s="15" t="s">
        <v>174</v>
      </c>
      <c r="D72" s="8">
        <f>IFERROR(INDEX('BOQUERON GORDO'!$D$7:$D$11,MATCH("ENERO",'BOQUERON GORDO'!$A$7:$A$11,0)),"")</f>
        <v>8.8000000000000007</v>
      </c>
      <c r="E72" s="9">
        <f>IFERROR(INDEX('BOQUERON GORDO'!$D$7:$D$11,MATCH("FEBRERO",'BOQUERON GORDO'!$A$7:$A$11,0)),"")</f>
        <v>10.299999999999999</v>
      </c>
      <c r="F72" s="7"/>
      <c r="G72" s="8">
        <f>IFERROR(INDEX('BOQUERON GORDO'!$D$7:$D$11,MATCH("ABRIL",'BOQUERON GORDO'!$A$7:$A$11,0)),"")</f>
        <v>9.7000000000000011</v>
      </c>
      <c r="H72" s="7"/>
      <c r="I72" s="7"/>
      <c r="J72" s="9">
        <f>IFERROR(INDEX('BOQUERON GORDO'!$D$7:$D$11,MATCH("JULIO",'BOQUERON GORDO'!$A$7:$A$11,0)),"")</f>
        <v>11.95</v>
      </c>
      <c r="K72" s="8">
        <f>IFERROR(INDEX('BOQUERON GORDO'!$D$7:$D$11,MATCH("AGOSTO",'BOQUERON GORDO'!$A$7:$A$11,0)),"")</f>
        <v>10.875</v>
      </c>
      <c r="L72" s="8">
        <f>'BOQUERON GORDO'!D7</f>
        <v>8.8000000000000007</v>
      </c>
      <c r="M72" s="8">
        <f>'BOQUERON GORDO'!D11</f>
        <v>10.875</v>
      </c>
      <c r="N72" s="10">
        <f t="shared" si="2"/>
        <v>0.23579545454545436</v>
      </c>
      <c r="O72" s="5">
        <v>2</v>
      </c>
      <c r="P72" s="11" t="s">
        <v>175</v>
      </c>
      <c r="Q72" s="14" t="s">
        <v>171</v>
      </c>
    </row>
    <row r="73" spans="1:17" x14ac:dyDescent="0.2">
      <c r="A73" s="14" t="s">
        <v>172</v>
      </c>
      <c r="B73" s="14" t="s">
        <v>176</v>
      </c>
      <c r="C73" s="15" t="s">
        <v>177</v>
      </c>
      <c r="D73" s="7"/>
      <c r="E73" s="7"/>
      <c r="F73" s="7"/>
      <c r="G73" s="7"/>
      <c r="H73" s="8">
        <f>IFERROR(INDEX(PARROCHAS!$D$7:$D$8,MATCH("MAYO",PARROCHAS!$A$7:$A$8,0)),"")</f>
        <v>5.9966666666666661</v>
      </c>
      <c r="I73" s="7"/>
      <c r="J73" s="9">
        <f>IFERROR(INDEX(PARROCHAS!$D$7:$D$8,MATCH("JULIO",PARROCHAS!$A$7:$A$8,0)),"")</f>
        <v>7.4</v>
      </c>
      <c r="K73" s="7"/>
      <c r="L73" s="8">
        <f>PARROCHAS!D7</f>
        <v>5.9966666666666661</v>
      </c>
      <c r="M73" s="8">
        <f>PARROCHAS!D8</f>
        <v>7.4</v>
      </c>
      <c r="N73" s="10">
        <f t="shared" si="2"/>
        <v>0.23401889938854925</v>
      </c>
      <c r="O73" s="5">
        <v>1</v>
      </c>
      <c r="P73" s="11" t="s">
        <v>178</v>
      </c>
      <c r="Q73" s="14" t="s">
        <v>171</v>
      </c>
    </row>
    <row r="74" spans="1:17" x14ac:dyDescent="0.2">
      <c r="A74" s="14" t="s">
        <v>172</v>
      </c>
      <c r="B74" s="14" t="s">
        <v>176</v>
      </c>
      <c r="C74" s="15" t="s">
        <v>174</v>
      </c>
      <c r="D74" s="8">
        <f>IFERROR(INDEX('BOQUERON GORDO 2'!$D$7:$D$11,MATCH("ENERO",'BOQUERON GORDO 2'!$A$7:$A$11,0)),"")</f>
        <v>9.09</v>
      </c>
      <c r="E74" s="12">
        <f>IFERROR(INDEX('BOQUERON GORDO 2'!$D$7:$D$11,MATCH("FEBRERO",'BOQUERON GORDO 2'!$A$7:$A$11,0)),"")</f>
        <v>8.18</v>
      </c>
      <c r="F74" s="7"/>
      <c r="G74" s="8">
        <f>IFERROR(INDEX('BOQUERON GORDO 2'!$D$7:$D$11,MATCH("ABRIL",'BOQUERON GORDO 2'!$A$7:$A$11,0)),"")</f>
        <v>8.6366666666666667</v>
      </c>
      <c r="H74" s="8">
        <f>IFERROR(INDEX('BOQUERON GORDO 2'!$D$7:$D$11,MATCH("MAYO",'BOQUERON GORDO 2'!$A$7:$A$11,0)),"")</f>
        <v>8.9774999999999991</v>
      </c>
      <c r="I74" s="7"/>
      <c r="J74" s="9">
        <f>IFERROR(INDEX('BOQUERON GORDO 2'!$D$7:$D$11,MATCH("JULIO",'BOQUERON GORDO 2'!$A$7:$A$11,0)),"")</f>
        <v>10.625</v>
      </c>
      <c r="K74" s="7"/>
      <c r="L74" s="8">
        <f>'BOQUERON GORDO 2'!D7</f>
        <v>9.09</v>
      </c>
      <c r="M74" s="8">
        <f>'BOQUERON GORDO 2'!D11</f>
        <v>10.625</v>
      </c>
      <c r="N74" s="10">
        <f t="shared" si="2"/>
        <v>0.16886688668866889</v>
      </c>
      <c r="O74" s="5">
        <v>1</v>
      </c>
      <c r="P74" s="11" t="s">
        <v>179</v>
      </c>
      <c r="Q74" s="14" t="s">
        <v>171</v>
      </c>
    </row>
    <row r="75" spans="1:17" x14ac:dyDescent="0.2">
      <c r="A75" s="14" t="s">
        <v>172</v>
      </c>
      <c r="B75" s="14" t="s">
        <v>180</v>
      </c>
      <c r="C75" s="15" t="s">
        <v>181</v>
      </c>
      <c r="D75" s="7"/>
      <c r="E75" s="7"/>
      <c r="F75" s="7"/>
      <c r="G75" s="8">
        <f>IFERROR(INDEX(QUISQUILLA!$D$7:$D$9,MATCH("ABRIL",QUISQUILLA!$A$7:$A$9,0)),"")</f>
        <v>51</v>
      </c>
      <c r="H75" s="9">
        <f>IFERROR(INDEX(QUISQUILLA!$D$7:$D$9,MATCH("MAYO",QUISQUILLA!$A$7:$A$9,0)),"")</f>
        <v>58</v>
      </c>
      <c r="I75" s="7"/>
      <c r="J75" s="8">
        <f>IFERROR(INDEX(QUISQUILLA!$D$7:$D$9,MATCH("JULIO",QUISQUILLA!$A$7:$A$9,0)),"")</f>
        <v>58.5</v>
      </c>
      <c r="K75" s="7"/>
      <c r="L75" s="8">
        <f>QUISQUILLA!D7</f>
        <v>51</v>
      </c>
      <c r="M75" s="8">
        <f>QUISQUILLA!D9</f>
        <v>58.5</v>
      </c>
      <c r="N75" s="10">
        <f t="shared" si="2"/>
        <v>0.14705882352941169</v>
      </c>
      <c r="O75" s="5">
        <v>1</v>
      </c>
      <c r="P75" s="11" t="s">
        <v>182</v>
      </c>
      <c r="Q75" s="14" t="s">
        <v>171</v>
      </c>
    </row>
    <row r="76" spans="1:17" x14ac:dyDescent="0.2">
      <c r="A76" s="14" t="s">
        <v>172</v>
      </c>
      <c r="B76" s="14" t="s">
        <v>180</v>
      </c>
      <c r="C76" s="15" t="s">
        <v>183</v>
      </c>
      <c r="D76" s="8">
        <f>IFERROR(INDEX(LANGOSTINOS!$D$7:$D$11,MATCH("ENERO",LANGOSTINOS!$A$7:$A$11,0)),"")</f>
        <v>31.666666666666668</v>
      </c>
      <c r="E76" s="8">
        <f>IFERROR(INDEX(LANGOSTINOS!$D$7:$D$11,MATCH("FEBRERO",LANGOSTINOS!$A$7:$A$11,0)),"")</f>
        <v>34</v>
      </c>
      <c r="F76" s="7"/>
      <c r="G76" s="8">
        <f>IFERROR(INDEX(LANGOSTINOS!$D$7:$D$11,MATCH("ABRIL",LANGOSTINOS!$A$7:$A$11,0)),"")</f>
        <v>34</v>
      </c>
      <c r="H76" s="8">
        <f>IFERROR(INDEX(LANGOSTINOS!$D$7:$D$11,MATCH("MAYO",LANGOSTINOS!$A$7:$A$11,0)),"")</f>
        <v>35</v>
      </c>
      <c r="I76" s="7"/>
      <c r="J76" s="8">
        <f>IFERROR(INDEX(LANGOSTINOS!$D$7:$D$11,MATCH("JULIO",LANGOSTINOS!$A$7:$A$11,0)),"")</f>
        <v>35</v>
      </c>
      <c r="K76" s="7"/>
      <c r="L76" s="8">
        <f>LANGOSTINOS!D7</f>
        <v>31.666666666666668</v>
      </c>
      <c r="M76" s="8">
        <f>LANGOSTINOS!D11</f>
        <v>35</v>
      </c>
      <c r="N76" s="10">
        <f t="shared" si="2"/>
        <v>0.10526315789473673</v>
      </c>
      <c r="O76" s="5">
        <v>0</v>
      </c>
      <c r="P76" s="11" t="s">
        <v>184</v>
      </c>
      <c r="Q76" s="14" t="s">
        <v>171</v>
      </c>
    </row>
    <row r="77" spans="1:17" ht="30" x14ac:dyDescent="0.2">
      <c r="A77" s="14" t="s">
        <v>172</v>
      </c>
      <c r="B77" s="14" t="s">
        <v>180</v>
      </c>
      <c r="C77" s="15" t="s">
        <v>185</v>
      </c>
      <c r="D77" s="7"/>
      <c r="E77" s="8">
        <f>IFERROR(INDEX(CIGALAS!$D$7:$D$10,MATCH("FEBRERO",CIGALAS!$A$7:$A$10,0)),"")</f>
        <v>68</v>
      </c>
      <c r="F77" s="7"/>
      <c r="G77" s="12">
        <f>IFERROR(INDEX(CIGALAS!$D$7:$D$10,MATCH("ABRIL",CIGALAS!$A$7:$A$10,0)),"")</f>
        <v>59</v>
      </c>
      <c r="H77" s="9">
        <f>IFERROR(INDEX(CIGALAS!$D$7:$D$10,MATCH("MAYO",CIGALAS!$A$7:$A$10,0)),"")</f>
        <v>70</v>
      </c>
      <c r="I77" s="7"/>
      <c r="J77" s="8">
        <f>IFERROR(INDEX(CIGALAS!$D$7:$D$10,MATCH("JULIO",CIGALAS!$A$7:$A$10,0)),"")</f>
        <v>75</v>
      </c>
      <c r="K77" s="7"/>
      <c r="L77" s="8">
        <f>CIGALAS!D7</f>
        <v>68</v>
      </c>
      <c r="M77" s="8">
        <f>CIGALAS!D10</f>
        <v>75</v>
      </c>
      <c r="N77" s="10">
        <f t="shared" si="2"/>
        <v>0.10294117647058831</v>
      </c>
      <c r="O77" s="5">
        <v>1</v>
      </c>
      <c r="P77" s="11" t="s">
        <v>186</v>
      </c>
      <c r="Q77" s="14" t="s">
        <v>171</v>
      </c>
    </row>
    <row r="78" spans="1:17" x14ac:dyDescent="0.2">
      <c r="A78" s="14" t="s">
        <v>172</v>
      </c>
      <c r="B78" s="14" t="s">
        <v>180</v>
      </c>
      <c r="C78" s="15" t="s">
        <v>187</v>
      </c>
      <c r="D78" s="7"/>
      <c r="E78" s="8">
        <f>IFERROR(INDEX(ALISTADOS!$D$7:$D$10,MATCH("FEBRERO",ALISTADOS!$A$7:$A$10,0)),"")</f>
        <v>82.5</v>
      </c>
      <c r="F78" s="7"/>
      <c r="G78" s="8">
        <f>IFERROR(INDEX(ALISTADOS!$D$7:$D$10,MATCH("ABRIL",ALISTADOS!$A$7:$A$10,0)),"")</f>
        <v>82.5</v>
      </c>
      <c r="H78" s="7"/>
      <c r="I78" s="7"/>
      <c r="J78" s="8">
        <f>IFERROR(INDEX(ALISTADOS!$D$7:$D$10,MATCH("JULIO",ALISTADOS!$A$7:$A$10,0)),"")</f>
        <v>78</v>
      </c>
      <c r="K78" s="9">
        <f>IFERROR(INDEX(ALISTADOS!$D$7:$D$10,MATCH("AGOSTO",ALISTADOS!$A$7:$A$10,0)),"")</f>
        <v>88</v>
      </c>
      <c r="L78" s="8">
        <f>ALISTADOS!D7</f>
        <v>82.5</v>
      </c>
      <c r="M78" s="8">
        <f>ALISTADOS!D10</f>
        <v>88</v>
      </c>
      <c r="N78" s="10">
        <f t="shared" si="2"/>
        <v>6.6666666666666652E-2</v>
      </c>
      <c r="O78" s="5">
        <v>1</v>
      </c>
      <c r="P78" s="11" t="s">
        <v>188</v>
      </c>
      <c r="Q78" s="14" t="s">
        <v>189</v>
      </c>
    </row>
    <row r="79" spans="1:17" x14ac:dyDescent="0.2">
      <c r="A79" s="14" t="s">
        <v>172</v>
      </c>
      <c r="B79" s="14" t="s">
        <v>180</v>
      </c>
      <c r="C79" s="15" t="s">
        <v>190</v>
      </c>
      <c r="D79" s="8">
        <f>IFERROR(INDEX(CARABINEROS!$D$7:$D$12,MATCH("ENERO",CARABINEROS!$A$7:$A$12,0)),"")</f>
        <v>93.5</v>
      </c>
      <c r="E79" s="8">
        <f>IFERROR(INDEX(CARABINEROS!$D$7:$D$12,MATCH("FEBRERO",CARABINEROS!$A$7:$A$12,0)),"")</f>
        <v>94.333333333333329</v>
      </c>
      <c r="F79" s="7"/>
      <c r="G79" s="8">
        <f>IFERROR(INDEX(CARABINEROS!$D$7:$D$12,MATCH("ABRIL",CARABINEROS!$A$7:$A$12,0)),"")</f>
        <v>96.333333333333329</v>
      </c>
      <c r="H79" s="9">
        <f>IFERROR(INDEX(CARABINEROS!$D$7:$D$12,MATCH("MAYO",CARABINEROS!$A$7:$A$12,0)),"")</f>
        <v>108</v>
      </c>
      <c r="I79" s="7"/>
      <c r="J79" s="8">
        <f>IFERROR(INDEX(CARABINEROS!$D$7:$D$12,MATCH("JULIO",CARABINEROS!$A$7:$A$12,0)),"")</f>
        <v>98</v>
      </c>
      <c r="K79" s="8">
        <f>IFERROR(INDEX(CARABINEROS!$D$7:$D$12,MATCH("AGOSTO",CARABINEROS!$A$7:$A$12,0)),"")</f>
        <v>98</v>
      </c>
      <c r="L79" s="8">
        <f>CARABINEROS!D7</f>
        <v>93.5</v>
      </c>
      <c r="M79" s="8">
        <f>CARABINEROS!D12</f>
        <v>98</v>
      </c>
      <c r="N79" s="10">
        <f t="shared" si="2"/>
        <v>4.8128342245989275E-2</v>
      </c>
      <c r="O79" s="5">
        <v>1</v>
      </c>
      <c r="P79" s="11" t="s">
        <v>191</v>
      </c>
      <c r="Q79" s="14" t="s">
        <v>189</v>
      </c>
    </row>
    <row r="80" spans="1:17" ht="30" x14ac:dyDescent="0.2">
      <c r="A80" s="14" t="s">
        <v>167</v>
      </c>
      <c r="B80" s="14" t="s">
        <v>168</v>
      </c>
      <c r="C80" s="15" t="s">
        <v>192</v>
      </c>
      <c r="D80" s="8">
        <f>IFERROR(INDEX('TOMATE IBERICO'!$D$7:$D$11,MATCH("ENERO",'TOMATE IBERICO'!$A$7:$A$11,0)),"")</f>
        <v>5.8</v>
      </c>
      <c r="E80" s="8">
        <f>IFERROR(INDEX('TOMATE IBERICO'!$D$7:$D$11,MATCH("FEBRERO",'TOMATE IBERICO'!$A$7:$A$11,0)),"")</f>
        <v>5.8</v>
      </c>
      <c r="F80" s="7"/>
      <c r="G80" s="9">
        <f>IFERROR(INDEX('TOMATE IBERICO'!$D$7:$D$11,MATCH("ABRIL",'TOMATE IBERICO'!$A$7:$A$11,0)),"")</f>
        <v>7.45</v>
      </c>
      <c r="H80" s="9">
        <f>IFERROR(INDEX('TOMATE IBERICO'!$D$7:$D$11,MATCH("MAYO",'TOMATE IBERICO'!$A$7:$A$11,0)),"")</f>
        <v>8.5</v>
      </c>
      <c r="I80" s="7"/>
      <c r="J80" s="12">
        <f>IFERROR(INDEX('TOMATE IBERICO'!$D$7:$D$11,MATCH("JULIO",'TOMATE IBERICO'!$A$7:$A$11,0)),"")</f>
        <v>5.8</v>
      </c>
      <c r="K80" s="7"/>
      <c r="L80" s="8">
        <f>'TOMATE IBERICO'!D7</f>
        <v>5.8</v>
      </c>
      <c r="M80" s="8">
        <f>'TOMATE IBERICO'!D11</f>
        <v>5.8</v>
      </c>
      <c r="N80" s="13">
        <f t="shared" si="2"/>
        <v>0</v>
      </c>
      <c r="O80" s="5">
        <v>2</v>
      </c>
      <c r="P80" s="11" t="s">
        <v>193</v>
      </c>
      <c r="Q80" s="14" t="s">
        <v>189</v>
      </c>
    </row>
    <row r="81" spans="1:17" ht="30" x14ac:dyDescent="0.2">
      <c r="A81" s="14" t="s">
        <v>172</v>
      </c>
      <c r="B81" s="14" t="s">
        <v>180</v>
      </c>
      <c r="C81" s="15" t="s">
        <v>194</v>
      </c>
      <c r="D81" s="8">
        <f>IFERROR(INDEX(CALAMARES!$D$7:$D$12,MATCH("ENERO",CALAMARES!$A$7:$A$12,0)),"")</f>
        <v>24</v>
      </c>
      <c r="E81" s="12">
        <f>IFERROR(INDEX(CALAMARES!$D$7:$D$12,MATCH("FEBRERO",CALAMARES!$A$7:$A$12,0)),"")</f>
        <v>21.5</v>
      </c>
      <c r="F81" s="7"/>
      <c r="G81" s="9">
        <f>IFERROR(INDEX(CALAMARES!$D$7:$D$12,MATCH("ABRIL",CALAMARES!$A$7:$A$12,0)),"")</f>
        <v>24</v>
      </c>
      <c r="H81" s="12">
        <f>IFERROR(INDEX(CALAMARES!$D$7:$D$12,MATCH("MAYO",CALAMARES!$A$7:$A$12,0)),"")</f>
        <v>21.5</v>
      </c>
      <c r="I81" s="7"/>
      <c r="J81" s="8">
        <f>IFERROR(INDEX(CALAMARES!$D$7:$D$12,MATCH("JULIO",CALAMARES!$A$7:$A$12,0)),"")</f>
        <v>21.5</v>
      </c>
      <c r="K81" s="8">
        <f>IFERROR(INDEX(CALAMARES!$D$7:$D$12,MATCH("AGOSTO",CALAMARES!$A$7:$A$12,0)),"")</f>
        <v>21.5</v>
      </c>
      <c r="L81" s="8">
        <f>CALAMARES!D7</f>
        <v>24</v>
      </c>
      <c r="M81" s="8">
        <f>CALAMARES!D12</f>
        <v>21.5</v>
      </c>
      <c r="N81" s="13">
        <f t="shared" si="2"/>
        <v>-0.10416666666666663</v>
      </c>
      <c r="O81" s="5">
        <v>1</v>
      </c>
      <c r="P81" s="11" t="s">
        <v>195</v>
      </c>
      <c r="Q81" s="14" t="s">
        <v>196</v>
      </c>
    </row>
    <row r="82" spans="1:17" x14ac:dyDescent="0.2">
      <c r="A82" s="14" t="s">
        <v>172</v>
      </c>
      <c r="B82" s="14" t="s">
        <v>180</v>
      </c>
      <c r="C82" s="15" t="s">
        <v>197</v>
      </c>
      <c r="D82" s="8">
        <f>IFERROR(INDEX(NAVAJAS!$D$7:$D$12,MATCH("ENERO",NAVAJAS!$A$7:$A$12,0)),"")</f>
        <v>28.625</v>
      </c>
      <c r="E82" s="9">
        <f>IFERROR(INDEX(NAVAJAS!$D$7:$D$12,MATCH("FEBRERO",NAVAJAS!$A$7:$A$12,0)),"")</f>
        <v>35.1</v>
      </c>
      <c r="F82" s="7"/>
      <c r="G82" s="12">
        <f>IFERROR(INDEX(NAVAJAS!$D$7:$D$12,MATCH("ABRIL",NAVAJAS!$A$7:$A$12,0)),"")</f>
        <v>28</v>
      </c>
      <c r="H82" s="8">
        <f>IFERROR(INDEX(NAVAJAS!$D$7:$D$12,MATCH("MAYO",NAVAJAS!$A$7:$A$12,0)),"")</f>
        <v>27.4</v>
      </c>
      <c r="I82" s="7"/>
      <c r="J82" s="8">
        <f>IFERROR(INDEX(NAVAJAS!$D$7:$D$12,MATCH("JULIO",NAVAJAS!$A$7:$A$12,0)),"")</f>
        <v>25.75</v>
      </c>
      <c r="K82" s="8">
        <f>IFERROR(INDEX(NAVAJAS!$D$7:$D$12,MATCH("AGOSTO",NAVAJAS!$A$7:$A$12,0)),"")</f>
        <v>25</v>
      </c>
      <c r="L82" s="8">
        <f>NAVAJAS!D7</f>
        <v>28.625</v>
      </c>
      <c r="M82" s="8">
        <f>NAVAJAS!D12</f>
        <v>25</v>
      </c>
      <c r="N82" s="13">
        <f t="shared" si="2"/>
        <v>-0.1266375545851528</v>
      </c>
      <c r="O82" s="5">
        <v>1</v>
      </c>
      <c r="P82" s="11" t="s">
        <v>198</v>
      </c>
      <c r="Q82" s="14" t="s">
        <v>196</v>
      </c>
    </row>
    <row r="83" spans="1:17" ht="45" x14ac:dyDescent="0.2">
      <c r="A83" s="14" t="s">
        <v>172</v>
      </c>
      <c r="B83" s="14" t="s">
        <v>199</v>
      </c>
      <c r="C83" s="15" t="s">
        <v>200</v>
      </c>
      <c r="D83" s="8">
        <f>IFERROR(INDEX(BERBERECHO!$D$7:$D$12,MATCH("ENERO",BERBERECHO!$A$7:$A$12,0)),"")</f>
        <v>61.5</v>
      </c>
      <c r="E83" s="12">
        <f>IFERROR(INDEX(BERBERECHO!$D$7:$D$12,MATCH("FEBRERO",BERBERECHO!$A$7:$A$12,0)),"")</f>
        <v>22.666666666666668</v>
      </c>
      <c r="F83" s="7"/>
      <c r="G83" s="9">
        <f>IFERROR(INDEX(BERBERECHO!$D$7:$D$12,MATCH("ABRIL",BERBERECHO!$A$7:$A$12,0)),"")</f>
        <v>48.333333333333336</v>
      </c>
      <c r="H83" s="9">
        <f>IFERROR(INDEX(BERBERECHO!$D$7:$D$12,MATCH("MAYO",BERBERECHO!$A$7:$A$12,0)),"")</f>
        <v>95</v>
      </c>
      <c r="I83" s="7"/>
      <c r="J83" s="12">
        <f>IFERROR(INDEX(BERBERECHO!$D$7:$D$12,MATCH("JULIO",BERBERECHO!$A$7:$A$12,0)),"")</f>
        <v>24.5</v>
      </c>
      <c r="K83" s="8">
        <f>IFERROR(INDEX(BERBERECHO!$D$7:$D$12,MATCH("AGOSTO",BERBERECHO!$A$7:$A$12,0)),"")</f>
        <v>23</v>
      </c>
      <c r="L83" s="8">
        <f>BERBERECHO!D7</f>
        <v>61.5</v>
      </c>
      <c r="M83" s="8">
        <f>BERBERECHO!D12</f>
        <v>23</v>
      </c>
      <c r="N83" s="13">
        <f t="shared" si="2"/>
        <v>-0.62601626016260159</v>
      </c>
      <c r="O83" s="5">
        <v>2</v>
      </c>
      <c r="P83" s="11" t="s">
        <v>201</v>
      </c>
      <c r="Q83" s="14" t="s">
        <v>196</v>
      </c>
    </row>
    <row r="85" spans="1:17" x14ac:dyDescent="0.2">
      <c r="A85" s="3"/>
    </row>
    <row r="86" spans="1:17" x14ac:dyDescent="0.2">
      <c r="A86" s="3"/>
    </row>
    <row r="87" spans="1:17" x14ac:dyDescent="0.2">
      <c r="A87" s="3"/>
    </row>
    <row r="88" spans="1:17" x14ac:dyDescent="0.2">
      <c r="A88" s="3"/>
    </row>
  </sheetData>
  <autoFilter ref="A5:Q83" xr:uid="{00000000-0009-0000-0000-000000000000}"/>
  <mergeCells count="1">
    <mergeCell ref="A2:Q2"/>
  </mergeCells>
  <hyperlinks>
    <hyperlink ref="C6" r:id="rId1" location="'MORCILLA%20ASTURIANA'!A1" xr:uid="{00000000-0004-0000-0000-000000000000}"/>
    <hyperlink ref="C7" r:id="rId2" location="'CANTALAPIEDRA%20CHIVIRITERO%2020'!A1" xr:uid="{00000000-0004-0000-0000-000001000000}"/>
    <hyperlink ref="C8" r:id="rId3" location="'ANCHOAS%20CANTABRICO%20RO%20550%20ET'!A1" xr:uid="{00000000-0004-0000-0000-000002000000}"/>
    <hyperlink ref="C9" r:id="rId4" location="'ZACAPA%20X%20O'!A1" xr:uid="{00000000-0004-0000-0000-000003000000}"/>
    <hyperlink ref="C10" r:id="rId5" location="'OREMUS%203'!A1" xr:uid="{00000000-0004-0000-0000-000004000000}"/>
    <hyperlink ref="C11" r:id="rId6" location="'GINEBRA%20MARTIN%20MILLER%203%204'!A1" xr:uid="{00000000-0004-0000-0000-000005000000}"/>
    <hyperlink ref="C12" r:id="rId7" location="'AQUARADE%20ZERO%20NARANJA%20VIDRIO'!A1" xr:uid="{00000000-0004-0000-0000-000006000000}"/>
    <hyperlink ref="C13" r:id="rId8" location="'VENTRESCA%20BONITO%20EXTRA'!A1" xr:uid="{00000000-0004-0000-0000-000007000000}"/>
    <hyperlink ref="C14" r:id="rId9" location="'SOLAN%20CABRAS%20CON%20GAS'!A1" xr:uid="{00000000-0004-0000-0000-000008000000}"/>
    <hyperlink ref="C15" r:id="rId10" location="'AGUA%20SOLAN%20CABRAS%20VIDRIO%2050C'!A1" xr:uid="{00000000-0004-0000-0000-000009000000}"/>
    <hyperlink ref="C16" r:id="rId11" location="'AGUA%20CON%20GAS%20SOLAN%20CABRAS%20VI'!A1" xr:uid="{00000000-0004-0000-0000-00000A000000}"/>
    <hyperlink ref="C17" r:id="rId12" location="'MOJAMA%20EXTRA%20SUPERIOR%20CHANCA'!A1" xr:uid="{00000000-0004-0000-0000-00000B000000}"/>
    <hyperlink ref="C18" r:id="rId13" location="'BITTER%20KAS%20VIDRIO%2020CL'!A1" xr:uid="{00000000-0004-0000-0000-00000C000000}"/>
    <hyperlink ref="C19" r:id="rId14" location="'AQUARADE%20ZERO%20LIMON%20VIDRIO%203'!A1" xr:uid="{00000000-0004-0000-0000-00000D000000}"/>
    <hyperlink ref="C20" r:id="rId15" location="'LOMO%20BELLOTA%20100%20SM'!A1" xr:uid="{00000000-0004-0000-0000-00000E000000}"/>
    <hyperlink ref="C21" r:id="rId16" location="'COCA%20COLA%20ZERO%20NAC'!A1" xr:uid="{00000000-0004-0000-0000-00000F000000}"/>
    <hyperlink ref="C22" r:id="rId17" location="'MANZANILLA%20SOLEAR%203%208'!A1" xr:uid="{00000000-0004-0000-0000-000010000000}"/>
    <hyperlink ref="C23" r:id="rId18" location="'PICOS%20ARTESANOS%20500%20GR'!A1" xr:uid="{00000000-0004-0000-0000-000011000000}"/>
    <hyperlink ref="C24" r:id="rId19" location="'ANCHOAS%20CANTABRICO%20GRAN%20RESE'!A1" xr:uid="{00000000-0004-0000-0000-000012000000}"/>
    <hyperlink ref="C25" r:id="rId20" location="'PEPE%20YLLERA%203%204'!A1" xr:uid="{00000000-0004-0000-0000-000013000000}"/>
    <hyperlink ref="C26" r:id="rId21" location="'SCHWEPPES%20TONICA%2028%20UDS'!A1" xr:uid="{00000000-0004-0000-0000-000014000000}"/>
    <hyperlink ref="C27" r:id="rId22" location="'CASERA%20LIMON%201L'!A1" xr:uid="{00000000-0004-0000-0000-000015000000}"/>
    <hyperlink ref="C28" r:id="rId23" location="'CASERA%20GASEOSA%201L'!A1" xr:uid="{00000000-0004-0000-0000-000016000000}"/>
    <hyperlink ref="C29" r:id="rId24" location="'PAN%20MOLDE%20BRIOCHE'!A1" xr:uid="{00000000-0004-0000-0000-000017000000}"/>
    <hyperlink ref="C30" r:id="rId25" location="'PACO%20GARCIA%20CRIANZA%203%204'!A1" xr:uid="{00000000-0004-0000-0000-000018000000}"/>
    <hyperlink ref="C31" r:id="rId26" location="'RAMON%20BILBAO%20BLANCO%20VERDEJO'!A1" xr:uid="{00000000-0004-0000-0000-000019000000}"/>
    <hyperlink ref="C32" r:id="rId27" location="'GODELLO%20VINAREDO'!A1" xr:uid="{00000000-0004-0000-0000-00001A000000}"/>
    <hyperlink ref="C33" r:id="rId28" location="'SENORIO%20FITERO%20ROBLE'!A1" xr:uid="{00000000-0004-0000-0000-00001B000000}"/>
    <hyperlink ref="C34" r:id="rId29" location="'CORIMBO'!A1" xr:uid="{00000000-0004-0000-0000-00001C000000}"/>
    <hyperlink ref="C35" r:id="rId30" location="'SCHWEPPES%20TONICA%20VIDRIO%2020CL'!A1" xr:uid="{00000000-0004-0000-0000-00001D000000}"/>
    <hyperlink ref="C36" r:id="rId31" location="'RODA%20RESERVA%203%204'!A1" xr:uid="{00000000-0004-0000-0000-00001E000000}"/>
    <hyperlink ref="C37" r:id="rId32" location="'ALBARINO%20MAR%20FRADES'!A1" xr:uid="{00000000-0004-0000-0000-00001F000000}"/>
    <hyperlink ref="C38" r:id="rId33" location="'VINA%20MAYOR%20VERDEJO'!A1" xr:uid="{00000000-0004-0000-0000-000020000000}"/>
    <hyperlink ref="C39" r:id="rId34" location="'SEVEN%20UP%20FREE%20VIDRIO%2020CL'!A1" xr:uid="{00000000-0004-0000-0000-000021000000}"/>
    <hyperlink ref="C40" r:id="rId35" location="'LIPTON%20ZERO%20LIMON%20VIDRIO%2035C'!A1" xr:uid="{00000000-0004-0000-0000-000022000000}"/>
    <hyperlink ref="C41" r:id="rId36" location="'R%20B%20EDI%20LIM%20EARLY%20HARVEST%20RO'!A1" xr:uid="{00000000-0004-0000-0000-000023000000}"/>
    <hyperlink ref="C42" r:id="rId37" location="'POMMERY%20ROYAL%20BRUT%203%204'!A1" xr:uid="{00000000-0004-0000-0000-000024000000}"/>
    <hyperlink ref="C43" r:id="rId38" location="'GODELLO%20MAR%20FRADES'!A1" xr:uid="{00000000-0004-0000-0000-000025000000}"/>
    <hyperlink ref="C44" r:id="rId39" location="'SCHWEPPES%20LIMON%20LOW%20CAL%20VIDR'!A1" xr:uid="{00000000-0004-0000-0000-000026000000}"/>
    <hyperlink ref="C45" r:id="rId40" location="'SCHWEPPES%20NARANJA%20LOW%20CAL%20VI'!A1" xr:uid="{00000000-0004-0000-0000-000027000000}"/>
    <hyperlink ref="C46" r:id="rId41" location="'CUAD%20A%20O%20SUAVE%20GUADALIMAR%205L'!A1" xr:uid="{00000000-0004-0000-0000-000028000000}"/>
    <hyperlink ref="C47" r:id="rId42" location="'VINAGRE%20JEREZ%20RESERVA%20AL%20MOS'!A1" xr:uid="{00000000-0004-0000-0000-000029000000}"/>
    <hyperlink ref="C48" r:id="rId43" location="'FLOR%20ALCACHOFA%20CONFITADA%20EN'!A1" xr:uid="{00000000-0004-0000-0000-00002A000000}"/>
    <hyperlink ref="C49" r:id="rId44" location="'BARBADILLO%20VI%20MOSCATO%20FRIZZA'!A1" xr:uid="{00000000-0004-0000-0000-00002B000000}"/>
    <hyperlink ref="C50" r:id="rId45" location="'MAESTRO%20DOBEL%20DIAMANTE%20REPOS'!A1" xr:uid="{00000000-0004-0000-0000-00002C000000}"/>
    <hyperlink ref="C51" r:id="rId46" location="'IZAGUIRRE%20BOX%2020L'!A1" xr:uid="{00000000-0004-0000-0000-00002D000000}"/>
    <hyperlink ref="C52" r:id="rId47" location="'MACALLAN%2012'!A1" xr:uid="{00000000-0004-0000-0000-00002E000000}"/>
    <hyperlink ref="C53" r:id="rId48" location="'ABSOLUT%200,70'!A1" xr:uid="{00000000-0004-0000-0000-00002F000000}"/>
    <hyperlink ref="C54" r:id="rId49" location="'BARCELO%20ANEJO'!A1" xr:uid="{00000000-0004-0000-0000-000030000000}"/>
    <hyperlink ref="C55" r:id="rId50" location="'A%20GIRASOL%20ALTO%20OLEICO'!A1" xr:uid="{00000000-0004-0000-0000-000031000000}"/>
    <hyperlink ref="C56" r:id="rId51" location="'HAVANA%207%20ANOS'!A1" xr:uid="{00000000-0004-0000-0000-000032000000}"/>
    <hyperlink ref="C57" r:id="rId52" location="'BEEFEATER%200,70'!A1" xr:uid="{00000000-0004-0000-0000-000033000000}"/>
    <hyperlink ref="C58" r:id="rId53" location="'TRUS%20CRIANZA%203%204'!A1" xr:uid="{00000000-0004-0000-0000-000034000000}"/>
    <hyperlink ref="C59" r:id="rId54" location="'BRUGAL%200,70'!A1" xr:uid="{00000000-0004-0000-0000-000035000000}"/>
    <hyperlink ref="C60" r:id="rId55" location="'LARIOS%20ESPECIAL%2012'!A1" xr:uid="{00000000-0004-0000-0000-000036000000}"/>
    <hyperlink ref="C61" r:id="rId56" location="'LARIOS%201L'!A1" xr:uid="{00000000-0004-0000-0000-000037000000}"/>
    <hyperlink ref="C62" r:id="rId57" location="'SEAGRAMS%200,70'!A1" xr:uid="{00000000-0004-0000-0000-000038000000}"/>
    <hyperlink ref="C63" r:id="rId58" location="'DYC%208%20ANOS%200,70'!A1" xr:uid="{00000000-0004-0000-0000-000039000000}"/>
    <hyperlink ref="C64" r:id="rId59" location="'ENTRECOT%20T%20MORUCHA'!A1" xr:uid="{00000000-0004-0000-0000-00003A000000}"/>
    <hyperlink ref="C65" r:id="rId60" location="'MEDALLON%20P%20SOLOMILLO%20VACUNO'!A1" xr:uid="{00000000-0004-0000-0000-00003B000000}"/>
    <hyperlink ref="C66" r:id="rId61" location="'CRUZ%20ALBA%20ROBLE%203%204'!A1" xr:uid="{00000000-0004-0000-0000-00003C000000}"/>
    <hyperlink ref="C67" r:id="rId62" location="'HENDRICKS'!A1" xr:uid="{00000000-0004-0000-0000-00003D000000}"/>
    <hyperlink ref="C68" r:id="rId63" location="'RACION%20CECINA%20PREMIUM%20100GR'!A1" xr:uid="{00000000-0004-0000-0000-00003E000000}"/>
    <hyperlink ref="C69" r:id="rId64" location="'SOLOMILLO%20VACA'!A1" xr:uid="{00000000-0004-0000-0000-00003F000000}"/>
    <hyperlink ref="C70" r:id="rId65" location="'RACION%20CECINA%20PREMIUM%20100%202'!A1" xr:uid="{00000000-0004-0000-0000-000040000000}"/>
    <hyperlink ref="C71" r:id="rId66" location="'LIMON'!A1" xr:uid="{00000000-0004-0000-0000-000041000000}"/>
    <hyperlink ref="C72" r:id="rId67" location="'BOQUERON%20GORDO'!A1" xr:uid="{00000000-0004-0000-0000-000042000000}"/>
    <hyperlink ref="C73" r:id="rId68" location="'PARROCHAS'!A1" xr:uid="{00000000-0004-0000-0000-000043000000}"/>
    <hyperlink ref="C74" r:id="rId69" location="'BOQUERON%20GORDO%202'!A1" xr:uid="{00000000-0004-0000-0000-000044000000}"/>
    <hyperlink ref="C75" r:id="rId70" location="'QUISQUILLA'!A1" xr:uid="{00000000-0004-0000-0000-000045000000}"/>
    <hyperlink ref="C76" r:id="rId71" location="'LANGOSTINOS'!A1" xr:uid="{00000000-0004-0000-0000-000046000000}"/>
    <hyperlink ref="C77" r:id="rId72" location="'CIGALAS'!A1" xr:uid="{00000000-0004-0000-0000-000047000000}"/>
    <hyperlink ref="C78" r:id="rId73" location="'ALISTADOS'!A1" xr:uid="{00000000-0004-0000-0000-000048000000}"/>
    <hyperlink ref="C79" r:id="rId74" location="'CARABINEROS'!A1" xr:uid="{00000000-0004-0000-0000-000049000000}"/>
    <hyperlink ref="C80" r:id="rId75" location="'TOMATE%20IBERICO'!A1" xr:uid="{00000000-0004-0000-0000-00004A000000}"/>
    <hyperlink ref="C81" r:id="rId76" location="'CALAMARES'!A1" xr:uid="{00000000-0004-0000-0000-00004B000000}"/>
    <hyperlink ref="C82" r:id="rId77" location="'NAVAJAS'!A1" xr:uid="{00000000-0004-0000-0000-00004C000000}"/>
    <hyperlink ref="C83" r:id="rId78" location="'BERBERECHO'!A1" xr:uid="{00000000-0004-0000-0000-00004D0000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66"/>
  <sheetViews>
    <sheetView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/>
    </sheetView>
  </sheetViews>
  <sheetFormatPr baseColWidth="10" defaultColWidth="8.6640625" defaultRowHeight="15" x14ac:dyDescent="0.2"/>
  <cols>
    <col min="1" max="1" width="22" customWidth="1"/>
    <col min="2" max="2" width="28" customWidth="1"/>
    <col min="3" max="3" width="42" customWidth="1"/>
    <col min="4" max="10" width="11" customWidth="1"/>
    <col min="11" max="12" width="12" customWidth="1"/>
    <col min="13" max="14" width="11" customWidth="1"/>
  </cols>
  <sheetData>
    <row r="1" spans="1:14" ht="18" x14ac:dyDescent="0.2">
      <c r="A1" s="2" t="s">
        <v>202</v>
      </c>
    </row>
    <row r="3" spans="1:14" ht="30" x14ac:dyDescent="0.2">
      <c r="A3" s="4" t="s">
        <v>1</v>
      </c>
      <c r="B3" s="4" t="s">
        <v>2</v>
      </c>
      <c r="C3" s="4" t="s">
        <v>203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10</v>
      </c>
      <c r="J3" s="4" t="s">
        <v>11</v>
      </c>
      <c r="K3" s="4" t="s">
        <v>204</v>
      </c>
      <c r="L3" s="4" t="s">
        <v>205</v>
      </c>
      <c r="M3" s="4" t="s">
        <v>206</v>
      </c>
      <c r="N3" s="4" t="s">
        <v>17</v>
      </c>
    </row>
    <row r="4" spans="1:14" x14ac:dyDescent="0.2">
      <c r="A4" s="5" t="s">
        <v>18</v>
      </c>
      <c r="B4" s="5" t="s">
        <v>149</v>
      </c>
      <c r="C4" s="5" t="s">
        <v>207</v>
      </c>
      <c r="D4" s="8">
        <v>1</v>
      </c>
      <c r="E4" s="5"/>
      <c r="F4" s="5"/>
      <c r="G4" s="8">
        <v>1</v>
      </c>
      <c r="H4" s="8">
        <v>1</v>
      </c>
      <c r="I4" s="5"/>
      <c r="J4" s="5"/>
      <c r="K4" s="8">
        <v>1</v>
      </c>
      <c r="L4" s="8">
        <v>1</v>
      </c>
      <c r="M4" s="16">
        <f t="shared" ref="M4:M67" si="0">IFERROR(L4/K4-1,0)</f>
        <v>0</v>
      </c>
      <c r="N4" s="5" t="s">
        <v>208</v>
      </c>
    </row>
    <row r="5" spans="1:14" x14ac:dyDescent="0.2">
      <c r="A5" s="5" t="s">
        <v>18</v>
      </c>
      <c r="B5" s="5" t="s">
        <v>149</v>
      </c>
      <c r="C5" s="5" t="s">
        <v>209</v>
      </c>
      <c r="D5" s="5"/>
      <c r="E5" s="5"/>
      <c r="F5" s="5"/>
      <c r="G5" s="8">
        <v>28.5</v>
      </c>
      <c r="H5" s="8">
        <v>28.5</v>
      </c>
      <c r="I5" s="5"/>
      <c r="J5" s="5"/>
      <c r="K5" s="8">
        <v>28.5</v>
      </c>
      <c r="L5" s="8">
        <v>28.5</v>
      </c>
      <c r="M5" s="16">
        <f t="shared" si="0"/>
        <v>0</v>
      </c>
      <c r="N5" s="5" t="s">
        <v>208</v>
      </c>
    </row>
    <row r="6" spans="1:14" x14ac:dyDescent="0.2">
      <c r="A6" s="5" t="s">
        <v>18</v>
      </c>
      <c r="B6" s="5" t="s">
        <v>149</v>
      </c>
      <c r="C6" s="5" t="s">
        <v>150</v>
      </c>
      <c r="D6" s="8">
        <v>27.5</v>
      </c>
      <c r="E6" s="8">
        <v>27.5</v>
      </c>
      <c r="F6" s="5"/>
      <c r="G6" s="8">
        <v>27.5</v>
      </c>
      <c r="H6" s="8">
        <v>27.5</v>
      </c>
      <c r="I6" s="8">
        <v>27.5</v>
      </c>
      <c r="J6" s="8">
        <v>27.57</v>
      </c>
      <c r="K6" s="8">
        <v>27.5</v>
      </c>
      <c r="L6" s="8">
        <v>27.57</v>
      </c>
      <c r="M6" s="16">
        <f t="shared" si="0"/>
        <v>2.5454545454546285E-3</v>
      </c>
      <c r="N6" s="17" t="s">
        <v>22</v>
      </c>
    </row>
    <row r="7" spans="1:14" x14ac:dyDescent="0.2">
      <c r="A7" s="5" t="s">
        <v>18</v>
      </c>
      <c r="B7" s="5" t="s">
        <v>149</v>
      </c>
      <c r="C7" s="5" t="s">
        <v>152</v>
      </c>
      <c r="D7" s="8">
        <v>36.9</v>
      </c>
      <c r="E7" s="8">
        <v>36.9</v>
      </c>
      <c r="F7" s="5"/>
      <c r="G7" s="8">
        <v>36.9</v>
      </c>
      <c r="H7" s="8">
        <v>36.9</v>
      </c>
      <c r="I7" s="8">
        <v>36.9</v>
      </c>
      <c r="J7" s="8">
        <v>36.97</v>
      </c>
      <c r="K7" s="8">
        <v>36.9</v>
      </c>
      <c r="L7" s="8">
        <v>36.97</v>
      </c>
      <c r="M7" s="16">
        <f t="shared" si="0"/>
        <v>1.8970189701896789E-3</v>
      </c>
      <c r="N7" s="17" t="s">
        <v>22</v>
      </c>
    </row>
    <row r="8" spans="1:14" x14ac:dyDescent="0.2">
      <c r="A8" s="5" t="s">
        <v>18</v>
      </c>
      <c r="B8" s="5" t="s">
        <v>162</v>
      </c>
      <c r="C8" s="5" t="s">
        <v>210</v>
      </c>
      <c r="D8" s="5"/>
      <c r="E8" s="5"/>
      <c r="F8" s="5"/>
      <c r="G8" s="5"/>
      <c r="H8" s="8">
        <v>25</v>
      </c>
      <c r="I8" s="8">
        <v>25</v>
      </c>
      <c r="J8" s="8">
        <v>25</v>
      </c>
      <c r="K8" s="8">
        <v>25</v>
      </c>
      <c r="L8" s="8">
        <v>25</v>
      </c>
      <c r="M8" s="16">
        <f t="shared" si="0"/>
        <v>0</v>
      </c>
      <c r="N8" s="5" t="s">
        <v>208</v>
      </c>
    </row>
    <row r="9" spans="1:14" x14ac:dyDescent="0.2">
      <c r="A9" s="5" t="s">
        <v>18</v>
      </c>
      <c r="B9" s="5" t="s">
        <v>162</v>
      </c>
      <c r="C9" s="5" t="s">
        <v>163</v>
      </c>
      <c r="D9" s="5"/>
      <c r="E9" s="5"/>
      <c r="F9" s="5"/>
      <c r="G9" s="5"/>
      <c r="H9" s="8">
        <v>35</v>
      </c>
      <c r="I9" s="8">
        <v>34.774999999999999</v>
      </c>
      <c r="J9" s="8">
        <v>35</v>
      </c>
      <c r="K9" s="8">
        <v>35</v>
      </c>
      <c r="L9" s="8">
        <v>35</v>
      </c>
      <c r="M9" s="16">
        <f t="shared" si="0"/>
        <v>0</v>
      </c>
      <c r="N9" s="5" t="s">
        <v>161</v>
      </c>
    </row>
    <row r="10" spans="1:14" x14ac:dyDescent="0.2">
      <c r="A10" s="5" t="s">
        <v>18</v>
      </c>
      <c r="B10" s="5" t="s">
        <v>162</v>
      </c>
      <c r="C10" s="5" t="s">
        <v>211</v>
      </c>
      <c r="D10" s="5"/>
      <c r="E10" s="5"/>
      <c r="F10" s="5"/>
      <c r="G10" s="5"/>
      <c r="H10" s="8">
        <v>11.81</v>
      </c>
      <c r="I10" s="8">
        <v>10.9</v>
      </c>
      <c r="J10" s="5"/>
      <c r="K10" s="8">
        <v>11.81</v>
      </c>
      <c r="L10" s="8">
        <v>10.9</v>
      </c>
      <c r="M10" s="16">
        <f t="shared" si="0"/>
        <v>-7.7053344623200681E-2</v>
      </c>
      <c r="N10" s="18" t="s">
        <v>212</v>
      </c>
    </row>
    <row r="11" spans="1:14" x14ac:dyDescent="0.2">
      <c r="A11" s="5" t="s">
        <v>18</v>
      </c>
      <c r="B11" s="5" t="s">
        <v>19</v>
      </c>
      <c r="C11" s="5" t="s">
        <v>213</v>
      </c>
      <c r="D11" s="5"/>
      <c r="E11" s="8">
        <v>9</v>
      </c>
      <c r="F11" s="5"/>
      <c r="G11" s="8">
        <v>9</v>
      </c>
      <c r="H11" s="5"/>
      <c r="I11" s="8">
        <v>9</v>
      </c>
      <c r="J11" s="5"/>
      <c r="K11" s="8">
        <v>9</v>
      </c>
      <c r="L11" s="8">
        <v>9</v>
      </c>
      <c r="M11" s="16">
        <f t="shared" si="0"/>
        <v>0</v>
      </c>
      <c r="N11" s="5" t="s">
        <v>208</v>
      </c>
    </row>
    <row r="12" spans="1:14" x14ac:dyDescent="0.2">
      <c r="A12" s="5" t="s">
        <v>18</v>
      </c>
      <c r="B12" s="5" t="s">
        <v>19</v>
      </c>
      <c r="C12" s="5" t="s">
        <v>214</v>
      </c>
      <c r="D12" s="8">
        <v>11.5</v>
      </c>
      <c r="E12" s="8">
        <v>11.5</v>
      </c>
      <c r="F12" s="5"/>
      <c r="G12" s="8">
        <v>11.5</v>
      </c>
      <c r="H12" s="5"/>
      <c r="I12" s="5"/>
      <c r="J12" s="8">
        <v>11.5</v>
      </c>
      <c r="K12" s="8">
        <v>11.5</v>
      </c>
      <c r="L12" s="8">
        <v>11.5</v>
      </c>
      <c r="M12" s="16">
        <f t="shared" si="0"/>
        <v>0</v>
      </c>
      <c r="N12" s="5" t="s">
        <v>208</v>
      </c>
    </row>
    <row r="13" spans="1:14" x14ac:dyDescent="0.2">
      <c r="A13" s="5" t="s">
        <v>18</v>
      </c>
      <c r="B13" s="5" t="s">
        <v>19</v>
      </c>
      <c r="C13" s="5" t="s">
        <v>215</v>
      </c>
      <c r="D13" s="5"/>
      <c r="E13" s="5"/>
      <c r="F13" s="5"/>
      <c r="G13" s="8">
        <v>3.75</v>
      </c>
      <c r="H13" s="5"/>
      <c r="I13" s="8">
        <v>3.75</v>
      </c>
      <c r="J13" s="5"/>
      <c r="K13" s="8">
        <v>3.75</v>
      </c>
      <c r="L13" s="8">
        <v>3.75</v>
      </c>
      <c r="M13" s="16">
        <f t="shared" si="0"/>
        <v>0</v>
      </c>
      <c r="N13" s="5" t="s">
        <v>208</v>
      </c>
    </row>
    <row r="14" spans="1:14" x14ac:dyDescent="0.2">
      <c r="A14" s="5" t="s">
        <v>18</v>
      </c>
      <c r="B14" s="5" t="s">
        <v>19</v>
      </c>
      <c r="C14" s="5" t="s">
        <v>216</v>
      </c>
      <c r="D14" s="8">
        <v>2</v>
      </c>
      <c r="E14" s="8">
        <v>2</v>
      </c>
      <c r="F14" s="5"/>
      <c r="G14" s="8">
        <v>2</v>
      </c>
      <c r="H14" s="5"/>
      <c r="I14" s="5"/>
      <c r="J14" s="8">
        <v>2</v>
      </c>
      <c r="K14" s="8">
        <v>2</v>
      </c>
      <c r="L14" s="8">
        <v>2</v>
      </c>
      <c r="M14" s="16">
        <f t="shared" si="0"/>
        <v>0</v>
      </c>
      <c r="N14" s="5" t="s">
        <v>208</v>
      </c>
    </row>
    <row r="15" spans="1:14" x14ac:dyDescent="0.2">
      <c r="A15" s="5" t="s">
        <v>18</v>
      </c>
      <c r="B15" s="5" t="s">
        <v>19</v>
      </c>
      <c r="C15" s="5" t="s">
        <v>217</v>
      </c>
      <c r="D15" s="5"/>
      <c r="E15" s="8">
        <v>4.5</v>
      </c>
      <c r="F15" s="5"/>
      <c r="G15" s="8">
        <v>4.5</v>
      </c>
      <c r="H15" s="5"/>
      <c r="I15" s="5"/>
      <c r="J15" s="5"/>
      <c r="K15" s="8">
        <v>4.5</v>
      </c>
      <c r="L15" s="8">
        <v>4.5</v>
      </c>
      <c r="M15" s="16">
        <f t="shared" si="0"/>
        <v>0</v>
      </c>
      <c r="N15" s="5" t="s">
        <v>208</v>
      </c>
    </row>
    <row r="16" spans="1:14" x14ac:dyDescent="0.2">
      <c r="A16" s="5" t="s">
        <v>18</v>
      </c>
      <c r="B16" s="5" t="s">
        <v>19</v>
      </c>
      <c r="C16" s="5" t="s">
        <v>218</v>
      </c>
      <c r="D16" s="8">
        <v>52.5</v>
      </c>
      <c r="E16" s="8">
        <v>52.5</v>
      </c>
      <c r="F16" s="5"/>
      <c r="G16" s="8">
        <v>52.5</v>
      </c>
      <c r="H16" s="8">
        <v>52.5</v>
      </c>
      <c r="I16" s="8">
        <v>52.5</v>
      </c>
      <c r="J16" s="8">
        <v>52.5</v>
      </c>
      <c r="K16" s="8">
        <v>52.5</v>
      </c>
      <c r="L16" s="8">
        <v>52.5</v>
      </c>
      <c r="M16" s="16">
        <f t="shared" si="0"/>
        <v>0</v>
      </c>
      <c r="N16" s="5" t="s">
        <v>208</v>
      </c>
    </row>
    <row r="17" spans="1:14" x14ac:dyDescent="0.2">
      <c r="A17" s="5" t="s">
        <v>18</v>
      </c>
      <c r="B17" s="5" t="s">
        <v>19</v>
      </c>
      <c r="C17" s="5" t="s">
        <v>219</v>
      </c>
      <c r="D17" s="8">
        <v>4.5</v>
      </c>
      <c r="E17" s="8">
        <v>4.5</v>
      </c>
      <c r="F17" s="5"/>
      <c r="G17" s="8">
        <v>4.5</v>
      </c>
      <c r="H17" s="5"/>
      <c r="I17" s="8">
        <v>4.5</v>
      </c>
      <c r="J17" s="5"/>
      <c r="K17" s="8">
        <v>4.5</v>
      </c>
      <c r="L17" s="8">
        <v>4.5</v>
      </c>
      <c r="M17" s="16">
        <f t="shared" si="0"/>
        <v>0</v>
      </c>
      <c r="N17" s="5" t="s">
        <v>208</v>
      </c>
    </row>
    <row r="18" spans="1:14" x14ac:dyDescent="0.2">
      <c r="A18" s="5" t="s">
        <v>18</v>
      </c>
      <c r="B18" s="5" t="s">
        <v>19</v>
      </c>
      <c r="C18" s="5" t="s">
        <v>220</v>
      </c>
      <c r="D18" s="5"/>
      <c r="E18" s="5"/>
      <c r="F18" s="5"/>
      <c r="G18" s="5"/>
      <c r="H18" s="5"/>
      <c r="I18" s="8">
        <v>45</v>
      </c>
      <c r="J18" s="8">
        <v>45</v>
      </c>
      <c r="K18" s="8">
        <v>45</v>
      </c>
      <c r="L18" s="8">
        <v>45</v>
      </c>
      <c r="M18" s="16">
        <f t="shared" si="0"/>
        <v>0</v>
      </c>
      <c r="N18" s="5" t="s">
        <v>208</v>
      </c>
    </row>
    <row r="19" spans="1:14" x14ac:dyDescent="0.2">
      <c r="A19" s="5" t="s">
        <v>18</v>
      </c>
      <c r="B19" s="5" t="s">
        <v>19</v>
      </c>
      <c r="C19" s="5" t="s">
        <v>221</v>
      </c>
      <c r="D19" s="8">
        <v>45</v>
      </c>
      <c r="E19" s="8">
        <v>45</v>
      </c>
      <c r="F19" s="5"/>
      <c r="G19" s="8">
        <v>45</v>
      </c>
      <c r="H19" s="8">
        <v>45</v>
      </c>
      <c r="I19" s="8">
        <v>45</v>
      </c>
      <c r="J19" s="5"/>
      <c r="K19" s="8">
        <v>45</v>
      </c>
      <c r="L19" s="8">
        <v>45</v>
      </c>
      <c r="M19" s="16">
        <f t="shared" si="0"/>
        <v>0</v>
      </c>
      <c r="N19" s="5" t="s">
        <v>208</v>
      </c>
    </row>
    <row r="20" spans="1:14" x14ac:dyDescent="0.2">
      <c r="A20" s="5" t="s">
        <v>18</v>
      </c>
      <c r="B20" s="5" t="s">
        <v>19</v>
      </c>
      <c r="C20" s="5" t="s">
        <v>20</v>
      </c>
      <c r="D20" s="5"/>
      <c r="E20" s="8">
        <v>8</v>
      </c>
      <c r="F20" s="5"/>
      <c r="G20" s="8">
        <v>8</v>
      </c>
      <c r="H20" s="5"/>
      <c r="I20" s="5"/>
      <c r="J20" s="8">
        <v>9</v>
      </c>
      <c r="K20" s="8">
        <v>8</v>
      </c>
      <c r="L20" s="8">
        <v>9</v>
      </c>
      <c r="M20" s="16">
        <f t="shared" si="0"/>
        <v>0.125</v>
      </c>
      <c r="N20" s="17" t="s">
        <v>22</v>
      </c>
    </row>
    <row r="21" spans="1:14" x14ac:dyDescent="0.2">
      <c r="A21" s="5" t="s">
        <v>18</v>
      </c>
      <c r="B21" s="5" t="s">
        <v>19</v>
      </c>
      <c r="C21" s="5" t="s">
        <v>222</v>
      </c>
      <c r="D21" s="8">
        <v>12.5</v>
      </c>
      <c r="E21" s="8">
        <v>12.5</v>
      </c>
      <c r="F21" s="5"/>
      <c r="G21" s="8">
        <v>12.5</v>
      </c>
      <c r="H21" s="5"/>
      <c r="I21" s="8">
        <v>12.5</v>
      </c>
      <c r="J21" s="5"/>
      <c r="K21" s="8">
        <v>12.5</v>
      </c>
      <c r="L21" s="8">
        <v>12.5</v>
      </c>
      <c r="M21" s="16">
        <f t="shared" si="0"/>
        <v>0</v>
      </c>
      <c r="N21" s="5" t="s">
        <v>208</v>
      </c>
    </row>
    <row r="22" spans="1:14" x14ac:dyDescent="0.2">
      <c r="A22" s="5" t="s">
        <v>18</v>
      </c>
      <c r="B22" s="5" t="s">
        <v>19</v>
      </c>
      <c r="C22" s="5" t="s">
        <v>223</v>
      </c>
      <c r="D22" s="8">
        <v>8.5</v>
      </c>
      <c r="E22" s="8">
        <v>8.5</v>
      </c>
      <c r="F22" s="5"/>
      <c r="G22" s="8">
        <v>8.5</v>
      </c>
      <c r="H22" s="5"/>
      <c r="I22" s="8">
        <v>8.5</v>
      </c>
      <c r="J22" s="8">
        <v>8.5</v>
      </c>
      <c r="K22" s="8">
        <v>8.5</v>
      </c>
      <c r="L22" s="8">
        <v>8.5</v>
      </c>
      <c r="M22" s="16">
        <f t="shared" si="0"/>
        <v>0</v>
      </c>
      <c r="N22" s="5" t="s">
        <v>208</v>
      </c>
    </row>
    <row r="23" spans="1:14" x14ac:dyDescent="0.2">
      <c r="A23" s="5" t="s">
        <v>18</v>
      </c>
      <c r="B23" s="5" t="s">
        <v>19</v>
      </c>
      <c r="C23" s="5" t="s">
        <v>224</v>
      </c>
      <c r="D23" s="8">
        <v>6</v>
      </c>
      <c r="E23" s="8">
        <v>6</v>
      </c>
      <c r="F23" s="5"/>
      <c r="G23" s="8">
        <v>6</v>
      </c>
      <c r="H23" s="8">
        <v>6</v>
      </c>
      <c r="I23" s="8">
        <v>6</v>
      </c>
      <c r="J23" s="8">
        <v>6</v>
      </c>
      <c r="K23" s="8">
        <v>6</v>
      </c>
      <c r="L23" s="8">
        <v>6</v>
      </c>
      <c r="M23" s="16">
        <f t="shared" si="0"/>
        <v>0</v>
      </c>
      <c r="N23" s="5" t="s">
        <v>208</v>
      </c>
    </row>
    <row r="24" spans="1:14" x14ac:dyDescent="0.2">
      <c r="A24" s="5" t="s">
        <v>18</v>
      </c>
      <c r="B24" s="5" t="s">
        <v>19</v>
      </c>
      <c r="C24" s="5" t="s">
        <v>225</v>
      </c>
      <c r="D24" s="8">
        <v>8.8000000000000007</v>
      </c>
      <c r="E24" s="8">
        <v>8.8000000000000007</v>
      </c>
      <c r="F24" s="5"/>
      <c r="G24" s="8">
        <v>8.8000000000000007</v>
      </c>
      <c r="H24" s="8">
        <v>8.8000000000000007</v>
      </c>
      <c r="I24" s="8">
        <v>8.8000000000000007</v>
      </c>
      <c r="J24" s="8">
        <v>8.8000000000000007</v>
      </c>
      <c r="K24" s="8">
        <v>8.8000000000000007</v>
      </c>
      <c r="L24" s="8">
        <v>8.8000000000000007</v>
      </c>
      <c r="M24" s="16">
        <f t="shared" si="0"/>
        <v>0</v>
      </c>
      <c r="N24" s="5" t="s">
        <v>208</v>
      </c>
    </row>
    <row r="25" spans="1:14" x14ac:dyDescent="0.2">
      <c r="A25" s="5" t="s">
        <v>18</v>
      </c>
      <c r="B25" s="5" t="s">
        <v>19</v>
      </c>
      <c r="C25" s="5" t="s">
        <v>226</v>
      </c>
      <c r="D25" s="5"/>
      <c r="E25" s="8">
        <v>7</v>
      </c>
      <c r="F25" s="5"/>
      <c r="G25" s="8">
        <v>7</v>
      </c>
      <c r="H25" s="5"/>
      <c r="I25" s="5"/>
      <c r="J25" s="5"/>
      <c r="K25" s="8">
        <v>7</v>
      </c>
      <c r="L25" s="8">
        <v>7</v>
      </c>
      <c r="M25" s="16">
        <f t="shared" si="0"/>
        <v>0</v>
      </c>
      <c r="N25" s="5" t="s">
        <v>208</v>
      </c>
    </row>
    <row r="26" spans="1:14" x14ac:dyDescent="0.2">
      <c r="A26" s="5" t="s">
        <v>18</v>
      </c>
      <c r="B26" s="5" t="s">
        <v>19</v>
      </c>
      <c r="C26" s="5" t="s">
        <v>227</v>
      </c>
      <c r="D26" s="8">
        <v>8.5</v>
      </c>
      <c r="E26" s="8">
        <v>8.5</v>
      </c>
      <c r="F26" s="5"/>
      <c r="G26" s="8">
        <v>8.5</v>
      </c>
      <c r="H26" s="5"/>
      <c r="I26" s="8">
        <v>8.5</v>
      </c>
      <c r="J26" s="8">
        <v>8.5</v>
      </c>
      <c r="K26" s="8">
        <v>8.5</v>
      </c>
      <c r="L26" s="8">
        <v>8.5</v>
      </c>
      <c r="M26" s="16">
        <f t="shared" si="0"/>
        <v>0</v>
      </c>
      <c r="N26" s="5" t="s">
        <v>208</v>
      </c>
    </row>
    <row r="27" spans="1:14" x14ac:dyDescent="0.2">
      <c r="A27" s="5" t="s">
        <v>18</v>
      </c>
      <c r="B27" s="5" t="s">
        <v>19</v>
      </c>
      <c r="C27" s="5" t="s">
        <v>228</v>
      </c>
      <c r="D27" s="5"/>
      <c r="E27" s="8">
        <v>6.5</v>
      </c>
      <c r="F27" s="5"/>
      <c r="G27" s="8">
        <v>6.5</v>
      </c>
      <c r="H27" s="5"/>
      <c r="I27" s="5"/>
      <c r="J27" s="5"/>
      <c r="K27" s="8">
        <v>6.5</v>
      </c>
      <c r="L27" s="8">
        <v>6.5</v>
      </c>
      <c r="M27" s="16">
        <f t="shared" si="0"/>
        <v>0</v>
      </c>
      <c r="N27" s="5" t="s">
        <v>208</v>
      </c>
    </row>
    <row r="28" spans="1:14" x14ac:dyDescent="0.2">
      <c r="A28" s="5" t="s">
        <v>18</v>
      </c>
      <c r="B28" s="5" t="s">
        <v>19</v>
      </c>
      <c r="C28" s="5" t="s">
        <v>229</v>
      </c>
      <c r="D28" s="5"/>
      <c r="E28" s="8">
        <v>7.5</v>
      </c>
      <c r="F28" s="5"/>
      <c r="G28" s="8">
        <v>7.5</v>
      </c>
      <c r="H28" s="5"/>
      <c r="I28" s="5"/>
      <c r="J28" s="5"/>
      <c r="K28" s="8">
        <v>7.5</v>
      </c>
      <c r="L28" s="8">
        <v>7.5</v>
      </c>
      <c r="M28" s="16">
        <f t="shared" si="0"/>
        <v>0</v>
      </c>
      <c r="N28" s="5" t="s">
        <v>208</v>
      </c>
    </row>
    <row r="29" spans="1:14" x14ac:dyDescent="0.2">
      <c r="A29" s="5" t="s">
        <v>18</v>
      </c>
      <c r="B29" s="5" t="s">
        <v>19</v>
      </c>
      <c r="C29" s="5" t="s">
        <v>230</v>
      </c>
      <c r="D29" s="5"/>
      <c r="E29" s="8">
        <v>3.5</v>
      </c>
      <c r="F29" s="5"/>
      <c r="G29" s="8">
        <v>3.5</v>
      </c>
      <c r="H29" s="5"/>
      <c r="I29" s="8">
        <v>3.5</v>
      </c>
      <c r="J29" s="5"/>
      <c r="K29" s="8">
        <v>3.5</v>
      </c>
      <c r="L29" s="8">
        <v>3.5</v>
      </c>
      <c r="M29" s="16">
        <f t="shared" si="0"/>
        <v>0</v>
      </c>
      <c r="N29" s="5" t="s">
        <v>208</v>
      </c>
    </row>
    <row r="30" spans="1:14" x14ac:dyDescent="0.2">
      <c r="A30" s="5" t="s">
        <v>18</v>
      </c>
      <c r="B30" s="5" t="s">
        <v>19</v>
      </c>
      <c r="C30" s="5" t="s">
        <v>231</v>
      </c>
      <c r="D30" s="8">
        <v>3.5</v>
      </c>
      <c r="E30" s="8">
        <v>3.5</v>
      </c>
      <c r="F30" s="5"/>
      <c r="G30" s="8">
        <v>3.5</v>
      </c>
      <c r="H30" s="8">
        <v>3.5</v>
      </c>
      <c r="I30" s="8">
        <v>3.5</v>
      </c>
      <c r="J30" s="5"/>
      <c r="K30" s="8">
        <v>3.5</v>
      </c>
      <c r="L30" s="8">
        <v>3.5</v>
      </c>
      <c r="M30" s="16">
        <f t="shared" si="0"/>
        <v>0</v>
      </c>
      <c r="N30" s="5" t="s">
        <v>208</v>
      </c>
    </row>
    <row r="31" spans="1:14" x14ac:dyDescent="0.2">
      <c r="A31" s="5" t="s">
        <v>18</v>
      </c>
      <c r="B31" s="5" t="s">
        <v>19</v>
      </c>
      <c r="C31" s="5" t="s">
        <v>232</v>
      </c>
      <c r="D31" s="5"/>
      <c r="E31" s="8">
        <v>5</v>
      </c>
      <c r="F31" s="5"/>
      <c r="G31" s="8">
        <v>5</v>
      </c>
      <c r="H31" s="5"/>
      <c r="I31" s="5"/>
      <c r="J31" s="5"/>
      <c r="K31" s="8">
        <v>5</v>
      </c>
      <c r="L31" s="8">
        <v>5</v>
      </c>
      <c r="M31" s="16">
        <f t="shared" si="0"/>
        <v>0</v>
      </c>
      <c r="N31" s="5" t="s">
        <v>208</v>
      </c>
    </row>
    <row r="32" spans="1:14" x14ac:dyDescent="0.2">
      <c r="A32" s="5" t="s">
        <v>18</v>
      </c>
      <c r="B32" s="5" t="s">
        <v>233</v>
      </c>
      <c r="C32" s="5" t="s">
        <v>234</v>
      </c>
      <c r="D32" s="8">
        <v>27.9</v>
      </c>
      <c r="E32" s="8">
        <v>27.9</v>
      </c>
      <c r="F32" s="5"/>
      <c r="G32" s="8">
        <v>27.9</v>
      </c>
      <c r="H32" s="8">
        <v>27.9</v>
      </c>
      <c r="I32" s="5"/>
      <c r="J32" s="5"/>
      <c r="K32" s="8">
        <v>27.9</v>
      </c>
      <c r="L32" s="8">
        <v>27.9</v>
      </c>
      <c r="M32" s="16">
        <f t="shared" si="0"/>
        <v>0</v>
      </c>
      <c r="N32" s="5" t="s">
        <v>208</v>
      </c>
    </row>
    <row r="33" spans="1:14" x14ac:dyDescent="0.2">
      <c r="A33" s="5" t="s">
        <v>18</v>
      </c>
      <c r="B33" s="5" t="s">
        <v>233</v>
      </c>
      <c r="C33" s="5" t="s">
        <v>235</v>
      </c>
      <c r="D33" s="5"/>
      <c r="E33" s="8">
        <v>27.9</v>
      </c>
      <c r="F33" s="5"/>
      <c r="G33" s="8">
        <v>27.9</v>
      </c>
      <c r="H33" s="8">
        <v>27.9</v>
      </c>
      <c r="I33" s="8">
        <v>27.9</v>
      </c>
      <c r="J33" s="8">
        <v>27.9</v>
      </c>
      <c r="K33" s="8">
        <v>27.9</v>
      </c>
      <c r="L33" s="8">
        <v>27.9</v>
      </c>
      <c r="M33" s="16">
        <f t="shared" si="0"/>
        <v>0</v>
      </c>
      <c r="N33" s="5" t="s">
        <v>208</v>
      </c>
    </row>
    <row r="34" spans="1:14" x14ac:dyDescent="0.2">
      <c r="A34" s="5" t="s">
        <v>18</v>
      </c>
      <c r="B34" s="5" t="s">
        <v>233</v>
      </c>
      <c r="C34" s="5" t="s">
        <v>236</v>
      </c>
      <c r="D34" s="8">
        <v>8.9499999999999993</v>
      </c>
      <c r="E34" s="8">
        <v>8.9</v>
      </c>
      <c r="F34" s="5"/>
      <c r="G34" s="8">
        <v>8.9</v>
      </c>
      <c r="H34" s="8">
        <v>8.9</v>
      </c>
      <c r="I34" s="8">
        <v>8.9</v>
      </c>
      <c r="J34" s="8">
        <v>8.9</v>
      </c>
      <c r="K34" s="8">
        <v>8.9499999999999993</v>
      </c>
      <c r="L34" s="8">
        <v>8.9</v>
      </c>
      <c r="M34" s="16">
        <f t="shared" si="0"/>
        <v>-5.5865921787707773E-3</v>
      </c>
      <c r="N34" s="18" t="s">
        <v>212</v>
      </c>
    </row>
    <row r="35" spans="1:14" x14ac:dyDescent="0.2">
      <c r="A35" s="5" t="s">
        <v>18</v>
      </c>
      <c r="B35" s="5" t="s">
        <v>233</v>
      </c>
      <c r="C35" s="5" t="s">
        <v>237</v>
      </c>
      <c r="D35" s="8">
        <v>8.9</v>
      </c>
      <c r="E35" s="8">
        <v>8.9</v>
      </c>
      <c r="F35" s="5"/>
      <c r="G35" s="8">
        <v>8.9</v>
      </c>
      <c r="H35" s="8">
        <v>8.9</v>
      </c>
      <c r="I35" s="8">
        <v>8.9</v>
      </c>
      <c r="J35" s="8">
        <v>8.9</v>
      </c>
      <c r="K35" s="8">
        <v>8.9</v>
      </c>
      <c r="L35" s="8">
        <v>8.9</v>
      </c>
      <c r="M35" s="16">
        <f t="shared" si="0"/>
        <v>0</v>
      </c>
      <c r="N35" s="5" t="s">
        <v>208</v>
      </c>
    </row>
    <row r="36" spans="1:14" x14ac:dyDescent="0.2">
      <c r="A36" s="5" t="s">
        <v>18</v>
      </c>
      <c r="B36" s="5" t="s">
        <v>238</v>
      </c>
      <c r="C36" s="5" t="s">
        <v>239</v>
      </c>
      <c r="D36" s="5"/>
      <c r="E36" s="5"/>
      <c r="F36" s="5"/>
      <c r="G36" s="8">
        <v>25.2</v>
      </c>
      <c r="H36" s="5"/>
      <c r="I36" s="8">
        <v>25.2</v>
      </c>
      <c r="J36" s="8">
        <v>25.2</v>
      </c>
      <c r="K36" s="8">
        <v>25.2</v>
      </c>
      <c r="L36" s="8">
        <v>25.2</v>
      </c>
      <c r="M36" s="16">
        <f t="shared" si="0"/>
        <v>0</v>
      </c>
      <c r="N36" s="5" t="s">
        <v>208</v>
      </c>
    </row>
    <row r="37" spans="1:14" x14ac:dyDescent="0.2">
      <c r="A37" s="5" t="s">
        <v>18</v>
      </c>
      <c r="B37" s="5" t="s">
        <v>240</v>
      </c>
      <c r="C37" s="5" t="s">
        <v>241</v>
      </c>
      <c r="D37" s="8">
        <v>26</v>
      </c>
      <c r="E37" s="8">
        <v>26</v>
      </c>
      <c r="F37" s="5"/>
      <c r="G37" s="8">
        <v>26</v>
      </c>
      <c r="H37" s="8">
        <v>26</v>
      </c>
      <c r="I37" s="8">
        <v>26</v>
      </c>
      <c r="J37" s="8">
        <v>26</v>
      </c>
      <c r="K37" s="8">
        <v>26</v>
      </c>
      <c r="L37" s="8">
        <v>26</v>
      </c>
      <c r="M37" s="16">
        <f t="shared" si="0"/>
        <v>0</v>
      </c>
      <c r="N37" s="5" t="s">
        <v>208</v>
      </c>
    </row>
    <row r="38" spans="1:14" x14ac:dyDescent="0.2">
      <c r="A38" s="5" t="s">
        <v>23</v>
      </c>
      <c r="B38" s="5" t="s">
        <v>242</v>
      </c>
      <c r="C38" s="5" t="s">
        <v>243</v>
      </c>
      <c r="D38" s="8">
        <v>28.03</v>
      </c>
      <c r="E38" s="8">
        <v>28.03</v>
      </c>
      <c r="F38" s="5"/>
      <c r="G38" s="8">
        <v>28.03</v>
      </c>
      <c r="H38" s="8">
        <v>28.03</v>
      </c>
      <c r="I38" s="8">
        <v>28.03</v>
      </c>
      <c r="J38" s="5"/>
      <c r="K38" s="8">
        <v>28.03</v>
      </c>
      <c r="L38" s="8">
        <v>28.03</v>
      </c>
      <c r="M38" s="16">
        <f t="shared" si="0"/>
        <v>0</v>
      </c>
      <c r="N38" s="5" t="s">
        <v>208</v>
      </c>
    </row>
    <row r="39" spans="1:14" x14ac:dyDescent="0.2">
      <c r="A39" s="5" t="s">
        <v>23</v>
      </c>
      <c r="B39" s="5" t="s">
        <v>33</v>
      </c>
      <c r="C39" s="5" t="s">
        <v>34</v>
      </c>
      <c r="D39" s="8">
        <v>27.4</v>
      </c>
      <c r="E39" s="5"/>
      <c r="F39" s="5"/>
      <c r="G39" s="5"/>
      <c r="H39" s="8">
        <v>29.25</v>
      </c>
      <c r="I39" s="5"/>
      <c r="J39" s="5"/>
      <c r="K39" s="8">
        <v>27.4</v>
      </c>
      <c r="L39" s="8">
        <v>29.25</v>
      </c>
      <c r="M39" s="16">
        <f t="shared" si="0"/>
        <v>6.7518248175182594E-2</v>
      </c>
      <c r="N39" s="17" t="s">
        <v>22</v>
      </c>
    </row>
    <row r="40" spans="1:14" x14ac:dyDescent="0.2">
      <c r="A40" s="5" t="s">
        <v>23</v>
      </c>
      <c r="B40" s="5" t="s">
        <v>33</v>
      </c>
      <c r="C40" s="5" t="s">
        <v>244</v>
      </c>
      <c r="D40" s="8">
        <v>28.25</v>
      </c>
      <c r="E40" s="8">
        <v>28.25</v>
      </c>
      <c r="F40" s="5"/>
      <c r="G40" s="5"/>
      <c r="H40" s="8">
        <v>28.25</v>
      </c>
      <c r="I40" s="8">
        <v>28.25</v>
      </c>
      <c r="J40" s="5"/>
      <c r="K40" s="8">
        <v>28.25</v>
      </c>
      <c r="L40" s="8">
        <v>28.25</v>
      </c>
      <c r="M40" s="16">
        <f t="shared" si="0"/>
        <v>0</v>
      </c>
      <c r="N40" s="5" t="s">
        <v>208</v>
      </c>
    </row>
    <row r="41" spans="1:14" x14ac:dyDescent="0.2">
      <c r="A41" s="5" t="s">
        <v>23</v>
      </c>
      <c r="B41" s="5" t="s">
        <v>33</v>
      </c>
      <c r="C41" s="5" t="s">
        <v>245</v>
      </c>
      <c r="D41" s="5"/>
      <c r="E41" s="8">
        <v>7.85</v>
      </c>
      <c r="F41" s="5"/>
      <c r="G41" s="5"/>
      <c r="H41" s="8">
        <v>7.85</v>
      </c>
      <c r="I41" s="5"/>
      <c r="J41" s="5"/>
      <c r="K41" s="8">
        <v>7.85</v>
      </c>
      <c r="L41" s="8">
        <v>7.85</v>
      </c>
      <c r="M41" s="16">
        <f t="shared" si="0"/>
        <v>0</v>
      </c>
      <c r="N41" s="5" t="s">
        <v>208</v>
      </c>
    </row>
    <row r="42" spans="1:14" x14ac:dyDescent="0.2">
      <c r="A42" s="5" t="s">
        <v>23</v>
      </c>
      <c r="B42" s="5" t="s">
        <v>246</v>
      </c>
      <c r="C42" s="5" t="s">
        <v>247</v>
      </c>
      <c r="D42" s="5"/>
      <c r="E42" s="8">
        <v>2.5270000000000001</v>
      </c>
      <c r="F42" s="5"/>
      <c r="G42" s="5"/>
      <c r="H42" s="5"/>
      <c r="I42" s="8">
        <v>2.504</v>
      </c>
      <c r="J42" s="5"/>
      <c r="K42" s="8">
        <v>2.5270000000000001</v>
      </c>
      <c r="L42" s="8">
        <v>2.504</v>
      </c>
      <c r="M42" s="16">
        <f t="shared" si="0"/>
        <v>-9.101701622477254E-3</v>
      </c>
      <c r="N42" s="18" t="s">
        <v>212</v>
      </c>
    </row>
    <row r="43" spans="1:14" x14ac:dyDescent="0.2">
      <c r="A43" s="5" t="s">
        <v>23</v>
      </c>
      <c r="B43" s="5" t="s">
        <v>246</v>
      </c>
      <c r="C43" s="5" t="s">
        <v>248</v>
      </c>
      <c r="D43" s="5"/>
      <c r="E43" s="8">
        <v>0.84499999999999997</v>
      </c>
      <c r="F43" s="5"/>
      <c r="G43" s="5"/>
      <c r="H43" s="5"/>
      <c r="I43" s="8">
        <v>0.84499999999999997</v>
      </c>
      <c r="J43" s="8">
        <v>0.84489999999999998</v>
      </c>
      <c r="K43" s="8">
        <v>0.84499999999999997</v>
      </c>
      <c r="L43" s="8">
        <v>0.84489999999999998</v>
      </c>
      <c r="M43" s="16">
        <f t="shared" si="0"/>
        <v>-1.1834319526626835E-4</v>
      </c>
      <c r="N43" s="5" t="s">
        <v>208</v>
      </c>
    </row>
    <row r="44" spans="1:14" x14ac:dyDescent="0.2">
      <c r="A44" s="5" t="s">
        <v>23</v>
      </c>
      <c r="B44" s="5" t="s">
        <v>246</v>
      </c>
      <c r="C44" s="5" t="s">
        <v>249</v>
      </c>
      <c r="D44" s="5"/>
      <c r="E44" s="8">
        <v>0.84499999999999997</v>
      </c>
      <c r="F44" s="5"/>
      <c r="G44" s="5"/>
      <c r="H44" s="5"/>
      <c r="I44" s="8">
        <v>0.84499999999999997</v>
      </c>
      <c r="J44" s="5"/>
      <c r="K44" s="8">
        <v>0.84499999999999997</v>
      </c>
      <c r="L44" s="8">
        <v>0.84499999999999997</v>
      </c>
      <c r="M44" s="16">
        <f t="shared" si="0"/>
        <v>0</v>
      </c>
      <c r="N44" s="5" t="s">
        <v>208</v>
      </c>
    </row>
    <row r="45" spans="1:14" x14ac:dyDescent="0.2">
      <c r="A45" s="5" t="s">
        <v>23</v>
      </c>
      <c r="B45" s="5" t="s">
        <v>246</v>
      </c>
      <c r="C45" s="5" t="s">
        <v>250</v>
      </c>
      <c r="D45" s="5"/>
      <c r="E45" s="8">
        <v>0.84499999999999997</v>
      </c>
      <c r="F45" s="5"/>
      <c r="G45" s="5"/>
      <c r="H45" s="5"/>
      <c r="I45" s="8">
        <v>0.84499999999999997</v>
      </c>
      <c r="J45" s="5"/>
      <c r="K45" s="8">
        <v>0.84499999999999997</v>
      </c>
      <c r="L45" s="8">
        <v>0.84499999999999997</v>
      </c>
      <c r="M45" s="16">
        <f t="shared" si="0"/>
        <v>0</v>
      </c>
      <c r="N45" s="5" t="s">
        <v>208</v>
      </c>
    </row>
    <row r="46" spans="1:14" x14ac:dyDescent="0.2">
      <c r="A46" s="5" t="s">
        <v>23</v>
      </c>
      <c r="B46" s="5" t="s">
        <v>246</v>
      </c>
      <c r="C46" s="5" t="s">
        <v>251</v>
      </c>
      <c r="D46" s="5"/>
      <c r="E46" s="8">
        <v>0.72799999999999998</v>
      </c>
      <c r="F46" s="5"/>
      <c r="G46" s="5"/>
      <c r="H46" s="5"/>
      <c r="I46" s="8">
        <v>0.72799999999999998</v>
      </c>
      <c r="J46" s="5"/>
      <c r="K46" s="8">
        <v>0.72799999999999998</v>
      </c>
      <c r="L46" s="8">
        <v>0.72799999999999998</v>
      </c>
      <c r="M46" s="16">
        <f t="shared" si="0"/>
        <v>0</v>
      </c>
      <c r="N46" s="5" t="s">
        <v>208</v>
      </c>
    </row>
    <row r="47" spans="1:14" x14ac:dyDescent="0.2">
      <c r="A47" s="5" t="s">
        <v>23</v>
      </c>
      <c r="B47" s="5" t="s">
        <v>27</v>
      </c>
      <c r="C47" s="5" t="s">
        <v>252</v>
      </c>
      <c r="D47" s="8">
        <v>16.899999999999999</v>
      </c>
      <c r="E47" s="8">
        <v>16.899999999999999</v>
      </c>
      <c r="F47" s="5"/>
      <c r="G47" s="8">
        <v>16.899999999999999</v>
      </c>
      <c r="H47" s="8">
        <v>16.899999999999999</v>
      </c>
      <c r="I47" s="8">
        <v>16.899999999999999</v>
      </c>
      <c r="J47" s="8">
        <v>16.899999999999999</v>
      </c>
      <c r="K47" s="8">
        <v>16.899999999999999</v>
      </c>
      <c r="L47" s="8">
        <v>16.899999999999999</v>
      </c>
      <c r="M47" s="16">
        <f t="shared" si="0"/>
        <v>0</v>
      </c>
      <c r="N47" s="5" t="s">
        <v>208</v>
      </c>
    </row>
    <row r="48" spans="1:14" x14ac:dyDescent="0.2">
      <c r="A48" s="5" t="s">
        <v>23</v>
      </c>
      <c r="B48" s="5" t="s">
        <v>27</v>
      </c>
      <c r="C48" s="5" t="s">
        <v>68</v>
      </c>
      <c r="D48" s="8">
        <v>27.46</v>
      </c>
      <c r="E48" s="8">
        <v>27.46</v>
      </c>
      <c r="F48" s="5"/>
      <c r="G48" s="8">
        <v>28.66</v>
      </c>
      <c r="H48" s="8">
        <v>28.66</v>
      </c>
      <c r="I48" s="8">
        <v>28.66</v>
      </c>
      <c r="J48" s="8">
        <v>28.66</v>
      </c>
      <c r="K48" s="8">
        <v>27.46</v>
      </c>
      <c r="L48" s="8">
        <v>28.66</v>
      </c>
      <c r="M48" s="16">
        <f t="shared" si="0"/>
        <v>4.3699927166787944E-2</v>
      </c>
      <c r="N48" s="17" t="s">
        <v>22</v>
      </c>
    </row>
    <row r="49" spans="1:14" x14ac:dyDescent="0.2">
      <c r="A49" s="5" t="s">
        <v>23</v>
      </c>
      <c r="B49" s="5" t="s">
        <v>27</v>
      </c>
      <c r="C49" s="5" t="s">
        <v>28</v>
      </c>
      <c r="D49" s="5"/>
      <c r="E49" s="8">
        <v>18.96</v>
      </c>
      <c r="F49" s="5"/>
      <c r="G49" s="8">
        <v>18.96</v>
      </c>
      <c r="H49" s="8">
        <v>20.6</v>
      </c>
      <c r="I49" s="8">
        <v>20.6</v>
      </c>
      <c r="J49" s="5"/>
      <c r="K49" s="8">
        <v>18.96</v>
      </c>
      <c r="L49" s="8">
        <v>20.6</v>
      </c>
      <c r="M49" s="16">
        <f t="shared" si="0"/>
        <v>8.6497890295358593E-2</v>
      </c>
      <c r="N49" s="17" t="s">
        <v>22</v>
      </c>
    </row>
    <row r="50" spans="1:14" x14ac:dyDescent="0.2">
      <c r="A50" s="5" t="s">
        <v>23</v>
      </c>
      <c r="B50" s="5" t="s">
        <v>27</v>
      </c>
      <c r="C50" s="5" t="s">
        <v>253</v>
      </c>
      <c r="D50" s="8">
        <v>5.86</v>
      </c>
      <c r="E50" s="8">
        <v>5.86</v>
      </c>
      <c r="F50" s="5"/>
      <c r="G50" s="8">
        <v>5.86</v>
      </c>
      <c r="H50" s="8">
        <v>5.86</v>
      </c>
      <c r="I50" s="5"/>
      <c r="J50" s="5"/>
      <c r="K50" s="8">
        <v>5.86</v>
      </c>
      <c r="L50" s="8">
        <v>5.86</v>
      </c>
      <c r="M50" s="16">
        <f t="shared" si="0"/>
        <v>0</v>
      </c>
      <c r="N50" s="5" t="s">
        <v>208</v>
      </c>
    </row>
    <row r="51" spans="1:14" x14ac:dyDescent="0.2">
      <c r="A51" s="5" t="s">
        <v>23</v>
      </c>
      <c r="B51" s="5" t="s">
        <v>27</v>
      </c>
      <c r="C51" s="5" t="s">
        <v>51</v>
      </c>
      <c r="D51" s="8">
        <v>34.6</v>
      </c>
      <c r="E51" s="5"/>
      <c r="F51" s="5"/>
      <c r="G51" s="5"/>
      <c r="H51" s="8">
        <v>36.4</v>
      </c>
      <c r="I51" s="8">
        <v>36.4</v>
      </c>
      <c r="J51" s="8">
        <v>36.4</v>
      </c>
      <c r="K51" s="8">
        <v>34.6</v>
      </c>
      <c r="L51" s="8">
        <v>36.4</v>
      </c>
      <c r="M51" s="16">
        <f t="shared" si="0"/>
        <v>5.2023121387283044E-2</v>
      </c>
      <c r="N51" s="17" t="s">
        <v>22</v>
      </c>
    </row>
    <row r="52" spans="1:14" x14ac:dyDescent="0.2">
      <c r="A52" s="5" t="s">
        <v>23</v>
      </c>
      <c r="B52" s="5" t="s">
        <v>27</v>
      </c>
      <c r="C52" s="5" t="s">
        <v>42</v>
      </c>
      <c r="D52" s="8">
        <v>5.56</v>
      </c>
      <c r="E52" s="8">
        <v>5.56</v>
      </c>
      <c r="F52" s="5"/>
      <c r="G52" s="8">
        <v>5.56</v>
      </c>
      <c r="H52" s="8">
        <v>5.56</v>
      </c>
      <c r="I52" s="8">
        <v>5.86</v>
      </c>
      <c r="J52" s="8">
        <v>5.86</v>
      </c>
      <c r="K52" s="8">
        <v>5.56</v>
      </c>
      <c r="L52" s="8">
        <v>5.86</v>
      </c>
      <c r="M52" s="16">
        <f t="shared" si="0"/>
        <v>5.3956834532374209E-2</v>
      </c>
      <c r="N52" s="17" t="s">
        <v>22</v>
      </c>
    </row>
    <row r="53" spans="1:14" x14ac:dyDescent="0.2">
      <c r="A53" s="5" t="s">
        <v>23</v>
      </c>
      <c r="B53" s="5" t="s">
        <v>65</v>
      </c>
      <c r="C53" s="5" t="s">
        <v>254</v>
      </c>
      <c r="D53" s="8">
        <v>17.73</v>
      </c>
      <c r="E53" s="8">
        <v>17.73</v>
      </c>
      <c r="F53" s="5"/>
      <c r="G53" s="8">
        <v>17.73</v>
      </c>
      <c r="H53" s="8">
        <v>17.73</v>
      </c>
      <c r="I53" s="5"/>
      <c r="J53" s="5"/>
      <c r="K53" s="8">
        <v>17.73</v>
      </c>
      <c r="L53" s="8">
        <v>17.73</v>
      </c>
      <c r="M53" s="16">
        <f t="shared" si="0"/>
        <v>0</v>
      </c>
      <c r="N53" s="5" t="s">
        <v>208</v>
      </c>
    </row>
    <row r="54" spans="1:14" x14ac:dyDescent="0.2">
      <c r="A54" s="5" t="s">
        <v>23</v>
      </c>
      <c r="B54" s="5" t="s">
        <v>65</v>
      </c>
      <c r="C54" s="5" t="s">
        <v>255</v>
      </c>
      <c r="D54" s="5"/>
      <c r="E54" s="5"/>
      <c r="F54" s="5"/>
      <c r="G54" s="5"/>
      <c r="H54" s="5"/>
      <c r="I54" s="8">
        <v>17.73</v>
      </c>
      <c r="J54" s="8">
        <v>17.73</v>
      </c>
      <c r="K54" s="8">
        <v>17.73</v>
      </c>
      <c r="L54" s="8">
        <v>17.73</v>
      </c>
      <c r="M54" s="16">
        <f t="shared" si="0"/>
        <v>0</v>
      </c>
      <c r="N54" s="5" t="s">
        <v>208</v>
      </c>
    </row>
    <row r="55" spans="1:14" x14ac:dyDescent="0.2">
      <c r="A55" s="5" t="s">
        <v>23</v>
      </c>
      <c r="B55" s="5" t="s">
        <v>65</v>
      </c>
      <c r="C55" s="5" t="s">
        <v>78</v>
      </c>
      <c r="D55" s="8">
        <v>84.7</v>
      </c>
      <c r="E55" s="8">
        <v>84.7</v>
      </c>
      <c r="F55" s="5"/>
      <c r="G55" s="8">
        <v>88.09</v>
      </c>
      <c r="H55" s="8">
        <v>88.09</v>
      </c>
      <c r="I55" s="8">
        <v>88.09</v>
      </c>
      <c r="J55" s="8">
        <v>88.09</v>
      </c>
      <c r="K55" s="8">
        <v>84.7</v>
      </c>
      <c r="L55" s="8">
        <v>88.09</v>
      </c>
      <c r="M55" s="16">
        <f t="shared" si="0"/>
        <v>4.0023612750885507E-2</v>
      </c>
      <c r="N55" s="17" t="s">
        <v>22</v>
      </c>
    </row>
    <row r="56" spans="1:14" x14ac:dyDescent="0.2">
      <c r="A56" s="5" t="s">
        <v>23</v>
      </c>
      <c r="B56" s="5" t="s">
        <v>65</v>
      </c>
      <c r="C56" s="5" t="s">
        <v>66</v>
      </c>
      <c r="D56" s="8">
        <v>10.97</v>
      </c>
      <c r="E56" s="8">
        <v>10.97</v>
      </c>
      <c r="F56" s="5"/>
      <c r="G56" s="8">
        <v>11.48</v>
      </c>
      <c r="H56" s="8">
        <v>11.48</v>
      </c>
      <c r="I56" s="5"/>
      <c r="J56" s="5"/>
      <c r="K56" s="8">
        <v>10.97</v>
      </c>
      <c r="L56" s="8">
        <v>11.48</v>
      </c>
      <c r="M56" s="16">
        <f t="shared" si="0"/>
        <v>4.6490428441203324E-2</v>
      </c>
      <c r="N56" s="17" t="s">
        <v>22</v>
      </c>
    </row>
    <row r="57" spans="1:14" x14ac:dyDescent="0.2">
      <c r="A57" s="5" t="s">
        <v>23</v>
      </c>
      <c r="B57" s="5" t="s">
        <v>65</v>
      </c>
      <c r="C57" s="5" t="s">
        <v>256</v>
      </c>
      <c r="D57" s="5"/>
      <c r="E57" s="5"/>
      <c r="F57" s="5"/>
      <c r="G57" s="5"/>
      <c r="H57" s="5"/>
      <c r="I57" s="8">
        <v>11.48</v>
      </c>
      <c r="J57" s="8">
        <v>11.48</v>
      </c>
      <c r="K57" s="8">
        <v>11.48</v>
      </c>
      <c r="L57" s="8">
        <v>11.48</v>
      </c>
      <c r="M57" s="16">
        <f t="shared" si="0"/>
        <v>0</v>
      </c>
      <c r="N57" s="5" t="s">
        <v>208</v>
      </c>
    </row>
    <row r="58" spans="1:14" x14ac:dyDescent="0.2">
      <c r="A58" s="5" t="s">
        <v>23</v>
      </c>
      <c r="B58" s="5" t="s">
        <v>65</v>
      </c>
      <c r="C58" s="5" t="s">
        <v>257</v>
      </c>
      <c r="D58" s="5"/>
      <c r="E58" s="5"/>
      <c r="F58" s="5"/>
      <c r="G58" s="8">
        <v>25</v>
      </c>
      <c r="H58" s="8">
        <v>25</v>
      </c>
      <c r="I58" s="5"/>
      <c r="J58" s="5"/>
      <c r="K58" s="8">
        <v>25</v>
      </c>
      <c r="L58" s="8">
        <v>25</v>
      </c>
      <c r="M58" s="16">
        <f t="shared" si="0"/>
        <v>0</v>
      </c>
      <c r="N58" s="5" t="s">
        <v>208</v>
      </c>
    </row>
    <row r="59" spans="1:14" x14ac:dyDescent="0.2">
      <c r="A59" s="5" t="s">
        <v>23</v>
      </c>
      <c r="B59" s="5" t="s">
        <v>65</v>
      </c>
      <c r="C59" s="5" t="s">
        <v>258</v>
      </c>
      <c r="D59" s="5"/>
      <c r="E59" s="5"/>
      <c r="F59" s="5"/>
      <c r="G59" s="8">
        <v>11.29</v>
      </c>
      <c r="H59" s="8">
        <v>11.29</v>
      </c>
      <c r="I59" s="8">
        <v>11.29</v>
      </c>
      <c r="J59" s="5"/>
      <c r="K59" s="8">
        <v>11.29</v>
      </c>
      <c r="L59" s="8">
        <v>11.29</v>
      </c>
      <c r="M59" s="16">
        <f t="shared" si="0"/>
        <v>0</v>
      </c>
      <c r="N59" s="5" t="s">
        <v>208</v>
      </c>
    </row>
    <row r="60" spans="1:14" x14ac:dyDescent="0.2">
      <c r="A60" s="5" t="s">
        <v>23</v>
      </c>
      <c r="B60" s="5" t="s">
        <v>259</v>
      </c>
      <c r="C60" s="5" t="s">
        <v>260</v>
      </c>
      <c r="D60" s="5"/>
      <c r="E60" s="5"/>
      <c r="F60" s="5"/>
      <c r="G60" s="8">
        <v>42</v>
      </c>
      <c r="H60" s="8">
        <v>42</v>
      </c>
      <c r="I60" s="8">
        <v>41.5</v>
      </c>
      <c r="J60" s="8">
        <v>41.5</v>
      </c>
      <c r="K60" s="8">
        <v>42</v>
      </c>
      <c r="L60" s="8">
        <v>41.5</v>
      </c>
      <c r="M60" s="16">
        <f t="shared" si="0"/>
        <v>-1.1904761904761862E-2</v>
      </c>
      <c r="N60" s="18" t="s">
        <v>212</v>
      </c>
    </row>
    <row r="61" spans="1:14" x14ac:dyDescent="0.2">
      <c r="A61" s="5" t="s">
        <v>23</v>
      </c>
      <c r="B61" s="5" t="s">
        <v>259</v>
      </c>
      <c r="C61" s="5" t="s">
        <v>261</v>
      </c>
      <c r="D61" s="5"/>
      <c r="E61" s="5"/>
      <c r="F61" s="5"/>
      <c r="G61" s="8">
        <v>18.5</v>
      </c>
      <c r="H61" s="8">
        <v>18.5</v>
      </c>
      <c r="I61" s="8">
        <v>18.5</v>
      </c>
      <c r="J61" s="5"/>
      <c r="K61" s="8">
        <v>18.5</v>
      </c>
      <c r="L61" s="8">
        <v>18.5</v>
      </c>
      <c r="M61" s="16">
        <f t="shared" si="0"/>
        <v>0</v>
      </c>
      <c r="N61" s="5" t="s">
        <v>208</v>
      </c>
    </row>
    <row r="62" spans="1:14" x14ac:dyDescent="0.2">
      <c r="A62" s="5" t="s">
        <v>23</v>
      </c>
      <c r="B62" s="5" t="s">
        <v>259</v>
      </c>
      <c r="C62" s="5" t="s">
        <v>262</v>
      </c>
      <c r="D62" s="5"/>
      <c r="E62" s="5"/>
      <c r="F62" s="5"/>
      <c r="G62" s="5"/>
      <c r="H62" s="5"/>
      <c r="I62" s="8">
        <v>19</v>
      </c>
      <c r="J62" s="8">
        <v>19</v>
      </c>
      <c r="K62" s="8">
        <v>19</v>
      </c>
      <c r="L62" s="8">
        <v>19</v>
      </c>
      <c r="M62" s="16">
        <f t="shared" si="0"/>
        <v>0</v>
      </c>
      <c r="N62" s="5" t="s">
        <v>208</v>
      </c>
    </row>
    <row r="63" spans="1:14" x14ac:dyDescent="0.2">
      <c r="A63" s="5" t="s">
        <v>23</v>
      </c>
      <c r="B63" s="5" t="s">
        <v>36</v>
      </c>
      <c r="C63" s="5" t="s">
        <v>94</v>
      </c>
      <c r="D63" s="8">
        <v>11.02</v>
      </c>
      <c r="E63" s="8">
        <v>11.02</v>
      </c>
      <c r="F63" s="5"/>
      <c r="G63" s="5"/>
      <c r="H63" s="8">
        <v>11.42</v>
      </c>
      <c r="I63" s="8">
        <v>11.42</v>
      </c>
      <c r="J63" s="8">
        <v>11.42</v>
      </c>
      <c r="K63" s="8">
        <v>11.02</v>
      </c>
      <c r="L63" s="8">
        <v>11.42</v>
      </c>
      <c r="M63" s="16">
        <f t="shared" si="0"/>
        <v>3.6297640653357499E-2</v>
      </c>
      <c r="N63" s="17" t="s">
        <v>22</v>
      </c>
    </row>
    <row r="64" spans="1:14" x14ac:dyDescent="0.2">
      <c r="A64" s="5" t="s">
        <v>23</v>
      </c>
      <c r="B64" s="5" t="s">
        <v>36</v>
      </c>
      <c r="C64" s="5" t="s">
        <v>263</v>
      </c>
      <c r="D64" s="5"/>
      <c r="E64" s="5"/>
      <c r="F64" s="5"/>
      <c r="G64" s="5"/>
      <c r="H64" s="8">
        <v>15.12</v>
      </c>
      <c r="I64" s="8">
        <v>15.12</v>
      </c>
      <c r="J64" s="5"/>
      <c r="K64" s="8">
        <v>15.12</v>
      </c>
      <c r="L64" s="8">
        <v>15.12</v>
      </c>
      <c r="M64" s="16">
        <f t="shared" si="0"/>
        <v>0</v>
      </c>
      <c r="N64" s="5" t="s">
        <v>208</v>
      </c>
    </row>
    <row r="65" spans="1:14" x14ac:dyDescent="0.2">
      <c r="A65" s="5" t="s">
        <v>23</v>
      </c>
      <c r="B65" s="5" t="s">
        <v>36</v>
      </c>
      <c r="C65" s="5" t="s">
        <v>264</v>
      </c>
      <c r="D65" s="5"/>
      <c r="E65" s="8">
        <v>14.12</v>
      </c>
      <c r="F65" s="5"/>
      <c r="G65" s="5"/>
      <c r="H65" s="8">
        <v>14.12</v>
      </c>
      <c r="I65" s="5"/>
      <c r="J65" s="5"/>
      <c r="K65" s="8">
        <v>14.12</v>
      </c>
      <c r="L65" s="8">
        <v>14.12</v>
      </c>
      <c r="M65" s="16">
        <f t="shared" si="0"/>
        <v>0</v>
      </c>
      <c r="N65" s="5" t="s">
        <v>208</v>
      </c>
    </row>
    <row r="66" spans="1:14" x14ac:dyDescent="0.2">
      <c r="A66" s="5" t="s">
        <v>23</v>
      </c>
      <c r="B66" s="5" t="s">
        <v>36</v>
      </c>
      <c r="C66" s="5" t="s">
        <v>265</v>
      </c>
      <c r="D66" s="5"/>
      <c r="E66" s="5"/>
      <c r="F66" s="5"/>
      <c r="G66" s="5"/>
      <c r="H66" s="8">
        <v>9.02</v>
      </c>
      <c r="I66" s="8">
        <v>9.02</v>
      </c>
      <c r="J66" s="8">
        <v>9.02</v>
      </c>
      <c r="K66" s="8">
        <v>9.02</v>
      </c>
      <c r="L66" s="8">
        <v>9.02</v>
      </c>
      <c r="M66" s="16">
        <f t="shared" si="0"/>
        <v>0</v>
      </c>
      <c r="N66" s="5" t="s">
        <v>208</v>
      </c>
    </row>
    <row r="67" spans="1:14" x14ac:dyDescent="0.2">
      <c r="A67" s="5" t="s">
        <v>23</v>
      </c>
      <c r="B67" s="5" t="s">
        <v>36</v>
      </c>
      <c r="C67" s="5" t="s">
        <v>154</v>
      </c>
      <c r="D67" s="8">
        <v>7.47</v>
      </c>
      <c r="E67" s="8">
        <v>7.47</v>
      </c>
      <c r="F67" s="5"/>
      <c r="G67" s="5"/>
      <c r="H67" s="8">
        <v>7.48</v>
      </c>
      <c r="I67" s="5"/>
      <c r="J67" s="5"/>
      <c r="K67" s="8">
        <v>7.47</v>
      </c>
      <c r="L67" s="8">
        <v>7.48</v>
      </c>
      <c r="M67" s="16">
        <f t="shared" si="0"/>
        <v>1.3386880856760541E-3</v>
      </c>
      <c r="N67" s="17" t="s">
        <v>22</v>
      </c>
    </row>
    <row r="68" spans="1:14" x14ac:dyDescent="0.2">
      <c r="A68" s="5" t="s">
        <v>23</v>
      </c>
      <c r="B68" s="5" t="s">
        <v>36</v>
      </c>
      <c r="C68" s="5" t="s">
        <v>37</v>
      </c>
      <c r="D68" s="8">
        <v>15.1</v>
      </c>
      <c r="E68" s="5"/>
      <c r="F68" s="5"/>
      <c r="G68" s="5"/>
      <c r="H68" s="8">
        <v>16.100000000000001</v>
      </c>
      <c r="I68" s="8">
        <v>16.100000000000001</v>
      </c>
      <c r="J68" s="5"/>
      <c r="K68" s="8">
        <v>15.1</v>
      </c>
      <c r="L68" s="8">
        <v>16.100000000000001</v>
      </c>
      <c r="M68" s="16">
        <f t="shared" ref="M68:M131" si="1">IFERROR(L68/K68-1,0)</f>
        <v>6.6225165562914023E-2</v>
      </c>
      <c r="N68" s="17" t="s">
        <v>22</v>
      </c>
    </row>
    <row r="69" spans="1:14" x14ac:dyDescent="0.2">
      <c r="A69" s="5" t="s">
        <v>23</v>
      </c>
      <c r="B69" s="5" t="s">
        <v>36</v>
      </c>
      <c r="C69" s="5" t="s">
        <v>106</v>
      </c>
      <c r="D69" s="5"/>
      <c r="E69" s="8">
        <v>17.63</v>
      </c>
      <c r="F69" s="5"/>
      <c r="G69" s="5"/>
      <c r="H69" s="8">
        <v>18.03</v>
      </c>
      <c r="I69" s="5"/>
      <c r="J69" s="5"/>
      <c r="K69" s="8">
        <v>17.63</v>
      </c>
      <c r="L69" s="8">
        <v>18.03</v>
      </c>
      <c r="M69" s="16">
        <f t="shared" si="1"/>
        <v>2.2688598979013097E-2</v>
      </c>
      <c r="N69" s="17" t="s">
        <v>22</v>
      </c>
    </row>
    <row r="70" spans="1:14" x14ac:dyDescent="0.2">
      <c r="A70" s="5" t="s">
        <v>23</v>
      </c>
      <c r="B70" s="5" t="s">
        <v>36</v>
      </c>
      <c r="C70" s="5" t="s">
        <v>84</v>
      </c>
      <c r="D70" s="8">
        <v>6.78</v>
      </c>
      <c r="E70" s="8">
        <v>6.78</v>
      </c>
      <c r="F70" s="5"/>
      <c r="G70" s="5"/>
      <c r="H70" s="8">
        <v>7.03</v>
      </c>
      <c r="I70" s="8">
        <v>7.03</v>
      </c>
      <c r="J70" s="8">
        <v>7.03</v>
      </c>
      <c r="K70" s="8">
        <v>6.78</v>
      </c>
      <c r="L70" s="8">
        <v>7.03</v>
      </c>
      <c r="M70" s="16">
        <f t="shared" si="1"/>
        <v>3.6873156342182911E-2</v>
      </c>
      <c r="N70" s="17" t="s">
        <v>22</v>
      </c>
    </row>
    <row r="71" spans="1:14" x14ac:dyDescent="0.2">
      <c r="A71" s="5" t="s">
        <v>23</v>
      </c>
      <c r="B71" s="5" t="s">
        <v>36</v>
      </c>
      <c r="C71" s="5" t="s">
        <v>266</v>
      </c>
      <c r="D71" s="5"/>
      <c r="E71" s="8">
        <v>6.63</v>
      </c>
      <c r="F71" s="5"/>
      <c r="G71" s="5"/>
      <c r="H71" s="8">
        <v>6.63</v>
      </c>
      <c r="I71" s="5"/>
      <c r="J71" s="5"/>
      <c r="K71" s="8">
        <v>6.63</v>
      </c>
      <c r="L71" s="8">
        <v>6.63</v>
      </c>
      <c r="M71" s="16">
        <f t="shared" si="1"/>
        <v>0</v>
      </c>
      <c r="N71" s="5" t="s">
        <v>208</v>
      </c>
    </row>
    <row r="72" spans="1:14" x14ac:dyDescent="0.2">
      <c r="A72" s="5" t="s">
        <v>23</v>
      </c>
      <c r="B72" s="5" t="s">
        <v>36</v>
      </c>
      <c r="C72" s="5" t="s">
        <v>70</v>
      </c>
      <c r="D72" s="8">
        <v>7.15</v>
      </c>
      <c r="E72" s="8">
        <v>7.46</v>
      </c>
      <c r="F72" s="5"/>
      <c r="G72" s="5"/>
      <c r="H72" s="8">
        <v>7.46</v>
      </c>
      <c r="I72" s="5"/>
      <c r="J72" s="5"/>
      <c r="K72" s="8">
        <v>7.15</v>
      </c>
      <c r="L72" s="8">
        <v>7.46</v>
      </c>
      <c r="M72" s="16">
        <f t="shared" si="1"/>
        <v>4.3356643356643243E-2</v>
      </c>
      <c r="N72" s="17" t="s">
        <v>22</v>
      </c>
    </row>
    <row r="73" spans="1:14" x14ac:dyDescent="0.2">
      <c r="A73" s="5" t="s">
        <v>23</v>
      </c>
      <c r="B73" s="5" t="s">
        <v>36</v>
      </c>
      <c r="C73" s="5" t="s">
        <v>104</v>
      </c>
      <c r="D73" s="8">
        <v>35.49</v>
      </c>
      <c r="E73" s="8">
        <v>35.49</v>
      </c>
      <c r="F73" s="5"/>
      <c r="G73" s="5"/>
      <c r="H73" s="8">
        <v>36.35</v>
      </c>
      <c r="I73" s="5"/>
      <c r="J73" s="5"/>
      <c r="K73" s="8">
        <v>35.49</v>
      </c>
      <c r="L73" s="8">
        <v>36.35</v>
      </c>
      <c r="M73" s="16">
        <f t="shared" si="1"/>
        <v>2.423217807833189E-2</v>
      </c>
      <c r="N73" s="17" t="s">
        <v>22</v>
      </c>
    </row>
    <row r="74" spans="1:14" x14ac:dyDescent="0.2">
      <c r="A74" s="5" t="s">
        <v>23</v>
      </c>
      <c r="B74" s="5" t="s">
        <v>36</v>
      </c>
      <c r="C74" s="5" t="s">
        <v>86</v>
      </c>
      <c r="D74" s="8">
        <v>2.72</v>
      </c>
      <c r="E74" s="8">
        <v>2.72</v>
      </c>
      <c r="F74" s="5"/>
      <c r="G74" s="5"/>
      <c r="H74" s="8">
        <v>2.82</v>
      </c>
      <c r="I74" s="8">
        <v>2.82</v>
      </c>
      <c r="J74" s="8">
        <v>2.82</v>
      </c>
      <c r="K74" s="8">
        <v>2.72</v>
      </c>
      <c r="L74" s="8">
        <v>2.82</v>
      </c>
      <c r="M74" s="16">
        <f t="shared" si="1"/>
        <v>3.6764705882352811E-2</v>
      </c>
      <c r="N74" s="17" t="s">
        <v>22</v>
      </c>
    </row>
    <row r="75" spans="1:14" x14ac:dyDescent="0.2">
      <c r="A75" s="5" t="s">
        <v>23</v>
      </c>
      <c r="B75" s="5" t="s">
        <v>36</v>
      </c>
      <c r="C75" s="5" t="s">
        <v>137</v>
      </c>
      <c r="D75" s="8">
        <v>9.7100000000000009</v>
      </c>
      <c r="E75" s="8">
        <v>9.7100000000000009</v>
      </c>
      <c r="F75" s="5"/>
      <c r="G75" s="5"/>
      <c r="H75" s="8">
        <v>9.7799999999999994</v>
      </c>
      <c r="I75" s="5"/>
      <c r="J75" s="5"/>
      <c r="K75" s="8">
        <v>9.7100000000000009</v>
      </c>
      <c r="L75" s="8">
        <v>9.7799999999999994</v>
      </c>
      <c r="M75" s="16">
        <f t="shared" si="1"/>
        <v>7.2090628218330899E-3</v>
      </c>
      <c r="N75" s="17" t="s">
        <v>22</v>
      </c>
    </row>
    <row r="76" spans="1:14" x14ac:dyDescent="0.2">
      <c r="A76" s="5" t="s">
        <v>23</v>
      </c>
      <c r="B76" s="5" t="s">
        <v>267</v>
      </c>
      <c r="C76" s="5" t="s">
        <v>268</v>
      </c>
      <c r="D76" s="5"/>
      <c r="E76" s="5"/>
      <c r="F76" s="5"/>
      <c r="G76" s="5"/>
      <c r="H76" s="5"/>
      <c r="I76" s="8">
        <v>27</v>
      </c>
      <c r="J76" s="8">
        <v>27</v>
      </c>
      <c r="K76" s="8">
        <v>27</v>
      </c>
      <c r="L76" s="8">
        <v>27</v>
      </c>
      <c r="M76" s="16">
        <f t="shared" si="1"/>
        <v>0</v>
      </c>
      <c r="N76" s="5" t="s">
        <v>208</v>
      </c>
    </row>
    <row r="77" spans="1:14" x14ac:dyDescent="0.2">
      <c r="A77" s="5" t="s">
        <v>23</v>
      </c>
      <c r="B77" s="5" t="s">
        <v>44</v>
      </c>
      <c r="C77" s="5" t="s">
        <v>129</v>
      </c>
      <c r="D77" s="8">
        <v>12.56</v>
      </c>
      <c r="E77" s="8">
        <v>12.56</v>
      </c>
      <c r="F77" s="5"/>
      <c r="G77" s="5"/>
      <c r="H77" s="5"/>
      <c r="I77" s="8">
        <v>12.72</v>
      </c>
      <c r="J77" s="8">
        <v>12.72</v>
      </c>
      <c r="K77" s="8">
        <v>12.56</v>
      </c>
      <c r="L77" s="8">
        <v>12.72</v>
      </c>
      <c r="M77" s="16">
        <f t="shared" si="1"/>
        <v>1.2738853503184711E-2</v>
      </c>
      <c r="N77" s="17" t="s">
        <v>22</v>
      </c>
    </row>
    <row r="78" spans="1:14" x14ac:dyDescent="0.2">
      <c r="A78" s="5" t="s">
        <v>23</v>
      </c>
      <c r="B78" s="5" t="s">
        <v>44</v>
      </c>
      <c r="C78" s="5" t="s">
        <v>269</v>
      </c>
      <c r="D78" s="8">
        <v>4.8600000000000003</v>
      </c>
      <c r="E78" s="8">
        <v>4.8600000000000003</v>
      </c>
      <c r="F78" s="5"/>
      <c r="G78" s="5"/>
      <c r="H78" s="5"/>
      <c r="I78" s="5"/>
      <c r="J78" s="5"/>
      <c r="K78" s="8">
        <v>4.8600000000000003</v>
      </c>
      <c r="L78" s="8">
        <v>4.8600000000000003</v>
      </c>
      <c r="M78" s="16">
        <f t="shared" si="1"/>
        <v>0</v>
      </c>
      <c r="N78" s="5" t="s">
        <v>208</v>
      </c>
    </row>
    <row r="79" spans="1:14" x14ac:dyDescent="0.2">
      <c r="A79" s="5" t="s">
        <v>23</v>
      </c>
      <c r="B79" s="5" t="s">
        <v>44</v>
      </c>
      <c r="C79" s="5" t="s">
        <v>60</v>
      </c>
      <c r="D79" s="8">
        <v>20.78</v>
      </c>
      <c r="E79" s="5"/>
      <c r="F79" s="5"/>
      <c r="G79" s="5"/>
      <c r="H79" s="5"/>
      <c r="I79" s="5"/>
      <c r="J79" s="8">
        <v>21.78</v>
      </c>
      <c r="K79" s="8">
        <v>20.78</v>
      </c>
      <c r="L79" s="8">
        <v>21.78</v>
      </c>
      <c r="M79" s="16">
        <f t="shared" si="1"/>
        <v>4.8123195380173289E-2</v>
      </c>
      <c r="N79" s="17" t="s">
        <v>22</v>
      </c>
    </row>
    <row r="80" spans="1:14" x14ac:dyDescent="0.2">
      <c r="A80" s="5" t="s">
        <v>23</v>
      </c>
      <c r="B80" s="5" t="s">
        <v>44</v>
      </c>
      <c r="C80" s="5" t="s">
        <v>156</v>
      </c>
      <c r="D80" s="8">
        <v>24.43</v>
      </c>
      <c r="E80" s="8">
        <v>24.46</v>
      </c>
      <c r="F80" s="5"/>
      <c r="G80" s="5"/>
      <c r="H80" s="5"/>
      <c r="I80" s="5"/>
      <c r="J80" s="5"/>
      <c r="K80" s="8">
        <v>24.43</v>
      </c>
      <c r="L80" s="8">
        <v>24.46</v>
      </c>
      <c r="M80" s="16">
        <f t="shared" si="1"/>
        <v>1.2279983626688473E-3</v>
      </c>
      <c r="N80" s="17" t="s">
        <v>22</v>
      </c>
    </row>
    <row r="81" spans="1:14" x14ac:dyDescent="0.2">
      <c r="A81" s="5" t="s">
        <v>23</v>
      </c>
      <c r="B81" s="5" t="s">
        <v>44</v>
      </c>
      <c r="C81" s="5" t="s">
        <v>123</v>
      </c>
      <c r="D81" s="8">
        <v>118.16500000000001</v>
      </c>
      <c r="E81" s="8">
        <v>116.18</v>
      </c>
      <c r="F81" s="5"/>
      <c r="G81" s="5"/>
      <c r="H81" s="5"/>
      <c r="I81" s="8">
        <v>120.15</v>
      </c>
      <c r="J81" s="8">
        <v>120.15</v>
      </c>
      <c r="K81" s="8">
        <v>118.16500000000001</v>
      </c>
      <c r="L81" s="8">
        <v>120.15</v>
      </c>
      <c r="M81" s="16">
        <f t="shared" si="1"/>
        <v>1.6798544408242799E-2</v>
      </c>
      <c r="N81" s="17" t="s">
        <v>22</v>
      </c>
    </row>
    <row r="82" spans="1:14" x14ac:dyDescent="0.2">
      <c r="A82" s="5" t="s">
        <v>23</v>
      </c>
      <c r="B82" s="5" t="s">
        <v>44</v>
      </c>
      <c r="C82" s="5" t="s">
        <v>270</v>
      </c>
      <c r="D82" s="8">
        <v>20.88</v>
      </c>
      <c r="E82" s="8">
        <v>20.88</v>
      </c>
      <c r="F82" s="5"/>
      <c r="G82" s="5"/>
      <c r="H82" s="5"/>
      <c r="I82" s="8">
        <v>20.88</v>
      </c>
      <c r="J82" s="5"/>
      <c r="K82" s="8">
        <v>20.88</v>
      </c>
      <c r="L82" s="8">
        <v>20.88</v>
      </c>
      <c r="M82" s="16">
        <f t="shared" si="1"/>
        <v>0</v>
      </c>
      <c r="N82" s="5" t="s">
        <v>208</v>
      </c>
    </row>
    <row r="83" spans="1:14" x14ac:dyDescent="0.2">
      <c r="A83" s="5" t="s">
        <v>23</v>
      </c>
      <c r="B83" s="5" t="s">
        <v>44</v>
      </c>
      <c r="C83" s="5" t="s">
        <v>271</v>
      </c>
      <c r="D83" s="8">
        <v>20.88</v>
      </c>
      <c r="E83" s="8">
        <v>20.88</v>
      </c>
      <c r="F83" s="5"/>
      <c r="G83" s="5"/>
      <c r="H83" s="5"/>
      <c r="I83" s="8">
        <v>20.88</v>
      </c>
      <c r="J83" s="5"/>
      <c r="K83" s="8">
        <v>20.88</v>
      </c>
      <c r="L83" s="8">
        <v>20.88</v>
      </c>
      <c r="M83" s="16">
        <f t="shared" si="1"/>
        <v>0</v>
      </c>
      <c r="N83" s="5" t="s">
        <v>208</v>
      </c>
    </row>
    <row r="84" spans="1:14" x14ac:dyDescent="0.2">
      <c r="A84" s="5" t="s">
        <v>23</v>
      </c>
      <c r="B84" s="5" t="s">
        <v>44</v>
      </c>
      <c r="C84" s="5" t="s">
        <v>72</v>
      </c>
      <c r="D84" s="8">
        <v>23.84</v>
      </c>
      <c r="E84" s="5"/>
      <c r="F84" s="5"/>
      <c r="G84" s="5"/>
      <c r="H84" s="5"/>
      <c r="I84" s="5"/>
      <c r="J84" s="8">
        <v>24.84</v>
      </c>
      <c r="K84" s="8">
        <v>23.84</v>
      </c>
      <c r="L84" s="8">
        <v>24.84</v>
      </c>
      <c r="M84" s="16">
        <f t="shared" si="1"/>
        <v>4.1946308724832182E-2</v>
      </c>
      <c r="N84" s="17" t="s">
        <v>22</v>
      </c>
    </row>
    <row r="85" spans="1:14" x14ac:dyDescent="0.2">
      <c r="A85" s="5" t="s">
        <v>23</v>
      </c>
      <c r="B85" s="5" t="s">
        <v>44</v>
      </c>
      <c r="C85" s="5" t="s">
        <v>45</v>
      </c>
      <c r="D85" s="8">
        <v>25.44</v>
      </c>
      <c r="E85" s="5"/>
      <c r="F85" s="5"/>
      <c r="G85" s="5"/>
      <c r="H85" s="5"/>
      <c r="I85" s="8">
        <v>26.8</v>
      </c>
      <c r="J85" s="8">
        <v>26.8</v>
      </c>
      <c r="K85" s="8">
        <v>25.44</v>
      </c>
      <c r="L85" s="8">
        <v>26.8</v>
      </c>
      <c r="M85" s="16">
        <f t="shared" si="1"/>
        <v>5.3459119496855223E-2</v>
      </c>
      <c r="N85" s="17" t="s">
        <v>22</v>
      </c>
    </row>
    <row r="86" spans="1:14" x14ac:dyDescent="0.2">
      <c r="A86" s="5" t="s">
        <v>23</v>
      </c>
      <c r="B86" s="5" t="s">
        <v>57</v>
      </c>
      <c r="C86" s="5" t="s">
        <v>58</v>
      </c>
      <c r="D86" s="5"/>
      <c r="E86" s="8">
        <v>48.6</v>
      </c>
      <c r="F86" s="5"/>
      <c r="G86" s="8">
        <v>48.6</v>
      </c>
      <c r="H86" s="8">
        <v>48.6</v>
      </c>
      <c r="I86" s="8">
        <v>49.8</v>
      </c>
      <c r="J86" s="8">
        <v>51</v>
      </c>
      <c r="K86" s="8">
        <v>48.6</v>
      </c>
      <c r="L86" s="8">
        <v>51</v>
      </c>
      <c r="M86" s="16">
        <f t="shared" si="1"/>
        <v>4.9382716049382713E-2</v>
      </c>
      <c r="N86" s="17" t="s">
        <v>22</v>
      </c>
    </row>
    <row r="87" spans="1:14" x14ac:dyDescent="0.2">
      <c r="A87" s="5" t="s">
        <v>23</v>
      </c>
      <c r="B87" s="5" t="s">
        <v>57</v>
      </c>
      <c r="C87" s="5" t="s">
        <v>272</v>
      </c>
      <c r="D87" s="8">
        <v>2.2999999999999998</v>
      </c>
      <c r="E87" s="5"/>
      <c r="F87" s="5"/>
      <c r="G87" s="8">
        <v>2.2999999999999998</v>
      </c>
      <c r="H87" s="5"/>
      <c r="I87" s="8">
        <v>2.2999999999999998</v>
      </c>
      <c r="J87" s="5"/>
      <c r="K87" s="8">
        <v>2.2999999999999998</v>
      </c>
      <c r="L87" s="8">
        <v>2.2999999999999998</v>
      </c>
      <c r="M87" s="16">
        <f t="shared" si="1"/>
        <v>0</v>
      </c>
      <c r="N87" s="5" t="s">
        <v>208</v>
      </c>
    </row>
    <row r="88" spans="1:14" x14ac:dyDescent="0.2">
      <c r="A88" s="5" t="s">
        <v>23</v>
      </c>
      <c r="B88" s="5" t="s">
        <v>57</v>
      </c>
      <c r="C88" s="5" t="s">
        <v>273</v>
      </c>
      <c r="D88" s="5"/>
      <c r="E88" s="8">
        <v>22</v>
      </c>
      <c r="F88" s="5"/>
      <c r="G88" s="8">
        <v>22</v>
      </c>
      <c r="H88" s="8">
        <v>22</v>
      </c>
      <c r="I88" s="5"/>
      <c r="J88" s="5"/>
      <c r="K88" s="8">
        <v>22</v>
      </c>
      <c r="L88" s="8">
        <v>22</v>
      </c>
      <c r="M88" s="16">
        <f t="shared" si="1"/>
        <v>0</v>
      </c>
      <c r="N88" s="5" t="s">
        <v>208</v>
      </c>
    </row>
    <row r="89" spans="1:14" x14ac:dyDescent="0.2">
      <c r="A89" s="5" t="s">
        <v>23</v>
      </c>
      <c r="B89" s="5" t="s">
        <v>57</v>
      </c>
      <c r="C89" s="5" t="s">
        <v>274</v>
      </c>
      <c r="D89" s="5"/>
      <c r="E89" s="5"/>
      <c r="F89" s="5"/>
      <c r="G89" s="5"/>
      <c r="H89" s="5"/>
      <c r="I89" s="8">
        <v>22</v>
      </c>
      <c r="J89" s="8">
        <v>22</v>
      </c>
      <c r="K89" s="8">
        <v>22</v>
      </c>
      <c r="L89" s="8">
        <v>22</v>
      </c>
      <c r="M89" s="16">
        <f t="shared" si="1"/>
        <v>0</v>
      </c>
      <c r="N89" s="5" t="s">
        <v>208</v>
      </c>
    </row>
    <row r="90" spans="1:14" x14ac:dyDescent="0.2">
      <c r="A90" s="5" t="s">
        <v>23</v>
      </c>
      <c r="B90" s="5" t="s">
        <v>275</v>
      </c>
      <c r="C90" s="5" t="s">
        <v>276</v>
      </c>
      <c r="D90" s="8">
        <v>37</v>
      </c>
      <c r="E90" s="8">
        <v>37</v>
      </c>
      <c r="F90" s="5"/>
      <c r="G90" s="8">
        <v>37</v>
      </c>
      <c r="H90" s="5"/>
      <c r="I90" s="8">
        <v>37</v>
      </c>
      <c r="J90" s="8">
        <v>37</v>
      </c>
      <c r="K90" s="8">
        <v>37</v>
      </c>
      <c r="L90" s="8">
        <v>37</v>
      </c>
      <c r="M90" s="16">
        <f t="shared" si="1"/>
        <v>0</v>
      </c>
      <c r="N90" s="5" t="s">
        <v>208</v>
      </c>
    </row>
    <row r="91" spans="1:14" x14ac:dyDescent="0.2">
      <c r="A91" s="5" t="s">
        <v>23</v>
      </c>
      <c r="B91" s="5" t="s">
        <v>275</v>
      </c>
      <c r="C91" s="5" t="s">
        <v>277</v>
      </c>
      <c r="D91" s="8">
        <v>35</v>
      </c>
      <c r="E91" s="8">
        <v>35</v>
      </c>
      <c r="F91" s="5"/>
      <c r="G91" s="8">
        <v>35</v>
      </c>
      <c r="H91" s="5"/>
      <c r="I91" s="8">
        <v>35</v>
      </c>
      <c r="J91" s="8">
        <v>35</v>
      </c>
      <c r="K91" s="8">
        <v>35</v>
      </c>
      <c r="L91" s="8">
        <v>35</v>
      </c>
      <c r="M91" s="16">
        <f t="shared" si="1"/>
        <v>0</v>
      </c>
      <c r="N91" s="5" t="s">
        <v>208</v>
      </c>
    </row>
    <row r="92" spans="1:14" x14ac:dyDescent="0.2">
      <c r="A92" s="5" t="s">
        <v>23</v>
      </c>
      <c r="B92" s="5" t="s">
        <v>116</v>
      </c>
      <c r="C92" s="5" t="s">
        <v>278</v>
      </c>
      <c r="D92" s="5"/>
      <c r="E92" s="5"/>
      <c r="F92" s="5"/>
      <c r="G92" s="5"/>
      <c r="H92" s="5"/>
      <c r="I92" s="8">
        <v>22.9</v>
      </c>
      <c r="J92" s="8">
        <v>22.9</v>
      </c>
      <c r="K92" s="8">
        <v>22.9</v>
      </c>
      <c r="L92" s="8">
        <v>22.9</v>
      </c>
      <c r="M92" s="16">
        <f t="shared" si="1"/>
        <v>0</v>
      </c>
      <c r="N92" s="5" t="s">
        <v>208</v>
      </c>
    </row>
    <row r="93" spans="1:14" x14ac:dyDescent="0.2">
      <c r="A93" s="5" t="s">
        <v>23</v>
      </c>
      <c r="B93" s="5" t="s">
        <v>116</v>
      </c>
      <c r="C93" s="5" t="s">
        <v>117</v>
      </c>
      <c r="D93" s="8">
        <v>22.45</v>
      </c>
      <c r="E93" s="8">
        <v>22.45</v>
      </c>
      <c r="F93" s="5"/>
      <c r="G93" s="8">
        <v>22.9</v>
      </c>
      <c r="H93" s="8">
        <v>22.9</v>
      </c>
      <c r="I93" s="5"/>
      <c r="J93" s="5"/>
      <c r="K93" s="8">
        <v>22.45</v>
      </c>
      <c r="L93" s="8">
        <v>22.9</v>
      </c>
      <c r="M93" s="16">
        <f t="shared" si="1"/>
        <v>2.0044543429843964E-2</v>
      </c>
      <c r="N93" s="17" t="s">
        <v>22</v>
      </c>
    </row>
    <row r="94" spans="1:14" x14ac:dyDescent="0.2">
      <c r="A94" s="5" t="s">
        <v>23</v>
      </c>
      <c r="B94" s="5" t="s">
        <v>111</v>
      </c>
      <c r="C94" s="5" t="s">
        <v>131</v>
      </c>
      <c r="D94" s="8">
        <v>44.95</v>
      </c>
      <c r="E94" s="8">
        <v>44.95</v>
      </c>
      <c r="F94" s="5"/>
      <c r="G94" s="8">
        <v>44.95</v>
      </c>
      <c r="H94" s="8">
        <v>44.95</v>
      </c>
      <c r="I94" s="8">
        <v>44.95</v>
      </c>
      <c r="J94" s="8">
        <v>45.45</v>
      </c>
      <c r="K94" s="8">
        <v>44.95</v>
      </c>
      <c r="L94" s="8">
        <v>45.45</v>
      </c>
      <c r="M94" s="16">
        <f t="shared" si="1"/>
        <v>1.1123470522803158E-2</v>
      </c>
      <c r="N94" s="17" t="s">
        <v>22</v>
      </c>
    </row>
    <row r="95" spans="1:14" x14ac:dyDescent="0.2">
      <c r="A95" s="5" t="s">
        <v>23</v>
      </c>
      <c r="B95" s="5" t="s">
        <v>111</v>
      </c>
      <c r="C95" s="5" t="s">
        <v>112</v>
      </c>
      <c r="D95" s="8">
        <v>23.95</v>
      </c>
      <c r="E95" s="8">
        <v>24.95</v>
      </c>
      <c r="F95" s="5"/>
      <c r="G95" s="8">
        <v>24.95</v>
      </c>
      <c r="H95" s="8">
        <v>23.95</v>
      </c>
      <c r="I95" s="8">
        <v>23.95</v>
      </c>
      <c r="J95" s="8">
        <v>24.45</v>
      </c>
      <c r="K95" s="8">
        <v>23.95</v>
      </c>
      <c r="L95" s="8">
        <v>24.45</v>
      </c>
      <c r="M95" s="16">
        <f t="shared" si="1"/>
        <v>2.087682672233826E-2</v>
      </c>
      <c r="N95" s="17" t="s">
        <v>22</v>
      </c>
    </row>
    <row r="96" spans="1:14" x14ac:dyDescent="0.2">
      <c r="A96" s="5" t="s">
        <v>23</v>
      </c>
      <c r="B96" s="5" t="s">
        <v>111</v>
      </c>
      <c r="C96" s="5" t="s">
        <v>279</v>
      </c>
      <c r="D96" s="8">
        <v>28.95</v>
      </c>
      <c r="E96" s="8">
        <v>27.95</v>
      </c>
      <c r="F96" s="5"/>
      <c r="G96" s="8">
        <v>27.95</v>
      </c>
      <c r="H96" s="8">
        <v>26.95</v>
      </c>
      <c r="I96" s="5"/>
      <c r="J96" s="5"/>
      <c r="K96" s="8">
        <v>28.95</v>
      </c>
      <c r="L96" s="8">
        <v>26.95</v>
      </c>
      <c r="M96" s="16">
        <f t="shared" si="1"/>
        <v>-6.9084628670120884E-2</v>
      </c>
      <c r="N96" s="18" t="s">
        <v>212</v>
      </c>
    </row>
    <row r="97" spans="1:14" x14ac:dyDescent="0.2">
      <c r="A97" s="5" t="s">
        <v>23</v>
      </c>
      <c r="B97" s="5" t="s">
        <v>111</v>
      </c>
      <c r="C97" s="5" t="s">
        <v>280</v>
      </c>
      <c r="D97" s="8">
        <v>7.95</v>
      </c>
      <c r="E97" s="8">
        <v>7.95</v>
      </c>
      <c r="F97" s="5"/>
      <c r="G97" s="8">
        <v>7.95</v>
      </c>
      <c r="H97" s="8">
        <v>7.95</v>
      </c>
      <c r="I97" s="8">
        <v>7.95</v>
      </c>
      <c r="J97" s="8">
        <v>7.95</v>
      </c>
      <c r="K97" s="8">
        <v>7.95</v>
      </c>
      <c r="L97" s="8">
        <v>7.95</v>
      </c>
      <c r="M97" s="16">
        <f t="shared" si="1"/>
        <v>0</v>
      </c>
      <c r="N97" s="5" t="s">
        <v>208</v>
      </c>
    </row>
    <row r="98" spans="1:14" x14ac:dyDescent="0.2">
      <c r="A98" s="5" t="s">
        <v>23</v>
      </c>
      <c r="B98" s="5" t="s">
        <v>158</v>
      </c>
      <c r="C98" s="5" t="s">
        <v>159</v>
      </c>
      <c r="D98" s="5"/>
      <c r="E98" s="8">
        <v>7.35</v>
      </c>
      <c r="F98" s="5"/>
      <c r="G98" s="8">
        <v>6.9</v>
      </c>
      <c r="H98" s="8">
        <v>7.35</v>
      </c>
      <c r="I98" s="8">
        <v>7.35</v>
      </c>
      <c r="J98" s="8">
        <v>7.35</v>
      </c>
      <c r="K98" s="8">
        <v>7.35</v>
      </c>
      <c r="L98" s="8">
        <v>7.35</v>
      </c>
      <c r="M98" s="16">
        <f t="shared" si="1"/>
        <v>0</v>
      </c>
      <c r="N98" s="5" t="s">
        <v>161</v>
      </c>
    </row>
    <row r="99" spans="1:14" x14ac:dyDescent="0.2">
      <c r="A99" s="5" t="s">
        <v>23</v>
      </c>
      <c r="B99" s="5" t="s">
        <v>158</v>
      </c>
      <c r="C99" s="5" t="s">
        <v>165</v>
      </c>
      <c r="D99" s="5"/>
      <c r="E99" s="8">
        <v>16</v>
      </c>
      <c r="F99" s="5"/>
      <c r="G99" s="8">
        <v>7.35</v>
      </c>
      <c r="H99" s="8">
        <v>16</v>
      </c>
      <c r="I99" s="5"/>
      <c r="J99" s="5"/>
      <c r="K99" s="8">
        <v>16</v>
      </c>
      <c r="L99" s="8">
        <v>16</v>
      </c>
      <c r="M99" s="16">
        <f t="shared" si="1"/>
        <v>0</v>
      </c>
      <c r="N99" s="5" t="s">
        <v>161</v>
      </c>
    </row>
    <row r="100" spans="1:14" x14ac:dyDescent="0.2">
      <c r="A100" s="5" t="s">
        <v>23</v>
      </c>
      <c r="B100" s="5" t="s">
        <v>158</v>
      </c>
      <c r="C100" s="5" t="s">
        <v>281</v>
      </c>
      <c r="D100" s="8">
        <v>13.9</v>
      </c>
      <c r="E100" s="8">
        <v>13.9</v>
      </c>
      <c r="F100" s="5"/>
      <c r="G100" s="8">
        <v>13.9</v>
      </c>
      <c r="H100" s="8">
        <v>13.9</v>
      </c>
      <c r="I100" s="8">
        <v>13.9</v>
      </c>
      <c r="J100" s="8">
        <v>13.9</v>
      </c>
      <c r="K100" s="8">
        <v>13.9</v>
      </c>
      <c r="L100" s="8">
        <v>13.9</v>
      </c>
      <c r="M100" s="16">
        <f t="shared" si="1"/>
        <v>0</v>
      </c>
      <c r="N100" s="5" t="s">
        <v>208</v>
      </c>
    </row>
    <row r="101" spans="1:14" x14ac:dyDescent="0.2">
      <c r="A101" s="5" t="s">
        <v>23</v>
      </c>
      <c r="B101" s="5" t="s">
        <v>62</v>
      </c>
      <c r="C101" s="5" t="s">
        <v>119</v>
      </c>
      <c r="D101" s="5"/>
      <c r="E101" s="8">
        <v>5.52</v>
      </c>
      <c r="F101" s="5"/>
      <c r="G101" s="5"/>
      <c r="H101" s="8">
        <v>5.63</v>
      </c>
      <c r="I101" s="8">
        <v>5.63</v>
      </c>
      <c r="J101" s="8">
        <v>5.63</v>
      </c>
      <c r="K101" s="8">
        <v>5.52</v>
      </c>
      <c r="L101" s="8">
        <v>5.63</v>
      </c>
      <c r="M101" s="16">
        <f t="shared" si="1"/>
        <v>1.9927536231884035E-2</v>
      </c>
      <c r="N101" s="17" t="s">
        <v>22</v>
      </c>
    </row>
    <row r="102" spans="1:14" x14ac:dyDescent="0.2">
      <c r="A102" s="5" t="s">
        <v>23</v>
      </c>
      <c r="B102" s="5" t="s">
        <v>62</v>
      </c>
      <c r="C102" s="5" t="s">
        <v>264</v>
      </c>
      <c r="D102" s="5"/>
      <c r="E102" s="8">
        <v>14.12</v>
      </c>
      <c r="F102" s="5"/>
      <c r="G102" s="5"/>
      <c r="H102" s="8">
        <v>11.77</v>
      </c>
      <c r="I102" s="8">
        <v>11.77</v>
      </c>
      <c r="J102" s="8">
        <v>11.77</v>
      </c>
      <c r="K102" s="8">
        <v>14.12</v>
      </c>
      <c r="L102" s="8">
        <v>11.77</v>
      </c>
      <c r="M102" s="16">
        <f t="shared" si="1"/>
        <v>-0.16643059490084988</v>
      </c>
      <c r="N102" s="18" t="s">
        <v>212</v>
      </c>
    </row>
    <row r="103" spans="1:14" x14ac:dyDescent="0.2">
      <c r="A103" s="5" t="s">
        <v>23</v>
      </c>
      <c r="B103" s="5" t="s">
        <v>62</v>
      </c>
      <c r="C103" s="5" t="s">
        <v>88</v>
      </c>
      <c r="D103" s="8">
        <v>13.42</v>
      </c>
      <c r="E103" s="8">
        <v>13.42</v>
      </c>
      <c r="F103" s="5"/>
      <c r="G103" s="5"/>
      <c r="H103" s="8">
        <v>13.91</v>
      </c>
      <c r="I103" s="8">
        <v>13.91</v>
      </c>
      <c r="J103" s="8">
        <v>13.91</v>
      </c>
      <c r="K103" s="8">
        <v>13.42</v>
      </c>
      <c r="L103" s="8">
        <v>13.91</v>
      </c>
      <c r="M103" s="16">
        <f t="shared" si="1"/>
        <v>3.6512667660208553E-2</v>
      </c>
      <c r="N103" s="17" t="s">
        <v>22</v>
      </c>
    </row>
    <row r="104" spans="1:14" x14ac:dyDescent="0.2">
      <c r="A104" s="5" t="s">
        <v>23</v>
      </c>
      <c r="B104" s="5" t="s">
        <v>62</v>
      </c>
      <c r="C104" s="5" t="s">
        <v>63</v>
      </c>
      <c r="D104" s="8">
        <v>4.22</v>
      </c>
      <c r="E104" s="8">
        <v>4.42</v>
      </c>
      <c r="F104" s="5"/>
      <c r="G104" s="5"/>
      <c r="H104" s="8">
        <v>4.42</v>
      </c>
      <c r="I104" s="5"/>
      <c r="J104" s="8">
        <v>4.42</v>
      </c>
      <c r="K104" s="8">
        <v>4.22</v>
      </c>
      <c r="L104" s="8">
        <v>4.42</v>
      </c>
      <c r="M104" s="16">
        <f t="shared" si="1"/>
        <v>4.7393364928909998E-2</v>
      </c>
      <c r="N104" s="17" t="s">
        <v>22</v>
      </c>
    </row>
    <row r="105" spans="1:14" x14ac:dyDescent="0.2">
      <c r="A105" s="5" t="s">
        <v>23</v>
      </c>
      <c r="B105" s="5" t="s">
        <v>62</v>
      </c>
      <c r="C105" s="5" t="s">
        <v>80</v>
      </c>
      <c r="D105" s="8">
        <v>5.0999999999999996</v>
      </c>
      <c r="E105" s="8">
        <v>5.0999999999999996</v>
      </c>
      <c r="F105" s="5"/>
      <c r="G105" s="5"/>
      <c r="H105" s="8">
        <v>5.3</v>
      </c>
      <c r="I105" s="5"/>
      <c r="J105" s="8">
        <v>5.3</v>
      </c>
      <c r="K105" s="8">
        <v>5.0999999999999996</v>
      </c>
      <c r="L105" s="8">
        <v>5.3</v>
      </c>
      <c r="M105" s="16">
        <f t="shared" si="1"/>
        <v>3.9215686274509887E-2</v>
      </c>
      <c r="N105" s="17" t="s">
        <v>22</v>
      </c>
    </row>
    <row r="106" spans="1:14" x14ac:dyDescent="0.2">
      <c r="A106" s="5" t="s">
        <v>23</v>
      </c>
      <c r="B106" s="5" t="s">
        <v>62</v>
      </c>
      <c r="C106" s="5" t="s">
        <v>102</v>
      </c>
      <c r="D106" s="8">
        <v>7.69</v>
      </c>
      <c r="E106" s="8">
        <v>7.69</v>
      </c>
      <c r="F106" s="5"/>
      <c r="G106" s="5"/>
      <c r="H106" s="8">
        <v>7.88</v>
      </c>
      <c r="I106" s="8">
        <v>7.88</v>
      </c>
      <c r="J106" s="5"/>
      <c r="K106" s="8">
        <v>7.69</v>
      </c>
      <c r="L106" s="8">
        <v>7.88</v>
      </c>
      <c r="M106" s="16">
        <f t="shared" si="1"/>
        <v>2.4707412223667014E-2</v>
      </c>
      <c r="N106" s="17" t="s">
        <v>22</v>
      </c>
    </row>
    <row r="107" spans="1:14" x14ac:dyDescent="0.2">
      <c r="A107" s="5" t="s">
        <v>23</v>
      </c>
      <c r="B107" s="5" t="s">
        <v>62</v>
      </c>
      <c r="C107" s="5" t="s">
        <v>82</v>
      </c>
      <c r="D107" s="8">
        <v>4.5</v>
      </c>
      <c r="E107" s="8">
        <v>4.5</v>
      </c>
      <c r="F107" s="5"/>
      <c r="G107" s="5"/>
      <c r="H107" s="8">
        <v>4.67</v>
      </c>
      <c r="I107" s="8">
        <v>4.67</v>
      </c>
      <c r="J107" s="8">
        <v>4.67</v>
      </c>
      <c r="K107" s="8">
        <v>4.5</v>
      </c>
      <c r="L107" s="8">
        <v>4.67</v>
      </c>
      <c r="M107" s="16">
        <f t="shared" si="1"/>
        <v>3.7777777777777688E-2</v>
      </c>
      <c r="N107" s="17" t="s">
        <v>22</v>
      </c>
    </row>
    <row r="108" spans="1:14" x14ac:dyDescent="0.2">
      <c r="A108" s="5" t="s">
        <v>23</v>
      </c>
      <c r="B108" s="5" t="s">
        <v>62</v>
      </c>
      <c r="C108" s="5" t="s">
        <v>282</v>
      </c>
      <c r="D108" s="8">
        <v>8.81</v>
      </c>
      <c r="E108" s="8">
        <v>8.81</v>
      </c>
      <c r="F108" s="5"/>
      <c r="G108" s="5"/>
      <c r="H108" s="8">
        <v>8.7799999999999994</v>
      </c>
      <c r="I108" s="8">
        <v>8.7799999999999994</v>
      </c>
      <c r="J108" s="8">
        <v>8.7799999999999994</v>
      </c>
      <c r="K108" s="8">
        <v>8.81</v>
      </c>
      <c r="L108" s="8">
        <v>8.7799999999999994</v>
      </c>
      <c r="M108" s="16">
        <f t="shared" si="1"/>
        <v>-3.4052213393871433E-3</v>
      </c>
      <c r="N108" s="18" t="s">
        <v>212</v>
      </c>
    </row>
    <row r="109" spans="1:14" x14ac:dyDescent="0.2">
      <c r="A109" s="5" t="s">
        <v>23</v>
      </c>
      <c r="B109" s="5" t="s">
        <v>62</v>
      </c>
      <c r="C109" s="5" t="s">
        <v>92</v>
      </c>
      <c r="D109" s="8">
        <v>20.63</v>
      </c>
      <c r="E109" s="8">
        <v>20.63</v>
      </c>
      <c r="F109" s="5"/>
      <c r="G109" s="5"/>
      <c r="H109" s="8">
        <v>21.38</v>
      </c>
      <c r="I109" s="8">
        <v>21.38</v>
      </c>
      <c r="J109" s="5"/>
      <c r="K109" s="8">
        <v>20.63</v>
      </c>
      <c r="L109" s="8">
        <v>21.38</v>
      </c>
      <c r="M109" s="16">
        <f t="shared" si="1"/>
        <v>3.6354823073194487E-2</v>
      </c>
      <c r="N109" s="17" t="s">
        <v>22</v>
      </c>
    </row>
    <row r="110" spans="1:14" x14ac:dyDescent="0.2">
      <c r="A110" s="5" t="s">
        <v>23</v>
      </c>
      <c r="B110" s="5" t="s">
        <v>62</v>
      </c>
      <c r="C110" s="5" t="s">
        <v>96</v>
      </c>
      <c r="D110" s="8">
        <v>5.88</v>
      </c>
      <c r="E110" s="8">
        <v>5.88</v>
      </c>
      <c r="F110" s="5"/>
      <c r="G110" s="5"/>
      <c r="H110" s="8">
        <v>6.08</v>
      </c>
      <c r="I110" s="5"/>
      <c r="J110" s="5"/>
      <c r="K110" s="8">
        <v>5.88</v>
      </c>
      <c r="L110" s="8">
        <v>6.08</v>
      </c>
      <c r="M110" s="16">
        <f t="shared" si="1"/>
        <v>3.4013605442176909E-2</v>
      </c>
      <c r="N110" s="17" t="s">
        <v>22</v>
      </c>
    </row>
    <row r="111" spans="1:14" x14ac:dyDescent="0.2">
      <c r="A111" s="5" t="s">
        <v>23</v>
      </c>
      <c r="B111" s="5" t="s">
        <v>62</v>
      </c>
      <c r="C111" s="5" t="s">
        <v>114</v>
      </c>
      <c r="D111" s="8">
        <v>5.33</v>
      </c>
      <c r="E111" s="8">
        <v>5.33</v>
      </c>
      <c r="F111" s="5"/>
      <c r="G111" s="5"/>
      <c r="H111" s="8">
        <v>5.44</v>
      </c>
      <c r="I111" s="8">
        <v>5.44</v>
      </c>
      <c r="J111" s="8">
        <v>5.44</v>
      </c>
      <c r="K111" s="8">
        <v>5.33</v>
      </c>
      <c r="L111" s="8">
        <v>5.44</v>
      </c>
      <c r="M111" s="16">
        <f t="shared" si="1"/>
        <v>2.0637898686679312E-2</v>
      </c>
      <c r="N111" s="17" t="s">
        <v>22</v>
      </c>
    </row>
    <row r="112" spans="1:14" x14ac:dyDescent="0.2">
      <c r="A112" s="5" t="s">
        <v>23</v>
      </c>
      <c r="B112" s="5" t="s">
        <v>30</v>
      </c>
      <c r="C112" s="5" t="s">
        <v>127</v>
      </c>
      <c r="D112" s="8">
        <v>11.68</v>
      </c>
      <c r="E112" s="8">
        <v>11.68</v>
      </c>
      <c r="F112" s="5"/>
      <c r="G112" s="5"/>
      <c r="H112" s="8">
        <v>11.85</v>
      </c>
      <c r="I112" s="8">
        <v>11.85</v>
      </c>
      <c r="J112" s="8">
        <v>11.85</v>
      </c>
      <c r="K112" s="8">
        <v>11.68</v>
      </c>
      <c r="L112" s="8">
        <v>11.85</v>
      </c>
      <c r="M112" s="16">
        <f t="shared" si="1"/>
        <v>1.4554794520547976E-2</v>
      </c>
      <c r="N112" s="17" t="s">
        <v>22</v>
      </c>
    </row>
    <row r="113" spans="1:14" x14ac:dyDescent="0.2">
      <c r="A113" s="5" t="s">
        <v>23</v>
      </c>
      <c r="B113" s="5" t="s">
        <v>30</v>
      </c>
      <c r="C113" s="5" t="s">
        <v>283</v>
      </c>
      <c r="D113" s="5"/>
      <c r="E113" s="8">
        <v>19.98</v>
      </c>
      <c r="F113" s="5"/>
      <c r="G113" s="5"/>
      <c r="H113" s="8">
        <v>19.98</v>
      </c>
      <c r="I113" s="5"/>
      <c r="J113" s="5"/>
      <c r="K113" s="8">
        <v>19.98</v>
      </c>
      <c r="L113" s="8">
        <v>19.98</v>
      </c>
      <c r="M113" s="16">
        <f t="shared" si="1"/>
        <v>0</v>
      </c>
      <c r="N113" s="5" t="s">
        <v>208</v>
      </c>
    </row>
    <row r="114" spans="1:14" x14ac:dyDescent="0.2">
      <c r="A114" s="5" t="s">
        <v>23</v>
      </c>
      <c r="B114" s="5" t="s">
        <v>30</v>
      </c>
      <c r="C114" s="5" t="s">
        <v>284</v>
      </c>
      <c r="D114" s="5"/>
      <c r="E114" s="5"/>
      <c r="F114" s="5"/>
      <c r="G114" s="5"/>
      <c r="H114" s="8">
        <v>11.17</v>
      </c>
      <c r="I114" s="8">
        <v>11.17</v>
      </c>
      <c r="J114" s="8">
        <v>11.17</v>
      </c>
      <c r="K114" s="8">
        <v>11.17</v>
      </c>
      <c r="L114" s="8">
        <v>11.17</v>
      </c>
      <c r="M114" s="16">
        <f t="shared" si="1"/>
        <v>0</v>
      </c>
      <c r="N114" s="5" t="s">
        <v>208</v>
      </c>
    </row>
    <row r="115" spans="1:14" x14ac:dyDescent="0.2">
      <c r="A115" s="5" t="s">
        <v>23</v>
      </c>
      <c r="B115" s="5" t="s">
        <v>30</v>
      </c>
      <c r="C115" s="5" t="s">
        <v>285</v>
      </c>
      <c r="D115" s="8">
        <v>11.12</v>
      </c>
      <c r="E115" s="8">
        <v>11.12</v>
      </c>
      <c r="F115" s="5"/>
      <c r="G115" s="5"/>
      <c r="H115" s="8">
        <v>11.12</v>
      </c>
      <c r="I115" s="5"/>
      <c r="J115" s="5"/>
      <c r="K115" s="8">
        <v>11.12</v>
      </c>
      <c r="L115" s="8">
        <v>11.12</v>
      </c>
      <c r="M115" s="16">
        <f t="shared" si="1"/>
        <v>0</v>
      </c>
      <c r="N115" s="5" t="s">
        <v>208</v>
      </c>
    </row>
    <row r="116" spans="1:14" x14ac:dyDescent="0.2">
      <c r="A116" s="5" t="s">
        <v>23</v>
      </c>
      <c r="B116" s="5" t="s">
        <v>30</v>
      </c>
      <c r="C116" s="5" t="s">
        <v>286</v>
      </c>
      <c r="D116" s="5"/>
      <c r="E116" s="8">
        <v>13.69</v>
      </c>
      <c r="F116" s="5"/>
      <c r="G116" s="5"/>
      <c r="H116" s="8">
        <v>13.69</v>
      </c>
      <c r="I116" s="5"/>
      <c r="J116" s="5"/>
      <c r="K116" s="8">
        <v>13.69</v>
      </c>
      <c r="L116" s="8">
        <v>13.69</v>
      </c>
      <c r="M116" s="16">
        <f t="shared" si="1"/>
        <v>0</v>
      </c>
      <c r="N116" s="5" t="s">
        <v>208</v>
      </c>
    </row>
    <row r="117" spans="1:14" x14ac:dyDescent="0.2">
      <c r="A117" s="5" t="s">
        <v>23</v>
      </c>
      <c r="B117" s="5" t="s">
        <v>30</v>
      </c>
      <c r="C117" s="5" t="s">
        <v>287</v>
      </c>
      <c r="D117" s="8">
        <v>11.55</v>
      </c>
      <c r="E117" s="8">
        <v>11.55</v>
      </c>
      <c r="F117" s="5"/>
      <c r="G117" s="5"/>
      <c r="H117" s="8">
        <v>11.55</v>
      </c>
      <c r="I117" s="8">
        <v>11.55</v>
      </c>
      <c r="J117" s="5"/>
      <c r="K117" s="8">
        <v>11.55</v>
      </c>
      <c r="L117" s="8">
        <v>11.55</v>
      </c>
      <c r="M117" s="16">
        <f t="shared" si="1"/>
        <v>0</v>
      </c>
      <c r="N117" s="5" t="s">
        <v>208</v>
      </c>
    </row>
    <row r="118" spans="1:14" x14ac:dyDescent="0.2">
      <c r="A118" s="5" t="s">
        <v>23</v>
      </c>
      <c r="B118" s="5" t="s">
        <v>30</v>
      </c>
      <c r="C118" s="5" t="s">
        <v>135</v>
      </c>
      <c r="D118" s="8">
        <v>12.2</v>
      </c>
      <c r="E118" s="8">
        <v>12.2</v>
      </c>
      <c r="F118" s="5"/>
      <c r="G118" s="5"/>
      <c r="H118" s="8">
        <v>12.3</v>
      </c>
      <c r="I118" s="8">
        <v>12.3</v>
      </c>
      <c r="J118" s="5"/>
      <c r="K118" s="8">
        <v>12.2</v>
      </c>
      <c r="L118" s="8">
        <v>12.3</v>
      </c>
      <c r="M118" s="16">
        <f t="shared" si="1"/>
        <v>8.19672131147553E-3</v>
      </c>
      <c r="N118" s="17" t="s">
        <v>22</v>
      </c>
    </row>
    <row r="119" spans="1:14" x14ac:dyDescent="0.2">
      <c r="A119" s="5" t="s">
        <v>23</v>
      </c>
      <c r="B119" s="5" t="s">
        <v>30</v>
      </c>
      <c r="C119" s="5" t="s">
        <v>288</v>
      </c>
      <c r="D119" s="8">
        <v>14.2</v>
      </c>
      <c r="E119" s="8">
        <v>14.2</v>
      </c>
      <c r="F119" s="5"/>
      <c r="G119" s="5"/>
      <c r="H119" s="8">
        <v>14.2</v>
      </c>
      <c r="I119" s="5"/>
      <c r="J119" s="5"/>
      <c r="K119" s="8">
        <v>14.2</v>
      </c>
      <c r="L119" s="8">
        <v>14.2</v>
      </c>
      <c r="M119" s="16">
        <f t="shared" si="1"/>
        <v>0</v>
      </c>
      <c r="N119" s="5" t="s">
        <v>208</v>
      </c>
    </row>
    <row r="120" spans="1:14" x14ac:dyDescent="0.2">
      <c r="A120" s="5" t="s">
        <v>23</v>
      </c>
      <c r="B120" s="5" t="s">
        <v>30</v>
      </c>
      <c r="C120" s="5" t="s">
        <v>139</v>
      </c>
      <c r="D120" s="8">
        <v>11.6</v>
      </c>
      <c r="E120" s="8">
        <v>11.6</v>
      </c>
      <c r="F120" s="5"/>
      <c r="G120" s="5"/>
      <c r="H120" s="8">
        <v>11.66</v>
      </c>
      <c r="I120" s="8">
        <v>11.66</v>
      </c>
      <c r="J120" s="5"/>
      <c r="K120" s="8">
        <v>11.6</v>
      </c>
      <c r="L120" s="8">
        <v>11.66</v>
      </c>
      <c r="M120" s="16">
        <f t="shared" si="1"/>
        <v>5.1724137931035141E-3</v>
      </c>
      <c r="N120" s="17" t="s">
        <v>22</v>
      </c>
    </row>
    <row r="121" spans="1:14" x14ac:dyDescent="0.2">
      <c r="A121" s="5" t="s">
        <v>23</v>
      </c>
      <c r="B121" s="5" t="s">
        <v>30</v>
      </c>
      <c r="C121" s="5" t="s">
        <v>289</v>
      </c>
      <c r="D121" s="8">
        <v>14.6</v>
      </c>
      <c r="E121" s="5"/>
      <c r="F121" s="5"/>
      <c r="G121" s="5"/>
      <c r="H121" s="8">
        <v>14.6</v>
      </c>
      <c r="I121" s="5"/>
      <c r="J121" s="5"/>
      <c r="K121" s="8">
        <v>14.6</v>
      </c>
      <c r="L121" s="8">
        <v>14.6</v>
      </c>
      <c r="M121" s="16">
        <f t="shared" si="1"/>
        <v>0</v>
      </c>
      <c r="N121" s="5" t="s">
        <v>208</v>
      </c>
    </row>
    <row r="122" spans="1:14" x14ac:dyDescent="0.2">
      <c r="A122" s="5" t="s">
        <v>23</v>
      </c>
      <c r="B122" s="5" t="s">
        <v>30</v>
      </c>
      <c r="C122" s="5" t="s">
        <v>290</v>
      </c>
      <c r="D122" s="5"/>
      <c r="E122" s="5"/>
      <c r="F122" s="5"/>
      <c r="G122" s="5"/>
      <c r="H122" s="8">
        <v>5.03</v>
      </c>
      <c r="I122" s="8">
        <v>5.03</v>
      </c>
      <c r="J122" s="5"/>
      <c r="K122" s="8">
        <v>5.03</v>
      </c>
      <c r="L122" s="8">
        <v>5.03</v>
      </c>
      <c r="M122" s="16">
        <f t="shared" si="1"/>
        <v>0</v>
      </c>
      <c r="N122" s="5" t="s">
        <v>208</v>
      </c>
    </row>
    <row r="123" spans="1:14" x14ac:dyDescent="0.2">
      <c r="A123" s="5" t="s">
        <v>23</v>
      </c>
      <c r="B123" s="5" t="s">
        <v>30</v>
      </c>
      <c r="C123" s="5" t="s">
        <v>291</v>
      </c>
      <c r="D123" s="8">
        <v>15.6</v>
      </c>
      <c r="E123" s="8">
        <v>15.6</v>
      </c>
      <c r="F123" s="5"/>
      <c r="G123" s="5"/>
      <c r="H123" s="8">
        <v>15.6</v>
      </c>
      <c r="I123" s="8">
        <v>15.6</v>
      </c>
      <c r="J123" s="8">
        <v>15.6</v>
      </c>
      <c r="K123" s="8">
        <v>15.6</v>
      </c>
      <c r="L123" s="8">
        <v>15.6</v>
      </c>
      <c r="M123" s="16">
        <f t="shared" si="1"/>
        <v>0</v>
      </c>
      <c r="N123" s="5" t="s">
        <v>208</v>
      </c>
    </row>
    <row r="124" spans="1:14" x14ac:dyDescent="0.2">
      <c r="A124" s="5" t="s">
        <v>23</v>
      </c>
      <c r="B124" s="5" t="s">
        <v>30</v>
      </c>
      <c r="C124" s="5" t="s">
        <v>147</v>
      </c>
      <c r="D124" s="8">
        <v>10.64</v>
      </c>
      <c r="E124" s="5"/>
      <c r="F124" s="5"/>
      <c r="G124" s="5"/>
      <c r="H124" s="8">
        <v>10.67</v>
      </c>
      <c r="I124" s="5"/>
      <c r="J124" s="5"/>
      <c r="K124" s="8">
        <v>10.64</v>
      </c>
      <c r="L124" s="8">
        <v>10.67</v>
      </c>
      <c r="M124" s="16">
        <f t="shared" si="1"/>
        <v>2.8195488721804995E-3</v>
      </c>
      <c r="N124" s="17" t="s">
        <v>22</v>
      </c>
    </row>
    <row r="125" spans="1:14" x14ac:dyDescent="0.2">
      <c r="A125" s="5" t="s">
        <v>23</v>
      </c>
      <c r="B125" s="5" t="s">
        <v>30</v>
      </c>
      <c r="C125" s="5" t="s">
        <v>292</v>
      </c>
      <c r="D125" s="8">
        <v>28.07</v>
      </c>
      <c r="E125" s="8">
        <v>28.07</v>
      </c>
      <c r="F125" s="5"/>
      <c r="G125" s="5"/>
      <c r="H125" s="8">
        <v>28.07</v>
      </c>
      <c r="I125" s="5"/>
      <c r="J125" s="5"/>
      <c r="K125" s="8">
        <v>28.07</v>
      </c>
      <c r="L125" s="8">
        <v>28.07</v>
      </c>
      <c r="M125" s="16">
        <f t="shared" si="1"/>
        <v>0</v>
      </c>
      <c r="N125" s="5" t="s">
        <v>208</v>
      </c>
    </row>
    <row r="126" spans="1:14" x14ac:dyDescent="0.2">
      <c r="A126" s="5" t="s">
        <v>23</v>
      </c>
      <c r="B126" s="5" t="s">
        <v>30</v>
      </c>
      <c r="C126" s="5" t="s">
        <v>293</v>
      </c>
      <c r="D126" s="5"/>
      <c r="E126" s="8">
        <v>18.54</v>
      </c>
      <c r="F126" s="5"/>
      <c r="G126" s="5"/>
      <c r="H126" s="8">
        <v>18.54</v>
      </c>
      <c r="I126" s="5"/>
      <c r="J126" s="5"/>
      <c r="K126" s="8">
        <v>18.54</v>
      </c>
      <c r="L126" s="8">
        <v>18.54</v>
      </c>
      <c r="M126" s="16">
        <f t="shared" si="1"/>
        <v>0</v>
      </c>
      <c r="N126" s="5" t="s">
        <v>208</v>
      </c>
    </row>
    <row r="127" spans="1:14" x14ac:dyDescent="0.2">
      <c r="A127" s="5" t="s">
        <v>23</v>
      </c>
      <c r="B127" s="5" t="s">
        <v>30</v>
      </c>
      <c r="C127" s="5" t="s">
        <v>294</v>
      </c>
      <c r="D127" s="5"/>
      <c r="E127" s="5"/>
      <c r="F127" s="5"/>
      <c r="G127" s="5"/>
      <c r="H127" s="8">
        <v>19.899999999999999</v>
      </c>
      <c r="I127" s="8">
        <v>19.899999999999999</v>
      </c>
      <c r="J127" s="8">
        <v>19.899999999999999</v>
      </c>
      <c r="K127" s="8">
        <v>19.899999999999999</v>
      </c>
      <c r="L127" s="8">
        <v>19.899999999999999</v>
      </c>
      <c r="M127" s="16">
        <f t="shared" si="1"/>
        <v>0</v>
      </c>
      <c r="N127" s="5" t="s">
        <v>208</v>
      </c>
    </row>
    <row r="128" spans="1:14" x14ac:dyDescent="0.2">
      <c r="A128" s="5" t="s">
        <v>23</v>
      </c>
      <c r="B128" s="5" t="s">
        <v>30</v>
      </c>
      <c r="C128" s="5" t="s">
        <v>295</v>
      </c>
      <c r="D128" s="8">
        <v>23.68</v>
      </c>
      <c r="E128" s="8">
        <v>23.68</v>
      </c>
      <c r="F128" s="5"/>
      <c r="G128" s="5"/>
      <c r="H128" s="5"/>
      <c r="I128" s="5"/>
      <c r="J128" s="5"/>
      <c r="K128" s="8">
        <v>23.68</v>
      </c>
      <c r="L128" s="8">
        <v>23.68</v>
      </c>
      <c r="M128" s="16">
        <f t="shared" si="1"/>
        <v>0</v>
      </c>
      <c r="N128" s="5" t="s">
        <v>208</v>
      </c>
    </row>
    <row r="129" spans="1:14" x14ac:dyDescent="0.2">
      <c r="A129" s="5" t="s">
        <v>23</v>
      </c>
      <c r="B129" s="5" t="s">
        <v>30</v>
      </c>
      <c r="C129" s="5" t="s">
        <v>296</v>
      </c>
      <c r="D129" s="5"/>
      <c r="E129" s="8">
        <v>13.73</v>
      </c>
      <c r="F129" s="5"/>
      <c r="G129" s="5"/>
      <c r="H129" s="8">
        <v>13.73</v>
      </c>
      <c r="I129" s="8">
        <v>13.73</v>
      </c>
      <c r="J129" s="5"/>
      <c r="K129" s="8">
        <v>13.73</v>
      </c>
      <c r="L129" s="8">
        <v>13.73</v>
      </c>
      <c r="M129" s="16">
        <f t="shared" si="1"/>
        <v>0</v>
      </c>
      <c r="N129" s="5" t="s">
        <v>208</v>
      </c>
    </row>
    <row r="130" spans="1:14" x14ac:dyDescent="0.2">
      <c r="A130" s="5" t="s">
        <v>23</v>
      </c>
      <c r="B130" s="5" t="s">
        <v>30</v>
      </c>
      <c r="C130" s="5" t="s">
        <v>297</v>
      </c>
      <c r="D130" s="5"/>
      <c r="E130" s="8">
        <v>19.07</v>
      </c>
      <c r="F130" s="5"/>
      <c r="G130" s="5"/>
      <c r="H130" s="8">
        <v>19.07</v>
      </c>
      <c r="I130" s="5"/>
      <c r="J130" s="5"/>
      <c r="K130" s="8">
        <v>19.07</v>
      </c>
      <c r="L130" s="8">
        <v>19.07</v>
      </c>
      <c r="M130" s="16">
        <f t="shared" si="1"/>
        <v>0</v>
      </c>
      <c r="N130" s="5" t="s">
        <v>208</v>
      </c>
    </row>
    <row r="131" spans="1:14" x14ac:dyDescent="0.2">
      <c r="A131" s="5" t="s">
        <v>23</v>
      </c>
      <c r="B131" s="5" t="s">
        <v>30</v>
      </c>
      <c r="C131" s="5" t="s">
        <v>298</v>
      </c>
      <c r="D131" s="8">
        <v>37.450000000000003</v>
      </c>
      <c r="E131" s="8">
        <v>37.450000000000003</v>
      </c>
      <c r="F131" s="5"/>
      <c r="G131" s="5"/>
      <c r="H131" s="8">
        <v>37.450000000000003</v>
      </c>
      <c r="I131" s="5"/>
      <c r="J131" s="8">
        <v>37.450000000000003</v>
      </c>
      <c r="K131" s="8">
        <v>37.450000000000003</v>
      </c>
      <c r="L131" s="8">
        <v>37.450000000000003</v>
      </c>
      <c r="M131" s="16">
        <f t="shared" si="1"/>
        <v>0</v>
      </c>
      <c r="N131" s="5" t="s">
        <v>208</v>
      </c>
    </row>
    <row r="132" spans="1:14" x14ac:dyDescent="0.2">
      <c r="A132" s="5" t="s">
        <v>23</v>
      </c>
      <c r="B132" s="5" t="s">
        <v>30</v>
      </c>
      <c r="C132" s="5" t="s">
        <v>133</v>
      </c>
      <c r="D132" s="8">
        <v>18.649999999999999</v>
      </c>
      <c r="E132" s="8">
        <v>18.649999999999999</v>
      </c>
      <c r="F132" s="5"/>
      <c r="G132" s="5"/>
      <c r="H132" s="8">
        <v>18.649999999999999</v>
      </c>
      <c r="I132" s="8">
        <v>18.809999999999999</v>
      </c>
      <c r="J132" s="5"/>
      <c r="K132" s="8">
        <v>18.649999999999999</v>
      </c>
      <c r="L132" s="8">
        <v>18.809999999999999</v>
      </c>
      <c r="M132" s="16">
        <f t="shared" ref="M132:M195" si="2">IFERROR(L132/K132-1,0)</f>
        <v>8.5790884718499605E-3</v>
      </c>
      <c r="N132" s="17" t="s">
        <v>22</v>
      </c>
    </row>
    <row r="133" spans="1:14" x14ac:dyDescent="0.2">
      <c r="A133" s="5" t="s">
        <v>23</v>
      </c>
      <c r="B133" s="5" t="s">
        <v>30</v>
      </c>
      <c r="C133" s="5" t="s">
        <v>299</v>
      </c>
      <c r="D133" s="5"/>
      <c r="E133" s="5"/>
      <c r="F133" s="5"/>
      <c r="G133" s="5"/>
      <c r="H133" s="8">
        <v>24.08</v>
      </c>
      <c r="I133" s="5"/>
      <c r="J133" s="8">
        <v>24.08</v>
      </c>
      <c r="K133" s="8">
        <v>24.08</v>
      </c>
      <c r="L133" s="8">
        <v>24.08</v>
      </c>
      <c r="M133" s="16">
        <f t="shared" si="2"/>
        <v>0</v>
      </c>
      <c r="N133" s="5" t="s">
        <v>208</v>
      </c>
    </row>
    <row r="134" spans="1:14" x14ac:dyDescent="0.2">
      <c r="A134" s="5" t="s">
        <v>23</v>
      </c>
      <c r="B134" s="5" t="s">
        <v>30</v>
      </c>
      <c r="C134" s="5" t="s">
        <v>300</v>
      </c>
      <c r="D134" s="8">
        <v>15.1</v>
      </c>
      <c r="E134" s="8">
        <v>15.1</v>
      </c>
      <c r="F134" s="5"/>
      <c r="G134" s="5"/>
      <c r="H134" s="8">
        <v>15.1</v>
      </c>
      <c r="I134" s="5"/>
      <c r="J134" s="8">
        <v>15.1</v>
      </c>
      <c r="K134" s="8">
        <v>15.1</v>
      </c>
      <c r="L134" s="8">
        <v>15.1</v>
      </c>
      <c r="M134" s="16">
        <f t="shared" si="2"/>
        <v>0</v>
      </c>
      <c r="N134" s="5" t="s">
        <v>208</v>
      </c>
    </row>
    <row r="135" spans="1:14" x14ac:dyDescent="0.2">
      <c r="A135" s="5" t="s">
        <v>23</v>
      </c>
      <c r="B135" s="5" t="s">
        <v>30</v>
      </c>
      <c r="C135" s="5" t="s">
        <v>301</v>
      </c>
      <c r="D135" s="8">
        <v>22.31</v>
      </c>
      <c r="E135" s="8">
        <v>22.31</v>
      </c>
      <c r="F135" s="5"/>
      <c r="G135" s="5"/>
      <c r="H135" s="8">
        <v>22.31</v>
      </c>
      <c r="I135" s="8">
        <v>22.31</v>
      </c>
      <c r="J135" s="5"/>
      <c r="K135" s="8">
        <v>22.31</v>
      </c>
      <c r="L135" s="8">
        <v>22.31</v>
      </c>
      <c r="M135" s="16">
        <f t="shared" si="2"/>
        <v>0</v>
      </c>
      <c r="N135" s="5" t="s">
        <v>208</v>
      </c>
    </row>
    <row r="136" spans="1:14" x14ac:dyDescent="0.2">
      <c r="A136" s="5" t="s">
        <v>23</v>
      </c>
      <c r="B136" s="5" t="s">
        <v>30</v>
      </c>
      <c r="C136" s="5" t="s">
        <v>302</v>
      </c>
      <c r="D136" s="8">
        <v>11.96</v>
      </c>
      <c r="E136" s="8">
        <v>11.96</v>
      </c>
      <c r="F136" s="5"/>
      <c r="G136" s="5"/>
      <c r="H136" s="8">
        <v>11.96</v>
      </c>
      <c r="I136" s="8">
        <v>11.96</v>
      </c>
      <c r="J136" s="5"/>
      <c r="K136" s="8">
        <v>11.96</v>
      </c>
      <c r="L136" s="8">
        <v>11.96</v>
      </c>
      <c r="M136" s="16">
        <f t="shared" si="2"/>
        <v>0</v>
      </c>
      <c r="N136" s="5" t="s">
        <v>208</v>
      </c>
    </row>
    <row r="137" spans="1:14" x14ac:dyDescent="0.2">
      <c r="A137" s="5" t="s">
        <v>23</v>
      </c>
      <c r="B137" s="5" t="s">
        <v>30</v>
      </c>
      <c r="C137" s="5" t="s">
        <v>303</v>
      </c>
      <c r="D137" s="8">
        <v>14.48</v>
      </c>
      <c r="E137" s="8">
        <v>14.48</v>
      </c>
      <c r="F137" s="5"/>
      <c r="G137" s="5"/>
      <c r="H137" s="8">
        <v>14.48</v>
      </c>
      <c r="I137" s="5"/>
      <c r="J137" s="8">
        <v>14.48</v>
      </c>
      <c r="K137" s="8">
        <v>14.48</v>
      </c>
      <c r="L137" s="8">
        <v>14.48</v>
      </c>
      <c r="M137" s="16">
        <f t="shared" si="2"/>
        <v>0</v>
      </c>
      <c r="N137" s="5" t="s">
        <v>208</v>
      </c>
    </row>
    <row r="138" spans="1:14" x14ac:dyDescent="0.2">
      <c r="A138" s="5" t="s">
        <v>23</v>
      </c>
      <c r="B138" s="5" t="s">
        <v>30</v>
      </c>
      <c r="C138" s="5" t="s">
        <v>304</v>
      </c>
      <c r="D138" s="8">
        <v>13.32</v>
      </c>
      <c r="E138" s="8">
        <v>13.32</v>
      </c>
      <c r="F138" s="5"/>
      <c r="G138" s="5"/>
      <c r="H138" s="8">
        <v>12.68</v>
      </c>
      <c r="I138" s="5"/>
      <c r="J138" s="5"/>
      <c r="K138" s="8">
        <v>13.32</v>
      </c>
      <c r="L138" s="8">
        <v>12.68</v>
      </c>
      <c r="M138" s="16">
        <f t="shared" si="2"/>
        <v>-4.8048048048048075E-2</v>
      </c>
      <c r="N138" s="18" t="s">
        <v>212</v>
      </c>
    </row>
    <row r="139" spans="1:14" x14ac:dyDescent="0.2">
      <c r="A139" s="5" t="s">
        <v>23</v>
      </c>
      <c r="B139" s="5" t="s">
        <v>30</v>
      </c>
      <c r="C139" s="5" t="s">
        <v>143</v>
      </c>
      <c r="D139" s="8">
        <v>10.27</v>
      </c>
      <c r="E139" s="5"/>
      <c r="F139" s="5"/>
      <c r="G139" s="5"/>
      <c r="H139" s="5"/>
      <c r="I139" s="8">
        <v>10.32</v>
      </c>
      <c r="J139" s="8">
        <v>10.32</v>
      </c>
      <c r="K139" s="8">
        <v>10.27</v>
      </c>
      <c r="L139" s="8">
        <v>10.32</v>
      </c>
      <c r="M139" s="16">
        <f t="shared" si="2"/>
        <v>4.8685491723468033E-3</v>
      </c>
      <c r="N139" s="17" t="s">
        <v>22</v>
      </c>
    </row>
    <row r="140" spans="1:14" x14ac:dyDescent="0.2">
      <c r="A140" s="5" t="s">
        <v>23</v>
      </c>
      <c r="B140" s="5" t="s">
        <v>30</v>
      </c>
      <c r="C140" s="5" t="s">
        <v>141</v>
      </c>
      <c r="D140" s="8">
        <v>12.06</v>
      </c>
      <c r="E140" s="5"/>
      <c r="F140" s="5"/>
      <c r="G140" s="5"/>
      <c r="H140" s="5"/>
      <c r="I140" s="8">
        <v>12.12</v>
      </c>
      <c r="J140" s="5"/>
      <c r="K140" s="8">
        <v>12.06</v>
      </c>
      <c r="L140" s="8">
        <v>12.12</v>
      </c>
      <c r="M140" s="16">
        <f t="shared" si="2"/>
        <v>4.9751243781093191E-3</v>
      </c>
      <c r="N140" s="17" t="s">
        <v>22</v>
      </c>
    </row>
    <row r="141" spans="1:14" x14ac:dyDescent="0.2">
      <c r="A141" s="5" t="s">
        <v>23</v>
      </c>
      <c r="B141" s="5" t="s">
        <v>30</v>
      </c>
      <c r="C141" s="5" t="s">
        <v>305</v>
      </c>
      <c r="D141" s="8">
        <v>14.57</v>
      </c>
      <c r="E141" s="8">
        <v>14.57</v>
      </c>
      <c r="F141" s="5"/>
      <c r="G141" s="5"/>
      <c r="H141" s="8">
        <v>14.57</v>
      </c>
      <c r="I141" s="8">
        <v>14.57</v>
      </c>
      <c r="J141" s="5"/>
      <c r="K141" s="8">
        <v>14.57</v>
      </c>
      <c r="L141" s="8">
        <v>14.57</v>
      </c>
      <c r="M141" s="16">
        <f t="shared" si="2"/>
        <v>0</v>
      </c>
      <c r="N141" s="5" t="s">
        <v>208</v>
      </c>
    </row>
    <row r="142" spans="1:14" x14ac:dyDescent="0.2">
      <c r="A142" s="5" t="s">
        <v>23</v>
      </c>
      <c r="B142" s="5" t="s">
        <v>30</v>
      </c>
      <c r="C142" s="5" t="s">
        <v>306</v>
      </c>
      <c r="D142" s="8">
        <v>15.96</v>
      </c>
      <c r="E142" s="8">
        <v>15.96</v>
      </c>
      <c r="F142" s="5"/>
      <c r="G142" s="5"/>
      <c r="H142" s="8">
        <v>15.96</v>
      </c>
      <c r="I142" s="5"/>
      <c r="J142" s="5"/>
      <c r="K142" s="8">
        <v>15.96</v>
      </c>
      <c r="L142" s="8">
        <v>15.96</v>
      </c>
      <c r="M142" s="16">
        <f t="shared" si="2"/>
        <v>0</v>
      </c>
      <c r="N142" s="5" t="s">
        <v>208</v>
      </c>
    </row>
    <row r="143" spans="1:14" x14ac:dyDescent="0.2">
      <c r="A143" s="5" t="s">
        <v>23</v>
      </c>
      <c r="B143" s="5" t="s">
        <v>30</v>
      </c>
      <c r="C143" s="5" t="s">
        <v>307</v>
      </c>
      <c r="D143" s="5"/>
      <c r="E143" s="5"/>
      <c r="F143" s="5"/>
      <c r="G143" s="5"/>
      <c r="H143" s="8">
        <v>15.96</v>
      </c>
      <c r="I143" s="8">
        <v>15.96</v>
      </c>
      <c r="J143" s="8">
        <v>15.96</v>
      </c>
      <c r="K143" s="8">
        <v>15.96</v>
      </c>
      <c r="L143" s="8">
        <v>15.96</v>
      </c>
      <c r="M143" s="16">
        <f t="shared" si="2"/>
        <v>0</v>
      </c>
      <c r="N143" s="5" t="s">
        <v>208</v>
      </c>
    </row>
    <row r="144" spans="1:14" x14ac:dyDescent="0.2">
      <c r="A144" s="5" t="s">
        <v>23</v>
      </c>
      <c r="B144" s="5" t="s">
        <v>30</v>
      </c>
      <c r="C144" s="5" t="s">
        <v>125</v>
      </c>
      <c r="D144" s="5"/>
      <c r="E144" s="8">
        <v>55.2</v>
      </c>
      <c r="F144" s="5"/>
      <c r="G144" s="5"/>
      <c r="H144" s="8">
        <v>56.01</v>
      </c>
      <c r="I144" s="8">
        <v>56.01</v>
      </c>
      <c r="J144" s="5"/>
      <c r="K144" s="8">
        <v>55.2</v>
      </c>
      <c r="L144" s="8">
        <v>56.01</v>
      </c>
      <c r="M144" s="16">
        <f t="shared" si="2"/>
        <v>1.4673913043478093E-2</v>
      </c>
      <c r="N144" s="17" t="s">
        <v>22</v>
      </c>
    </row>
    <row r="145" spans="1:14" x14ac:dyDescent="0.2">
      <c r="A145" s="5" t="s">
        <v>23</v>
      </c>
      <c r="B145" s="5" t="s">
        <v>30</v>
      </c>
      <c r="C145" s="5" t="s">
        <v>121</v>
      </c>
      <c r="D145" s="8">
        <v>54.14</v>
      </c>
      <c r="E145" s="8">
        <v>54.14</v>
      </c>
      <c r="F145" s="5"/>
      <c r="G145" s="5"/>
      <c r="H145" s="8">
        <v>55.17</v>
      </c>
      <c r="I145" s="8">
        <v>55.17</v>
      </c>
      <c r="J145" s="8">
        <v>55.17</v>
      </c>
      <c r="K145" s="8">
        <v>54.14</v>
      </c>
      <c r="L145" s="8">
        <v>55.17</v>
      </c>
      <c r="M145" s="16">
        <f t="shared" si="2"/>
        <v>1.9024750646472022E-2</v>
      </c>
      <c r="N145" s="17" t="s">
        <v>22</v>
      </c>
    </row>
    <row r="146" spans="1:14" x14ac:dyDescent="0.2">
      <c r="A146" s="5" t="s">
        <v>23</v>
      </c>
      <c r="B146" s="5" t="s">
        <v>30</v>
      </c>
      <c r="C146" s="5" t="s">
        <v>308</v>
      </c>
      <c r="D146" s="5"/>
      <c r="E146" s="8">
        <v>2.59</v>
      </c>
      <c r="F146" s="5"/>
      <c r="G146" s="5"/>
      <c r="H146" s="8">
        <v>2.59</v>
      </c>
      <c r="I146" s="5"/>
      <c r="J146" s="5"/>
      <c r="K146" s="8">
        <v>2.59</v>
      </c>
      <c r="L146" s="8">
        <v>2.59</v>
      </c>
      <c r="M146" s="16">
        <f t="shared" si="2"/>
        <v>0</v>
      </c>
      <c r="N146" s="5" t="s">
        <v>208</v>
      </c>
    </row>
    <row r="147" spans="1:14" x14ac:dyDescent="0.2">
      <c r="A147" s="5" t="s">
        <v>23</v>
      </c>
      <c r="B147" s="5" t="s">
        <v>30</v>
      </c>
      <c r="C147" s="5" t="s">
        <v>309</v>
      </c>
      <c r="D147" s="5"/>
      <c r="E147" s="5"/>
      <c r="F147" s="5"/>
      <c r="G147" s="5"/>
      <c r="H147" s="8">
        <v>8.36</v>
      </c>
      <c r="I147" s="5"/>
      <c r="J147" s="8">
        <v>8.36</v>
      </c>
      <c r="K147" s="8">
        <v>8.36</v>
      </c>
      <c r="L147" s="8">
        <v>8.36</v>
      </c>
      <c r="M147" s="16">
        <f t="shared" si="2"/>
        <v>0</v>
      </c>
      <c r="N147" s="5" t="s">
        <v>208</v>
      </c>
    </row>
    <row r="148" spans="1:14" x14ac:dyDescent="0.2">
      <c r="A148" s="5" t="s">
        <v>23</v>
      </c>
      <c r="B148" s="5" t="s">
        <v>30</v>
      </c>
      <c r="C148" s="5" t="s">
        <v>310</v>
      </c>
      <c r="D148" s="5"/>
      <c r="E148" s="5"/>
      <c r="F148" s="5"/>
      <c r="G148" s="5"/>
      <c r="H148" s="5"/>
      <c r="I148" s="8">
        <v>8.36</v>
      </c>
      <c r="J148" s="8">
        <v>8.36</v>
      </c>
      <c r="K148" s="8">
        <v>8.36</v>
      </c>
      <c r="L148" s="8">
        <v>8.36</v>
      </c>
      <c r="M148" s="16">
        <f t="shared" si="2"/>
        <v>0</v>
      </c>
      <c r="N148" s="5" t="s">
        <v>208</v>
      </c>
    </row>
    <row r="149" spans="1:14" x14ac:dyDescent="0.2">
      <c r="A149" s="5" t="s">
        <v>23</v>
      </c>
      <c r="B149" s="5" t="s">
        <v>30</v>
      </c>
      <c r="C149" s="5" t="s">
        <v>311</v>
      </c>
      <c r="D149" s="8">
        <v>5.15</v>
      </c>
      <c r="E149" s="8">
        <v>5.15</v>
      </c>
      <c r="F149" s="5"/>
      <c r="G149" s="5"/>
      <c r="H149" s="8">
        <v>5.15</v>
      </c>
      <c r="I149" s="5"/>
      <c r="J149" s="5"/>
      <c r="K149" s="8">
        <v>5.15</v>
      </c>
      <c r="L149" s="8">
        <v>5.15</v>
      </c>
      <c r="M149" s="16">
        <f t="shared" si="2"/>
        <v>0</v>
      </c>
      <c r="N149" s="5" t="s">
        <v>208</v>
      </c>
    </row>
    <row r="150" spans="1:14" x14ac:dyDescent="0.2">
      <c r="A150" s="5" t="s">
        <v>23</v>
      </c>
      <c r="B150" s="5" t="s">
        <v>30</v>
      </c>
      <c r="C150" s="5" t="s">
        <v>312</v>
      </c>
      <c r="D150" s="5"/>
      <c r="E150" s="8">
        <v>14.57</v>
      </c>
      <c r="F150" s="5"/>
      <c r="G150" s="5"/>
      <c r="H150" s="8">
        <v>14.57</v>
      </c>
      <c r="I150" s="5"/>
      <c r="J150" s="8">
        <v>14.57</v>
      </c>
      <c r="K150" s="8">
        <v>14.57</v>
      </c>
      <c r="L150" s="8">
        <v>14.57</v>
      </c>
      <c r="M150" s="16">
        <f t="shared" si="2"/>
        <v>0</v>
      </c>
      <c r="N150" s="5" t="s">
        <v>208</v>
      </c>
    </row>
    <row r="151" spans="1:14" x14ac:dyDescent="0.2">
      <c r="A151" s="5" t="s">
        <v>23</v>
      </c>
      <c r="B151" s="5" t="s">
        <v>30</v>
      </c>
      <c r="C151" s="5" t="s">
        <v>270</v>
      </c>
      <c r="D151" s="5"/>
      <c r="E151" s="5"/>
      <c r="F151" s="5"/>
      <c r="G151" s="5"/>
      <c r="H151" s="8">
        <v>38.4</v>
      </c>
      <c r="I151" s="8">
        <v>38.4</v>
      </c>
      <c r="J151" s="8">
        <v>38.4</v>
      </c>
      <c r="K151" s="8">
        <v>38.4</v>
      </c>
      <c r="L151" s="8">
        <v>38.4</v>
      </c>
      <c r="M151" s="16">
        <f t="shared" si="2"/>
        <v>0</v>
      </c>
      <c r="N151" s="5" t="s">
        <v>208</v>
      </c>
    </row>
    <row r="152" spans="1:14" x14ac:dyDescent="0.2">
      <c r="A152" s="5" t="s">
        <v>23</v>
      </c>
      <c r="B152" s="5" t="s">
        <v>30</v>
      </c>
      <c r="C152" s="5" t="s">
        <v>313</v>
      </c>
      <c r="D152" s="5"/>
      <c r="E152" s="5"/>
      <c r="F152" s="5"/>
      <c r="G152" s="5"/>
      <c r="H152" s="8">
        <v>12.1</v>
      </c>
      <c r="I152" s="8">
        <v>12.1</v>
      </c>
      <c r="J152" s="5"/>
      <c r="K152" s="8">
        <v>12.1</v>
      </c>
      <c r="L152" s="8">
        <v>12.1</v>
      </c>
      <c r="M152" s="16">
        <f t="shared" si="2"/>
        <v>0</v>
      </c>
      <c r="N152" s="5" t="s">
        <v>208</v>
      </c>
    </row>
    <row r="153" spans="1:14" x14ac:dyDescent="0.2">
      <c r="A153" s="5" t="s">
        <v>23</v>
      </c>
      <c r="B153" s="5" t="s">
        <v>30</v>
      </c>
      <c r="C153" s="5" t="s">
        <v>314</v>
      </c>
      <c r="D153" s="5"/>
      <c r="E153" s="8">
        <v>73.12</v>
      </c>
      <c r="F153" s="5"/>
      <c r="G153" s="5"/>
      <c r="H153" s="8">
        <v>72.48</v>
      </c>
      <c r="I153" s="8">
        <v>72.48</v>
      </c>
      <c r="J153" s="5"/>
      <c r="K153" s="8">
        <v>73.12</v>
      </c>
      <c r="L153" s="8">
        <v>72.48</v>
      </c>
      <c r="M153" s="16">
        <f t="shared" si="2"/>
        <v>-8.7527352297592786E-3</v>
      </c>
      <c r="N153" s="18" t="s">
        <v>212</v>
      </c>
    </row>
    <row r="154" spans="1:14" x14ac:dyDescent="0.2">
      <c r="A154" s="5" t="s">
        <v>23</v>
      </c>
      <c r="B154" s="5" t="s">
        <v>30</v>
      </c>
      <c r="C154" s="5" t="s">
        <v>315</v>
      </c>
      <c r="D154" s="8">
        <v>11.35</v>
      </c>
      <c r="E154" s="8">
        <v>11.35</v>
      </c>
      <c r="F154" s="5"/>
      <c r="G154" s="5"/>
      <c r="H154" s="8">
        <v>11.35</v>
      </c>
      <c r="I154" s="8">
        <v>11.35</v>
      </c>
      <c r="J154" s="5"/>
      <c r="K154" s="8">
        <v>11.35</v>
      </c>
      <c r="L154" s="8">
        <v>11.35</v>
      </c>
      <c r="M154" s="16">
        <f t="shared" si="2"/>
        <v>0</v>
      </c>
      <c r="N154" s="5" t="s">
        <v>208</v>
      </c>
    </row>
    <row r="155" spans="1:14" x14ac:dyDescent="0.2">
      <c r="A155" s="5" t="s">
        <v>23</v>
      </c>
      <c r="B155" s="5" t="s">
        <v>30</v>
      </c>
      <c r="C155" s="5" t="s">
        <v>145</v>
      </c>
      <c r="D155" s="8">
        <v>13.32</v>
      </c>
      <c r="E155" s="8">
        <v>13.32</v>
      </c>
      <c r="F155" s="5"/>
      <c r="G155" s="5"/>
      <c r="H155" s="8">
        <v>13.38</v>
      </c>
      <c r="I155" s="8">
        <v>13.38</v>
      </c>
      <c r="J155" s="5"/>
      <c r="K155" s="8">
        <v>13.32</v>
      </c>
      <c r="L155" s="8">
        <v>13.38</v>
      </c>
      <c r="M155" s="16">
        <f t="shared" si="2"/>
        <v>4.5045045045044585E-3</v>
      </c>
      <c r="N155" s="17" t="s">
        <v>22</v>
      </c>
    </row>
    <row r="156" spans="1:14" x14ac:dyDescent="0.2">
      <c r="A156" s="5" t="s">
        <v>23</v>
      </c>
      <c r="B156" s="5" t="s">
        <v>30</v>
      </c>
      <c r="C156" s="5" t="s">
        <v>316</v>
      </c>
      <c r="D156" s="8">
        <v>43.6</v>
      </c>
      <c r="E156" s="5"/>
      <c r="F156" s="5"/>
      <c r="G156" s="5"/>
      <c r="H156" s="8">
        <v>43.6</v>
      </c>
      <c r="I156" s="5"/>
      <c r="J156" s="5"/>
      <c r="K156" s="8">
        <v>43.6</v>
      </c>
      <c r="L156" s="8">
        <v>43.6</v>
      </c>
      <c r="M156" s="16">
        <f t="shared" si="2"/>
        <v>0</v>
      </c>
      <c r="N156" s="5" t="s">
        <v>208</v>
      </c>
    </row>
    <row r="157" spans="1:14" x14ac:dyDescent="0.2">
      <c r="A157" s="5" t="s">
        <v>23</v>
      </c>
      <c r="B157" s="5" t="s">
        <v>30</v>
      </c>
      <c r="C157" s="5" t="s">
        <v>317</v>
      </c>
      <c r="D157" s="8">
        <v>11.09</v>
      </c>
      <c r="E157" s="8">
        <v>11.09</v>
      </c>
      <c r="F157" s="5"/>
      <c r="G157" s="5"/>
      <c r="H157" s="8">
        <v>11.09</v>
      </c>
      <c r="I157" s="5"/>
      <c r="J157" s="8">
        <v>11.09</v>
      </c>
      <c r="K157" s="8">
        <v>11.09</v>
      </c>
      <c r="L157" s="8">
        <v>11.09</v>
      </c>
      <c r="M157" s="16">
        <f t="shared" si="2"/>
        <v>0</v>
      </c>
      <c r="N157" s="5" t="s">
        <v>208</v>
      </c>
    </row>
    <row r="158" spans="1:14" x14ac:dyDescent="0.2">
      <c r="A158" s="5" t="s">
        <v>23</v>
      </c>
      <c r="B158" s="5" t="s">
        <v>30</v>
      </c>
      <c r="C158" s="5" t="s">
        <v>318</v>
      </c>
      <c r="D158" s="8">
        <v>44.8</v>
      </c>
      <c r="E158" s="5"/>
      <c r="F158" s="5"/>
      <c r="G158" s="5"/>
      <c r="H158" s="8">
        <v>44.8</v>
      </c>
      <c r="I158" s="5"/>
      <c r="J158" s="5"/>
      <c r="K158" s="8">
        <v>44.8</v>
      </c>
      <c r="L158" s="8">
        <v>44.8</v>
      </c>
      <c r="M158" s="16">
        <f t="shared" si="2"/>
        <v>0</v>
      </c>
      <c r="N158" s="5" t="s">
        <v>208</v>
      </c>
    </row>
    <row r="159" spans="1:14" x14ac:dyDescent="0.2">
      <c r="A159" s="5" t="s">
        <v>23</v>
      </c>
      <c r="B159" s="5" t="s">
        <v>30</v>
      </c>
      <c r="C159" s="5" t="s">
        <v>31</v>
      </c>
      <c r="D159" s="8">
        <v>122.71</v>
      </c>
      <c r="E159" s="5"/>
      <c r="F159" s="5"/>
      <c r="G159" s="5"/>
      <c r="H159" s="8">
        <v>132.94</v>
      </c>
      <c r="I159" s="5"/>
      <c r="J159" s="5"/>
      <c r="K159" s="8">
        <v>122.71</v>
      </c>
      <c r="L159" s="8">
        <v>132.94</v>
      </c>
      <c r="M159" s="16">
        <f t="shared" si="2"/>
        <v>8.3367288729524924E-2</v>
      </c>
      <c r="N159" s="17" t="s">
        <v>22</v>
      </c>
    </row>
    <row r="160" spans="1:14" x14ac:dyDescent="0.2">
      <c r="A160" s="5" t="s">
        <v>23</v>
      </c>
      <c r="B160" s="5" t="s">
        <v>24</v>
      </c>
      <c r="C160" s="5" t="s">
        <v>25</v>
      </c>
      <c r="D160" s="5"/>
      <c r="E160" s="8">
        <v>15.5</v>
      </c>
      <c r="F160" s="8">
        <v>15.5</v>
      </c>
      <c r="G160" s="8">
        <v>15.5</v>
      </c>
      <c r="H160" s="8">
        <v>16.899999999999999</v>
      </c>
      <c r="I160" s="8">
        <v>16.899999999999999</v>
      </c>
      <c r="J160" s="5"/>
      <c r="K160" s="8">
        <v>15.5</v>
      </c>
      <c r="L160" s="8">
        <v>16.899999999999999</v>
      </c>
      <c r="M160" s="16">
        <f t="shared" si="2"/>
        <v>9.0322580645161299E-2</v>
      </c>
      <c r="N160" s="17" t="s">
        <v>22</v>
      </c>
    </row>
    <row r="161" spans="1:14" x14ac:dyDescent="0.2">
      <c r="A161" s="5" t="s">
        <v>23</v>
      </c>
      <c r="B161" s="5" t="s">
        <v>24</v>
      </c>
      <c r="C161" s="5" t="s">
        <v>319</v>
      </c>
      <c r="D161" s="5"/>
      <c r="E161" s="8">
        <v>30.9</v>
      </c>
      <c r="F161" s="8">
        <v>30.9</v>
      </c>
      <c r="G161" s="8">
        <v>30.9</v>
      </c>
      <c r="H161" s="8">
        <v>30.9</v>
      </c>
      <c r="I161" s="5"/>
      <c r="J161" s="5"/>
      <c r="K161" s="8">
        <v>30.9</v>
      </c>
      <c r="L161" s="8">
        <v>30.9</v>
      </c>
      <c r="M161" s="16">
        <f t="shared" si="2"/>
        <v>0</v>
      </c>
      <c r="N161" s="5" t="s">
        <v>208</v>
      </c>
    </row>
    <row r="162" spans="1:14" x14ac:dyDescent="0.2">
      <c r="A162" s="5" t="s">
        <v>23</v>
      </c>
      <c r="B162" s="5" t="s">
        <v>39</v>
      </c>
      <c r="C162" s="5" t="s">
        <v>49</v>
      </c>
      <c r="D162" s="8">
        <v>25.463999999999999</v>
      </c>
      <c r="E162" s="8">
        <v>25.463999999999999</v>
      </c>
      <c r="F162" s="5"/>
      <c r="G162" s="5"/>
      <c r="H162" s="8">
        <v>25.463999999999999</v>
      </c>
      <c r="I162" s="8">
        <v>26.81</v>
      </c>
      <c r="J162" s="5"/>
      <c r="K162" s="8">
        <v>25.463999999999999</v>
      </c>
      <c r="L162" s="8">
        <v>26.81</v>
      </c>
      <c r="M162" s="16">
        <f t="shared" si="2"/>
        <v>5.2858938108702569E-2</v>
      </c>
      <c r="N162" s="17" t="s">
        <v>22</v>
      </c>
    </row>
    <row r="163" spans="1:14" x14ac:dyDescent="0.2">
      <c r="A163" s="5" t="s">
        <v>23</v>
      </c>
      <c r="B163" s="5" t="s">
        <v>39</v>
      </c>
      <c r="C163" s="5" t="s">
        <v>47</v>
      </c>
      <c r="D163" s="8">
        <v>11.68</v>
      </c>
      <c r="E163" s="8">
        <v>11.68</v>
      </c>
      <c r="F163" s="5"/>
      <c r="G163" s="5"/>
      <c r="H163" s="8">
        <v>11.68</v>
      </c>
      <c r="I163" s="8">
        <v>12.3</v>
      </c>
      <c r="J163" s="5"/>
      <c r="K163" s="8">
        <v>11.68</v>
      </c>
      <c r="L163" s="8">
        <v>12.3</v>
      </c>
      <c r="M163" s="16">
        <f t="shared" si="2"/>
        <v>5.3082191780821963E-2</v>
      </c>
      <c r="N163" s="17" t="s">
        <v>22</v>
      </c>
    </row>
    <row r="164" spans="1:14" x14ac:dyDescent="0.2">
      <c r="A164" s="5" t="s">
        <v>23</v>
      </c>
      <c r="B164" s="5" t="s">
        <v>39</v>
      </c>
      <c r="C164" s="5" t="s">
        <v>320</v>
      </c>
      <c r="D164" s="8">
        <v>41.92</v>
      </c>
      <c r="E164" s="8">
        <v>41.92</v>
      </c>
      <c r="F164" s="5"/>
      <c r="G164" s="5"/>
      <c r="H164" s="8">
        <v>41.92</v>
      </c>
      <c r="I164" s="8">
        <v>41.92</v>
      </c>
      <c r="J164" s="5"/>
      <c r="K164" s="8">
        <v>41.92</v>
      </c>
      <c r="L164" s="8">
        <v>41.92</v>
      </c>
      <c r="M164" s="16">
        <f t="shared" si="2"/>
        <v>0</v>
      </c>
      <c r="N164" s="5" t="s">
        <v>208</v>
      </c>
    </row>
    <row r="165" spans="1:14" x14ac:dyDescent="0.2">
      <c r="A165" s="5" t="s">
        <v>23</v>
      </c>
      <c r="B165" s="5" t="s">
        <v>39</v>
      </c>
      <c r="C165" s="5" t="s">
        <v>55</v>
      </c>
      <c r="D165" s="8">
        <v>31.92</v>
      </c>
      <c r="E165" s="8">
        <v>33.840000000000003</v>
      </c>
      <c r="F165" s="5"/>
      <c r="G165" s="5"/>
      <c r="H165" s="8">
        <v>33.840000000000003</v>
      </c>
      <c r="I165" s="8">
        <v>33.54</v>
      </c>
      <c r="J165" s="5"/>
      <c r="K165" s="8">
        <v>31.92</v>
      </c>
      <c r="L165" s="8">
        <v>33.54</v>
      </c>
      <c r="M165" s="16">
        <f t="shared" si="2"/>
        <v>5.0751879699248104E-2</v>
      </c>
      <c r="N165" s="17" t="s">
        <v>22</v>
      </c>
    </row>
    <row r="166" spans="1:14" x14ac:dyDescent="0.2">
      <c r="A166" s="5" t="s">
        <v>23</v>
      </c>
      <c r="B166" s="5" t="s">
        <v>39</v>
      </c>
      <c r="C166" s="5" t="s">
        <v>40</v>
      </c>
      <c r="D166" s="8">
        <v>31.92</v>
      </c>
      <c r="E166" s="8">
        <v>33.840000000000003</v>
      </c>
      <c r="F166" s="5"/>
      <c r="G166" s="5"/>
      <c r="H166" s="8">
        <v>33.840000000000003</v>
      </c>
      <c r="I166" s="8">
        <v>33.840000000000003</v>
      </c>
      <c r="J166" s="5"/>
      <c r="K166" s="8">
        <v>31.92</v>
      </c>
      <c r="L166" s="8">
        <v>33.840000000000003</v>
      </c>
      <c r="M166" s="16">
        <f t="shared" si="2"/>
        <v>6.0150375939849621E-2</v>
      </c>
      <c r="N166" s="17" t="s">
        <v>22</v>
      </c>
    </row>
    <row r="167" spans="1:14" x14ac:dyDescent="0.2">
      <c r="A167" s="5" t="s">
        <v>23</v>
      </c>
      <c r="B167" s="5" t="s">
        <v>39</v>
      </c>
      <c r="C167" s="5" t="s">
        <v>53</v>
      </c>
      <c r="D167" s="8">
        <v>37.68</v>
      </c>
      <c r="E167" s="5"/>
      <c r="F167" s="5"/>
      <c r="G167" s="5"/>
      <c r="H167" s="8">
        <v>39.6</v>
      </c>
      <c r="I167" s="5"/>
      <c r="J167" s="5"/>
      <c r="K167" s="8">
        <v>37.68</v>
      </c>
      <c r="L167" s="8">
        <v>39.6</v>
      </c>
      <c r="M167" s="16">
        <f t="shared" si="2"/>
        <v>5.0955414012738842E-2</v>
      </c>
      <c r="N167" s="17" t="s">
        <v>22</v>
      </c>
    </row>
    <row r="168" spans="1:14" x14ac:dyDescent="0.2">
      <c r="A168" s="5" t="s">
        <v>23</v>
      </c>
      <c r="B168" s="5" t="s">
        <v>39</v>
      </c>
      <c r="C168" s="5" t="s">
        <v>76</v>
      </c>
      <c r="D168" s="8">
        <v>20.64</v>
      </c>
      <c r="E168" s="8">
        <v>21.48</v>
      </c>
      <c r="F168" s="5"/>
      <c r="G168" s="5"/>
      <c r="H168" s="8">
        <v>21.48</v>
      </c>
      <c r="I168" s="8">
        <v>21.48</v>
      </c>
      <c r="J168" s="5"/>
      <c r="K168" s="8">
        <v>20.64</v>
      </c>
      <c r="L168" s="8">
        <v>21.48</v>
      </c>
      <c r="M168" s="16">
        <f t="shared" si="2"/>
        <v>4.0697674418604723E-2</v>
      </c>
      <c r="N168" s="17" t="s">
        <v>22</v>
      </c>
    </row>
    <row r="169" spans="1:14" x14ac:dyDescent="0.2">
      <c r="A169" s="5" t="s">
        <v>23</v>
      </c>
      <c r="B169" s="5" t="s">
        <v>39</v>
      </c>
      <c r="C169" s="5" t="s">
        <v>74</v>
      </c>
      <c r="D169" s="8">
        <v>23.64</v>
      </c>
      <c r="E169" s="8">
        <v>24.61</v>
      </c>
      <c r="F169" s="5"/>
      <c r="G169" s="5"/>
      <c r="H169" s="8">
        <v>24.61</v>
      </c>
      <c r="I169" s="8">
        <v>24.61</v>
      </c>
      <c r="J169" s="5"/>
      <c r="K169" s="8">
        <v>23.64</v>
      </c>
      <c r="L169" s="8">
        <v>24.61</v>
      </c>
      <c r="M169" s="16">
        <f t="shared" si="2"/>
        <v>4.1032148900169263E-2</v>
      </c>
      <c r="N169" s="17" t="s">
        <v>22</v>
      </c>
    </row>
    <row r="170" spans="1:14" x14ac:dyDescent="0.2">
      <c r="A170" s="5" t="s">
        <v>23</v>
      </c>
      <c r="B170" s="5" t="s">
        <v>39</v>
      </c>
      <c r="C170" s="5" t="s">
        <v>100</v>
      </c>
      <c r="D170" s="8">
        <v>31.92</v>
      </c>
      <c r="E170" s="8">
        <v>32.880000000000003</v>
      </c>
      <c r="F170" s="5"/>
      <c r="G170" s="5"/>
      <c r="H170" s="8">
        <v>32.880000000000003</v>
      </c>
      <c r="I170" s="8">
        <v>32.880000000000003</v>
      </c>
      <c r="J170" s="5"/>
      <c r="K170" s="8">
        <v>31.92</v>
      </c>
      <c r="L170" s="8">
        <v>32.880000000000003</v>
      </c>
      <c r="M170" s="16">
        <f t="shared" si="2"/>
        <v>3.007518796992481E-2</v>
      </c>
      <c r="N170" s="17" t="s">
        <v>22</v>
      </c>
    </row>
    <row r="171" spans="1:14" x14ac:dyDescent="0.2">
      <c r="A171" s="5" t="s">
        <v>23</v>
      </c>
      <c r="B171" s="5" t="s">
        <v>39</v>
      </c>
      <c r="C171" s="5" t="s">
        <v>321</v>
      </c>
      <c r="D171" s="8">
        <v>38.299999999999997</v>
      </c>
      <c r="E171" s="8">
        <v>38.299999999999997</v>
      </c>
      <c r="F171" s="5"/>
      <c r="G171" s="5"/>
      <c r="H171" s="8">
        <v>38.299999999999997</v>
      </c>
      <c r="I171" s="8">
        <v>38.299999999999997</v>
      </c>
      <c r="J171" s="5"/>
      <c r="K171" s="8">
        <v>38.299999999999997</v>
      </c>
      <c r="L171" s="8">
        <v>38.299999999999997</v>
      </c>
      <c r="M171" s="16">
        <f t="shared" si="2"/>
        <v>0</v>
      </c>
      <c r="N171" s="5" t="s">
        <v>208</v>
      </c>
    </row>
    <row r="172" spans="1:14" x14ac:dyDescent="0.2">
      <c r="A172" s="5" t="s">
        <v>23</v>
      </c>
      <c r="B172" s="5" t="s">
        <v>39</v>
      </c>
      <c r="C172" s="5" t="s">
        <v>322</v>
      </c>
      <c r="D172" s="8">
        <v>45.52</v>
      </c>
      <c r="E172" s="8">
        <v>45.52</v>
      </c>
      <c r="F172" s="5"/>
      <c r="G172" s="5"/>
      <c r="H172" s="8">
        <v>45.52</v>
      </c>
      <c r="I172" s="8">
        <v>45.52</v>
      </c>
      <c r="J172" s="5"/>
      <c r="K172" s="8">
        <v>45.52</v>
      </c>
      <c r="L172" s="8">
        <v>45.52</v>
      </c>
      <c r="M172" s="16">
        <f t="shared" si="2"/>
        <v>0</v>
      </c>
      <c r="N172" s="5" t="s">
        <v>208</v>
      </c>
    </row>
    <row r="173" spans="1:14" x14ac:dyDescent="0.2">
      <c r="A173" s="5" t="s">
        <v>23</v>
      </c>
      <c r="B173" s="5" t="s">
        <v>39</v>
      </c>
      <c r="C173" s="5" t="s">
        <v>323</v>
      </c>
      <c r="D173" s="8">
        <v>31.27</v>
      </c>
      <c r="E173" s="8">
        <v>31.27</v>
      </c>
      <c r="F173" s="5"/>
      <c r="G173" s="5"/>
      <c r="H173" s="8">
        <v>31.27</v>
      </c>
      <c r="I173" s="8">
        <v>31.26</v>
      </c>
      <c r="J173" s="5"/>
      <c r="K173" s="8">
        <v>31.27</v>
      </c>
      <c r="L173" s="8">
        <v>31.26</v>
      </c>
      <c r="M173" s="16">
        <f t="shared" si="2"/>
        <v>-3.1979533098813739E-4</v>
      </c>
      <c r="N173" s="5" t="s">
        <v>208</v>
      </c>
    </row>
    <row r="174" spans="1:14" x14ac:dyDescent="0.2">
      <c r="A174" s="5" t="s">
        <v>23</v>
      </c>
      <c r="B174" s="5" t="s">
        <v>39</v>
      </c>
      <c r="C174" s="5" t="s">
        <v>324</v>
      </c>
      <c r="D174" s="8">
        <v>38.380000000000003</v>
      </c>
      <c r="E174" s="8">
        <v>38.380000000000003</v>
      </c>
      <c r="F174" s="5"/>
      <c r="G174" s="5"/>
      <c r="H174" s="8">
        <v>38.380000000000003</v>
      </c>
      <c r="I174" s="5"/>
      <c r="J174" s="5"/>
      <c r="K174" s="8">
        <v>38.380000000000003</v>
      </c>
      <c r="L174" s="8">
        <v>38.380000000000003</v>
      </c>
      <c r="M174" s="16">
        <f t="shared" si="2"/>
        <v>0</v>
      </c>
      <c r="N174" s="5" t="s">
        <v>208</v>
      </c>
    </row>
    <row r="175" spans="1:14" x14ac:dyDescent="0.2">
      <c r="A175" s="5" t="s">
        <v>23</v>
      </c>
      <c r="B175" s="5" t="s">
        <v>39</v>
      </c>
      <c r="C175" s="5" t="s">
        <v>325</v>
      </c>
      <c r="D175" s="8">
        <v>46.21</v>
      </c>
      <c r="E175" s="8">
        <v>46.21</v>
      </c>
      <c r="F175" s="5"/>
      <c r="G175" s="5"/>
      <c r="H175" s="8">
        <v>46.21</v>
      </c>
      <c r="I175" s="8">
        <v>46.21</v>
      </c>
      <c r="J175" s="5"/>
      <c r="K175" s="8">
        <v>46.21</v>
      </c>
      <c r="L175" s="8">
        <v>46.21</v>
      </c>
      <c r="M175" s="16">
        <f t="shared" si="2"/>
        <v>0</v>
      </c>
      <c r="N175" s="5" t="s">
        <v>208</v>
      </c>
    </row>
    <row r="176" spans="1:14" x14ac:dyDescent="0.2">
      <c r="A176" s="5" t="s">
        <v>23</v>
      </c>
      <c r="B176" s="5" t="s">
        <v>39</v>
      </c>
      <c r="C176" s="5" t="s">
        <v>326</v>
      </c>
      <c r="D176" s="5"/>
      <c r="E176" s="8">
        <v>31.92</v>
      </c>
      <c r="F176" s="5"/>
      <c r="G176" s="5"/>
      <c r="H176" s="8">
        <v>31.92</v>
      </c>
      <c r="I176" s="5"/>
      <c r="J176" s="5"/>
      <c r="K176" s="8">
        <v>31.92</v>
      </c>
      <c r="L176" s="8">
        <v>31.92</v>
      </c>
      <c r="M176" s="16">
        <f t="shared" si="2"/>
        <v>0</v>
      </c>
      <c r="N176" s="5" t="s">
        <v>208</v>
      </c>
    </row>
    <row r="177" spans="1:14" x14ac:dyDescent="0.2">
      <c r="A177" s="5" t="s">
        <v>23</v>
      </c>
      <c r="B177" s="5" t="s">
        <v>39</v>
      </c>
      <c r="C177" s="5" t="s">
        <v>108</v>
      </c>
      <c r="D177" s="8">
        <v>25.48</v>
      </c>
      <c r="E177" s="8">
        <v>26.04</v>
      </c>
      <c r="F177" s="5"/>
      <c r="G177" s="5"/>
      <c r="H177" s="8">
        <v>26.04</v>
      </c>
      <c r="I177" s="8">
        <v>26.04</v>
      </c>
      <c r="J177" s="5"/>
      <c r="K177" s="8">
        <v>25.48</v>
      </c>
      <c r="L177" s="8">
        <v>26.04</v>
      </c>
      <c r="M177" s="16">
        <f t="shared" si="2"/>
        <v>2.19780219780219E-2</v>
      </c>
      <c r="N177" s="17" t="s">
        <v>22</v>
      </c>
    </row>
    <row r="178" spans="1:14" x14ac:dyDescent="0.2">
      <c r="A178" s="5" t="s">
        <v>23</v>
      </c>
      <c r="B178" s="5" t="s">
        <v>39</v>
      </c>
      <c r="C178" s="5" t="s">
        <v>110</v>
      </c>
      <c r="D178" s="8">
        <v>25.48</v>
      </c>
      <c r="E178" s="8">
        <v>26.04</v>
      </c>
      <c r="F178" s="5"/>
      <c r="G178" s="5"/>
      <c r="H178" s="8">
        <v>26.04</v>
      </c>
      <c r="I178" s="8">
        <v>26.04</v>
      </c>
      <c r="J178" s="5"/>
      <c r="K178" s="8">
        <v>25.48</v>
      </c>
      <c r="L178" s="8">
        <v>26.04</v>
      </c>
      <c r="M178" s="16">
        <f t="shared" si="2"/>
        <v>2.19780219780219E-2</v>
      </c>
      <c r="N178" s="17" t="s">
        <v>22</v>
      </c>
    </row>
    <row r="179" spans="1:14" x14ac:dyDescent="0.2">
      <c r="A179" s="5" t="s">
        <v>23</v>
      </c>
      <c r="B179" s="5" t="s">
        <v>39</v>
      </c>
      <c r="C179" s="5" t="s">
        <v>327</v>
      </c>
      <c r="D179" s="5"/>
      <c r="E179" s="8">
        <v>23.28</v>
      </c>
      <c r="F179" s="5"/>
      <c r="G179" s="5"/>
      <c r="H179" s="8">
        <v>23.28</v>
      </c>
      <c r="I179" s="5"/>
      <c r="J179" s="5"/>
      <c r="K179" s="8">
        <v>23.28</v>
      </c>
      <c r="L179" s="8">
        <v>23.28</v>
      </c>
      <c r="M179" s="16">
        <f t="shared" si="2"/>
        <v>0</v>
      </c>
      <c r="N179" s="5" t="s">
        <v>208</v>
      </c>
    </row>
    <row r="180" spans="1:14" x14ac:dyDescent="0.2">
      <c r="A180" s="5" t="s">
        <v>23</v>
      </c>
      <c r="B180" s="5" t="s">
        <v>39</v>
      </c>
      <c r="C180" s="5" t="s">
        <v>90</v>
      </c>
      <c r="D180" s="8">
        <v>30.8</v>
      </c>
      <c r="E180" s="8">
        <v>31.92</v>
      </c>
      <c r="F180" s="5"/>
      <c r="G180" s="5"/>
      <c r="H180" s="8">
        <v>31.92</v>
      </c>
      <c r="I180" s="8">
        <v>31.92</v>
      </c>
      <c r="J180" s="5"/>
      <c r="K180" s="8">
        <v>30.8</v>
      </c>
      <c r="L180" s="8">
        <v>31.92</v>
      </c>
      <c r="M180" s="16">
        <f t="shared" si="2"/>
        <v>3.6363636363636376E-2</v>
      </c>
      <c r="N180" s="17" t="s">
        <v>22</v>
      </c>
    </row>
    <row r="181" spans="1:14" x14ac:dyDescent="0.2">
      <c r="A181" s="5" t="s">
        <v>23</v>
      </c>
      <c r="B181" s="5" t="s">
        <v>39</v>
      </c>
      <c r="C181" s="5" t="s">
        <v>98</v>
      </c>
      <c r="D181" s="8">
        <v>22.56</v>
      </c>
      <c r="E181" s="8">
        <v>23.28</v>
      </c>
      <c r="F181" s="5"/>
      <c r="G181" s="5"/>
      <c r="H181" s="8">
        <v>23.28</v>
      </c>
      <c r="I181" s="5"/>
      <c r="J181" s="5"/>
      <c r="K181" s="8">
        <v>22.56</v>
      </c>
      <c r="L181" s="8">
        <v>23.28</v>
      </c>
      <c r="M181" s="16">
        <f t="shared" si="2"/>
        <v>3.1914893617021489E-2</v>
      </c>
      <c r="N181" s="17" t="s">
        <v>22</v>
      </c>
    </row>
    <row r="182" spans="1:14" x14ac:dyDescent="0.2">
      <c r="A182" s="5" t="s">
        <v>23</v>
      </c>
      <c r="B182" s="5" t="s">
        <v>39</v>
      </c>
      <c r="C182" s="5" t="s">
        <v>328</v>
      </c>
      <c r="D182" s="5"/>
      <c r="E182" s="8">
        <v>23.28</v>
      </c>
      <c r="F182" s="5"/>
      <c r="G182" s="5"/>
      <c r="H182" s="8">
        <v>23.28</v>
      </c>
      <c r="I182" s="8">
        <v>23.28</v>
      </c>
      <c r="J182" s="5"/>
      <c r="K182" s="8">
        <v>23.28</v>
      </c>
      <c r="L182" s="8">
        <v>23.28</v>
      </c>
      <c r="M182" s="16">
        <f t="shared" si="2"/>
        <v>0</v>
      </c>
      <c r="N182" s="5" t="s">
        <v>208</v>
      </c>
    </row>
    <row r="183" spans="1:14" x14ac:dyDescent="0.2">
      <c r="A183" s="5" t="s">
        <v>23</v>
      </c>
      <c r="B183" s="5" t="s">
        <v>39</v>
      </c>
      <c r="C183" s="5" t="s">
        <v>329</v>
      </c>
      <c r="D183" s="5"/>
      <c r="E183" s="8">
        <v>24</v>
      </c>
      <c r="F183" s="5"/>
      <c r="G183" s="5"/>
      <c r="H183" s="8">
        <v>24</v>
      </c>
      <c r="I183" s="5"/>
      <c r="J183" s="5"/>
      <c r="K183" s="8">
        <v>24</v>
      </c>
      <c r="L183" s="8">
        <v>24</v>
      </c>
      <c r="M183" s="16">
        <f t="shared" si="2"/>
        <v>0</v>
      </c>
      <c r="N183" s="5" t="s">
        <v>208</v>
      </c>
    </row>
    <row r="184" spans="1:14" x14ac:dyDescent="0.2">
      <c r="A184" s="5" t="s">
        <v>23</v>
      </c>
      <c r="B184" s="5" t="s">
        <v>39</v>
      </c>
      <c r="C184" s="5" t="s">
        <v>330</v>
      </c>
      <c r="D184" s="5"/>
      <c r="E184" s="5"/>
      <c r="F184" s="5"/>
      <c r="G184" s="5"/>
      <c r="H184" s="8">
        <v>29.91</v>
      </c>
      <c r="I184" s="8">
        <v>29.91</v>
      </c>
      <c r="J184" s="5"/>
      <c r="K184" s="8">
        <v>29.91</v>
      </c>
      <c r="L184" s="8">
        <v>29.91</v>
      </c>
      <c r="M184" s="16">
        <f t="shared" si="2"/>
        <v>0</v>
      </c>
      <c r="N184" s="5" t="s">
        <v>208</v>
      </c>
    </row>
    <row r="185" spans="1:14" x14ac:dyDescent="0.2">
      <c r="A185" s="5" t="s">
        <v>23</v>
      </c>
      <c r="B185" s="5" t="s">
        <v>39</v>
      </c>
      <c r="C185" s="5" t="s">
        <v>331</v>
      </c>
      <c r="D185" s="5"/>
      <c r="E185" s="8">
        <v>29.91</v>
      </c>
      <c r="F185" s="5"/>
      <c r="G185" s="5"/>
      <c r="H185" s="8">
        <v>29.91</v>
      </c>
      <c r="I185" s="5"/>
      <c r="J185" s="5"/>
      <c r="K185" s="8">
        <v>29.91</v>
      </c>
      <c r="L185" s="8">
        <v>29.91</v>
      </c>
      <c r="M185" s="16">
        <f t="shared" si="2"/>
        <v>0</v>
      </c>
      <c r="N185" s="5" t="s">
        <v>208</v>
      </c>
    </row>
    <row r="186" spans="1:14" x14ac:dyDescent="0.2">
      <c r="A186" s="5" t="s">
        <v>167</v>
      </c>
      <c r="B186" s="5" t="s">
        <v>168</v>
      </c>
      <c r="C186" s="5" t="s">
        <v>332</v>
      </c>
      <c r="D186" s="8">
        <v>9.65</v>
      </c>
      <c r="E186" s="8">
        <v>9.5</v>
      </c>
      <c r="F186" s="5"/>
      <c r="G186" s="8">
        <v>10.15</v>
      </c>
      <c r="H186" s="8">
        <v>9.8000000000000007</v>
      </c>
      <c r="I186" s="5"/>
      <c r="J186" s="5"/>
      <c r="K186" s="8">
        <v>9.65</v>
      </c>
      <c r="L186" s="8">
        <v>9.8000000000000007</v>
      </c>
      <c r="M186" s="16">
        <f t="shared" si="2"/>
        <v>1.5544041450777257E-2</v>
      </c>
      <c r="N186" s="5" t="s">
        <v>208</v>
      </c>
    </row>
    <row r="187" spans="1:14" x14ac:dyDescent="0.2">
      <c r="A187" s="5" t="s">
        <v>167</v>
      </c>
      <c r="B187" s="5" t="s">
        <v>168</v>
      </c>
      <c r="C187" s="5" t="s">
        <v>333</v>
      </c>
      <c r="D187" s="5"/>
      <c r="E187" s="5"/>
      <c r="F187" s="5"/>
      <c r="G187" s="8">
        <v>2.5</v>
      </c>
      <c r="H187" s="8">
        <v>2.5</v>
      </c>
      <c r="I187" s="5"/>
      <c r="J187" s="5"/>
      <c r="K187" s="8">
        <v>2.5</v>
      </c>
      <c r="L187" s="8">
        <v>2.5</v>
      </c>
      <c r="M187" s="16">
        <f t="shared" si="2"/>
        <v>0</v>
      </c>
      <c r="N187" s="5" t="s">
        <v>208</v>
      </c>
    </row>
    <row r="188" spans="1:14" x14ac:dyDescent="0.2">
      <c r="A188" s="5" t="s">
        <v>167</v>
      </c>
      <c r="B188" s="5" t="s">
        <v>168</v>
      </c>
      <c r="C188" s="5" t="s">
        <v>334</v>
      </c>
      <c r="D188" s="5"/>
      <c r="E188" s="8">
        <v>1.35</v>
      </c>
      <c r="F188" s="5"/>
      <c r="G188" s="8">
        <v>1.375</v>
      </c>
      <c r="H188" s="8">
        <v>1.4</v>
      </c>
      <c r="I188" s="5"/>
      <c r="J188" s="5"/>
      <c r="K188" s="8">
        <v>1.35</v>
      </c>
      <c r="L188" s="8">
        <v>1.4</v>
      </c>
      <c r="M188" s="16">
        <f t="shared" si="2"/>
        <v>3.7037037037036979E-2</v>
      </c>
      <c r="N188" s="5" t="s">
        <v>208</v>
      </c>
    </row>
    <row r="189" spans="1:14" x14ac:dyDescent="0.2">
      <c r="A189" s="5" t="s">
        <v>167</v>
      </c>
      <c r="B189" s="5" t="s">
        <v>168</v>
      </c>
      <c r="C189" s="5" t="s">
        <v>335</v>
      </c>
      <c r="D189" s="8">
        <v>1.35</v>
      </c>
      <c r="E189" s="8">
        <v>1.35</v>
      </c>
      <c r="F189" s="5"/>
      <c r="G189" s="5"/>
      <c r="H189" s="5"/>
      <c r="I189" s="5"/>
      <c r="J189" s="5"/>
      <c r="K189" s="8">
        <v>1.35</v>
      </c>
      <c r="L189" s="8">
        <v>1.35</v>
      </c>
      <c r="M189" s="16">
        <f t="shared" si="2"/>
        <v>0</v>
      </c>
      <c r="N189" s="5" t="s">
        <v>208</v>
      </c>
    </row>
    <row r="190" spans="1:14" x14ac:dyDescent="0.2">
      <c r="A190" s="5" t="s">
        <v>167</v>
      </c>
      <c r="B190" s="5" t="s">
        <v>168</v>
      </c>
      <c r="C190" s="5" t="s">
        <v>336</v>
      </c>
      <c r="D190" s="8">
        <v>2.0333000000000001</v>
      </c>
      <c r="E190" s="8">
        <v>1.925</v>
      </c>
      <c r="F190" s="5"/>
      <c r="G190" s="8">
        <v>1.85</v>
      </c>
      <c r="H190" s="8">
        <v>2</v>
      </c>
      <c r="I190" s="8">
        <v>2.15</v>
      </c>
      <c r="J190" s="5"/>
      <c r="K190" s="8">
        <v>2.0333000000000001</v>
      </c>
      <c r="L190" s="8">
        <v>2.15</v>
      </c>
      <c r="M190" s="16">
        <f t="shared" si="2"/>
        <v>5.7394383514483671E-2</v>
      </c>
      <c r="N190" s="14" t="s">
        <v>337</v>
      </c>
    </row>
    <row r="191" spans="1:14" x14ac:dyDescent="0.2">
      <c r="A191" s="5" t="s">
        <v>167</v>
      </c>
      <c r="B191" s="5" t="s">
        <v>168</v>
      </c>
      <c r="C191" s="5" t="s">
        <v>338</v>
      </c>
      <c r="D191" s="8">
        <v>2.4</v>
      </c>
      <c r="E191" s="8">
        <v>2.375</v>
      </c>
      <c r="F191" s="5"/>
      <c r="G191" s="5"/>
      <c r="H191" s="8">
        <v>2.35</v>
      </c>
      <c r="I191" s="5"/>
      <c r="J191" s="5"/>
      <c r="K191" s="8">
        <v>2.4</v>
      </c>
      <c r="L191" s="8">
        <v>2.35</v>
      </c>
      <c r="M191" s="16">
        <f t="shared" si="2"/>
        <v>-2.0833333333333259E-2</v>
      </c>
      <c r="N191" s="5" t="s">
        <v>208</v>
      </c>
    </row>
    <row r="192" spans="1:14" x14ac:dyDescent="0.2">
      <c r="A192" s="5" t="s">
        <v>167</v>
      </c>
      <c r="B192" s="5" t="s">
        <v>168</v>
      </c>
      <c r="C192" s="5" t="s">
        <v>339</v>
      </c>
      <c r="D192" s="5"/>
      <c r="E192" s="8">
        <v>2.35</v>
      </c>
      <c r="F192" s="5"/>
      <c r="G192" s="8">
        <v>2.4</v>
      </c>
      <c r="H192" s="5"/>
      <c r="I192" s="5"/>
      <c r="J192" s="5"/>
      <c r="K192" s="8">
        <v>2.35</v>
      </c>
      <c r="L192" s="8">
        <v>2.4</v>
      </c>
      <c r="M192" s="16">
        <f t="shared" si="2"/>
        <v>2.1276595744680771E-2</v>
      </c>
      <c r="N192" s="5" t="s">
        <v>208</v>
      </c>
    </row>
    <row r="193" spans="1:14" x14ac:dyDescent="0.2">
      <c r="A193" s="5" t="s">
        <v>167</v>
      </c>
      <c r="B193" s="5" t="s">
        <v>168</v>
      </c>
      <c r="C193" s="5" t="s">
        <v>340</v>
      </c>
      <c r="D193" s="8">
        <v>3.85</v>
      </c>
      <c r="E193" s="8">
        <v>3.8</v>
      </c>
      <c r="F193" s="5"/>
      <c r="G193" s="5"/>
      <c r="H193" s="5"/>
      <c r="I193" s="5"/>
      <c r="J193" s="5"/>
      <c r="K193" s="8">
        <v>3.85</v>
      </c>
      <c r="L193" s="8">
        <v>3.8</v>
      </c>
      <c r="M193" s="16">
        <f t="shared" si="2"/>
        <v>-1.2987012987013102E-2</v>
      </c>
      <c r="N193" s="5" t="s">
        <v>208</v>
      </c>
    </row>
    <row r="194" spans="1:14" x14ac:dyDescent="0.2">
      <c r="A194" s="5" t="s">
        <v>167</v>
      </c>
      <c r="B194" s="5" t="s">
        <v>168</v>
      </c>
      <c r="C194" s="5" t="s">
        <v>341</v>
      </c>
      <c r="D194" s="8">
        <v>2</v>
      </c>
      <c r="E194" s="8">
        <v>2</v>
      </c>
      <c r="F194" s="5"/>
      <c r="G194" s="8">
        <v>2.1</v>
      </c>
      <c r="H194" s="8">
        <v>2</v>
      </c>
      <c r="I194" s="8">
        <v>2.1</v>
      </c>
      <c r="J194" s="5"/>
      <c r="K194" s="8">
        <v>2</v>
      </c>
      <c r="L194" s="8">
        <v>2.1</v>
      </c>
      <c r="M194" s="16">
        <f t="shared" si="2"/>
        <v>5.0000000000000044E-2</v>
      </c>
      <c r="N194" s="5" t="s">
        <v>208</v>
      </c>
    </row>
    <row r="195" spans="1:14" x14ac:dyDescent="0.2">
      <c r="A195" s="5" t="s">
        <v>167</v>
      </c>
      <c r="B195" s="5" t="s">
        <v>168</v>
      </c>
      <c r="C195" s="5" t="s">
        <v>169</v>
      </c>
      <c r="D195" s="8">
        <v>2.1</v>
      </c>
      <c r="E195" s="8">
        <v>2.15</v>
      </c>
      <c r="F195" s="5"/>
      <c r="G195" s="8">
        <v>2.8332999999999999</v>
      </c>
      <c r="H195" s="8">
        <v>3.3</v>
      </c>
      <c r="I195" s="8">
        <v>3.6</v>
      </c>
      <c r="J195" s="5"/>
      <c r="K195" s="8">
        <v>2.1</v>
      </c>
      <c r="L195" s="8">
        <v>3.6</v>
      </c>
      <c r="M195" s="16">
        <f t="shared" si="2"/>
        <v>0.71428571428571419</v>
      </c>
      <c r="N195" s="17" t="s">
        <v>22</v>
      </c>
    </row>
    <row r="196" spans="1:14" x14ac:dyDescent="0.2">
      <c r="A196" s="5" t="s">
        <v>167</v>
      </c>
      <c r="B196" s="5" t="s">
        <v>168</v>
      </c>
      <c r="C196" s="5" t="s">
        <v>342</v>
      </c>
      <c r="D196" s="5"/>
      <c r="E196" s="8">
        <v>4.5</v>
      </c>
      <c r="F196" s="5"/>
      <c r="G196" s="8">
        <v>4.5</v>
      </c>
      <c r="H196" s="5"/>
      <c r="I196" s="5"/>
      <c r="J196" s="5"/>
      <c r="K196" s="8">
        <v>4.5</v>
      </c>
      <c r="L196" s="8">
        <v>4.5</v>
      </c>
      <c r="M196" s="16">
        <f t="shared" ref="M196:M259" si="3">IFERROR(L196/K196-1,0)</f>
        <v>0</v>
      </c>
      <c r="N196" s="5" t="s">
        <v>208</v>
      </c>
    </row>
    <row r="197" spans="1:14" x14ac:dyDescent="0.2">
      <c r="A197" s="5" t="s">
        <v>167</v>
      </c>
      <c r="B197" s="5" t="s">
        <v>168</v>
      </c>
      <c r="C197" s="5" t="s">
        <v>343</v>
      </c>
      <c r="D197" s="8">
        <v>1.05</v>
      </c>
      <c r="E197" s="8">
        <v>1.05</v>
      </c>
      <c r="F197" s="5"/>
      <c r="G197" s="5"/>
      <c r="H197" s="5"/>
      <c r="I197" s="5"/>
      <c r="J197" s="5"/>
      <c r="K197" s="8">
        <v>1.05</v>
      </c>
      <c r="L197" s="8">
        <v>1.05</v>
      </c>
      <c r="M197" s="16">
        <f t="shared" si="3"/>
        <v>0</v>
      </c>
      <c r="N197" s="5" t="s">
        <v>208</v>
      </c>
    </row>
    <row r="198" spans="1:14" x14ac:dyDescent="0.2">
      <c r="A198" s="5" t="s">
        <v>167</v>
      </c>
      <c r="B198" s="5" t="s">
        <v>168</v>
      </c>
      <c r="C198" s="5" t="s">
        <v>344</v>
      </c>
      <c r="D198" s="8">
        <v>1</v>
      </c>
      <c r="E198" s="8">
        <v>1</v>
      </c>
      <c r="F198" s="5"/>
      <c r="G198" s="8">
        <v>1</v>
      </c>
      <c r="H198" s="8">
        <v>1</v>
      </c>
      <c r="I198" s="5"/>
      <c r="J198" s="5"/>
      <c r="K198" s="8">
        <v>1</v>
      </c>
      <c r="L198" s="8">
        <v>1</v>
      </c>
      <c r="M198" s="16">
        <f t="shared" si="3"/>
        <v>0</v>
      </c>
      <c r="N198" s="5" t="s">
        <v>208</v>
      </c>
    </row>
    <row r="199" spans="1:14" x14ac:dyDescent="0.2">
      <c r="A199" s="5" t="s">
        <v>167</v>
      </c>
      <c r="B199" s="5" t="s">
        <v>168</v>
      </c>
      <c r="C199" s="5" t="s">
        <v>345</v>
      </c>
      <c r="D199" s="8">
        <v>1.5</v>
      </c>
      <c r="E199" s="8">
        <v>1.5</v>
      </c>
      <c r="F199" s="5"/>
      <c r="G199" s="8">
        <v>1.6</v>
      </c>
      <c r="H199" s="8">
        <v>1.5</v>
      </c>
      <c r="I199" s="8">
        <v>1.6</v>
      </c>
      <c r="J199" s="5"/>
      <c r="K199" s="8">
        <v>1.5</v>
      </c>
      <c r="L199" s="8">
        <v>1.6</v>
      </c>
      <c r="M199" s="16">
        <f t="shared" si="3"/>
        <v>6.6666666666666652E-2</v>
      </c>
      <c r="N199" s="5" t="s">
        <v>208</v>
      </c>
    </row>
    <row r="200" spans="1:14" x14ac:dyDescent="0.2">
      <c r="A200" s="5" t="s">
        <v>167</v>
      </c>
      <c r="B200" s="5" t="s">
        <v>168</v>
      </c>
      <c r="C200" s="5" t="s">
        <v>346</v>
      </c>
      <c r="D200" s="5"/>
      <c r="E200" s="8">
        <v>4.9000000000000004</v>
      </c>
      <c r="F200" s="5"/>
      <c r="G200" s="8">
        <v>4.8</v>
      </c>
      <c r="H200" s="5"/>
      <c r="I200" s="8">
        <v>4.3</v>
      </c>
      <c r="J200" s="5"/>
      <c r="K200" s="8">
        <v>4.9000000000000004</v>
      </c>
      <c r="L200" s="8">
        <v>4.3</v>
      </c>
      <c r="M200" s="16">
        <f t="shared" si="3"/>
        <v>-0.12244897959183687</v>
      </c>
      <c r="N200" s="18" t="s">
        <v>212</v>
      </c>
    </row>
    <row r="201" spans="1:14" x14ac:dyDescent="0.2">
      <c r="A201" s="5" t="s">
        <v>167</v>
      </c>
      <c r="B201" s="5" t="s">
        <v>168</v>
      </c>
      <c r="C201" s="5" t="s">
        <v>347</v>
      </c>
      <c r="D201" s="8">
        <v>2.5249999999999999</v>
      </c>
      <c r="E201" s="5"/>
      <c r="F201" s="5"/>
      <c r="G201" s="8">
        <v>2.5</v>
      </c>
      <c r="H201" s="5"/>
      <c r="I201" s="5"/>
      <c r="J201" s="5"/>
      <c r="K201" s="8">
        <v>2.5249999999999999</v>
      </c>
      <c r="L201" s="8">
        <v>2.5</v>
      </c>
      <c r="M201" s="16">
        <f t="shared" si="3"/>
        <v>-9.9009900990099098E-3</v>
      </c>
      <c r="N201" s="5" t="s">
        <v>208</v>
      </c>
    </row>
    <row r="202" spans="1:14" x14ac:dyDescent="0.2">
      <c r="A202" s="5" t="s">
        <v>167</v>
      </c>
      <c r="B202" s="5" t="s">
        <v>168</v>
      </c>
      <c r="C202" s="5" t="s">
        <v>348</v>
      </c>
      <c r="D202" s="8">
        <v>1.8</v>
      </c>
      <c r="E202" s="8">
        <v>1.9</v>
      </c>
      <c r="F202" s="5"/>
      <c r="G202" s="5"/>
      <c r="H202" s="5"/>
      <c r="I202" s="5"/>
      <c r="J202" s="5"/>
      <c r="K202" s="8">
        <v>1.8</v>
      </c>
      <c r="L202" s="8">
        <v>1.9</v>
      </c>
      <c r="M202" s="16">
        <f t="shared" si="3"/>
        <v>5.555555555555558E-2</v>
      </c>
      <c r="N202" s="5" t="s">
        <v>208</v>
      </c>
    </row>
    <row r="203" spans="1:14" x14ac:dyDescent="0.2">
      <c r="A203" s="5" t="s">
        <v>167</v>
      </c>
      <c r="B203" s="5" t="s">
        <v>168</v>
      </c>
      <c r="C203" s="5" t="s">
        <v>192</v>
      </c>
      <c r="D203" s="8">
        <v>5.8</v>
      </c>
      <c r="E203" s="8">
        <v>5.8</v>
      </c>
      <c r="F203" s="5"/>
      <c r="G203" s="8">
        <v>7.45</v>
      </c>
      <c r="H203" s="8">
        <v>8.5</v>
      </c>
      <c r="I203" s="8">
        <v>5.8</v>
      </c>
      <c r="J203" s="5"/>
      <c r="K203" s="8">
        <v>5.8</v>
      </c>
      <c r="L203" s="8">
        <v>5.8</v>
      </c>
      <c r="M203" s="16">
        <f t="shared" si="3"/>
        <v>0</v>
      </c>
      <c r="N203" s="5" t="s">
        <v>161</v>
      </c>
    </row>
    <row r="204" spans="1:14" x14ac:dyDescent="0.2">
      <c r="A204" s="5" t="s">
        <v>167</v>
      </c>
      <c r="B204" s="5" t="s">
        <v>168</v>
      </c>
      <c r="C204" s="5" t="s">
        <v>349</v>
      </c>
      <c r="D204" s="8">
        <v>3.2749999999999999</v>
      </c>
      <c r="E204" s="8">
        <v>3.1</v>
      </c>
      <c r="F204" s="5"/>
      <c r="G204" s="5"/>
      <c r="H204" s="5"/>
      <c r="I204" s="5"/>
      <c r="J204" s="5"/>
      <c r="K204" s="8">
        <v>3.2749999999999999</v>
      </c>
      <c r="L204" s="8">
        <v>3.1</v>
      </c>
      <c r="M204" s="16">
        <f t="shared" si="3"/>
        <v>-5.3435114503816772E-2</v>
      </c>
      <c r="N204" s="5" t="s">
        <v>208</v>
      </c>
    </row>
    <row r="205" spans="1:14" x14ac:dyDescent="0.2">
      <c r="A205" s="5" t="s">
        <v>167</v>
      </c>
      <c r="B205" s="5" t="s">
        <v>168</v>
      </c>
      <c r="C205" s="5" t="s">
        <v>350</v>
      </c>
      <c r="D205" s="5"/>
      <c r="E205" s="8">
        <v>2.35</v>
      </c>
      <c r="F205" s="5"/>
      <c r="G205" s="8">
        <v>2.35</v>
      </c>
      <c r="H205" s="5"/>
      <c r="I205" s="5"/>
      <c r="J205" s="5"/>
      <c r="K205" s="8">
        <v>2.35</v>
      </c>
      <c r="L205" s="8">
        <v>2.35</v>
      </c>
      <c r="M205" s="16">
        <f t="shared" si="3"/>
        <v>0</v>
      </c>
      <c r="N205" s="5" t="s">
        <v>208</v>
      </c>
    </row>
    <row r="206" spans="1:14" x14ac:dyDescent="0.2">
      <c r="A206" s="5" t="s">
        <v>167</v>
      </c>
      <c r="B206" s="5" t="s">
        <v>168</v>
      </c>
      <c r="C206" s="5" t="s">
        <v>351</v>
      </c>
      <c r="D206" s="5"/>
      <c r="E206" s="8">
        <v>1.35</v>
      </c>
      <c r="F206" s="5"/>
      <c r="G206" s="8">
        <v>1.35</v>
      </c>
      <c r="H206" s="5"/>
      <c r="I206" s="5"/>
      <c r="J206" s="5"/>
      <c r="K206" s="8">
        <v>1.35</v>
      </c>
      <c r="L206" s="8">
        <v>1.35</v>
      </c>
      <c r="M206" s="16">
        <f t="shared" si="3"/>
        <v>0</v>
      </c>
      <c r="N206" s="5" t="s">
        <v>208</v>
      </c>
    </row>
    <row r="207" spans="1:14" x14ac:dyDescent="0.2">
      <c r="A207" s="5" t="s">
        <v>167</v>
      </c>
      <c r="B207" s="5" t="s">
        <v>352</v>
      </c>
      <c r="C207" s="5" t="s">
        <v>353</v>
      </c>
      <c r="D207" s="8">
        <v>6</v>
      </c>
      <c r="E207" s="8">
        <v>6</v>
      </c>
      <c r="F207" s="5"/>
      <c r="G207" s="8">
        <v>6.25</v>
      </c>
      <c r="H207" s="8">
        <v>6.25</v>
      </c>
      <c r="I207" s="8">
        <v>6</v>
      </c>
      <c r="J207" s="8">
        <v>6.25</v>
      </c>
      <c r="K207" s="8">
        <v>6</v>
      </c>
      <c r="L207" s="8">
        <v>6.25</v>
      </c>
      <c r="M207" s="16">
        <f t="shared" si="3"/>
        <v>4.1666666666666741E-2</v>
      </c>
      <c r="N207" s="5" t="s">
        <v>208</v>
      </c>
    </row>
    <row r="208" spans="1:14" x14ac:dyDescent="0.2">
      <c r="A208" s="5" t="s">
        <v>167</v>
      </c>
      <c r="B208" s="5" t="s">
        <v>354</v>
      </c>
      <c r="C208" s="5" t="s">
        <v>355</v>
      </c>
      <c r="D208" s="5"/>
      <c r="E208" s="5"/>
      <c r="F208" s="5"/>
      <c r="G208" s="8">
        <v>16.71</v>
      </c>
      <c r="H208" s="5"/>
      <c r="I208" s="8">
        <v>17.920000000000002</v>
      </c>
      <c r="J208" s="5"/>
      <c r="K208" s="8">
        <v>16.71</v>
      </c>
      <c r="L208" s="8">
        <v>17.920000000000002</v>
      </c>
      <c r="M208" s="16">
        <f t="shared" si="3"/>
        <v>7.2411729503291555E-2</v>
      </c>
      <c r="N208" s="5" t="s">
        <v>208</v>
      </c>
    </row>
    <row r="209" spans="1:14" x14ac:dyDescent="0.2">
      <c r="A209" s="5" t="s">
        <v>167</v>
      </c>
      <c r="B209" s="5" t="s">
        <v>356</v>
      </c>
      <c r="C209" s="5" t="s">
        <v>335</v>
      </c>
      <c r="D209" s="8">
        <v>1.35</v>
      </c>
      <c r="E209" s="8">
        <v>1.35</v>
      </c>
      <c r="F209" s="5"/>
      <c r="G209" s="5"/>
      <c r="H209" s="5"/>
      <c r="I209" s="5"/>
      <c r="J209" s="5"/>
      <c r="K209" s="8">
        <v>1.35</v>
      </c>
      <c r="L209" s="8">
        <v>1.35</v>
      </c>
      <c r="M209" s="16">
        <f t="shared" si="3"/>
        <v>0</v>
      </c>
      <c r="N209" s="5" t="s">
        <v>208</v>
      </c>
    </row>
    <row r="210" spans="1:14" x14ac:dyDescent="0.2">
      <c r="A210" s="5" t="s">
        <v>167</v>
      </c>
      <c r="B210" s="5" t="s">
        <v>356</v>
      </c>
      <c r="C210" s="5" t="s">
        <v>336</v>
      </c>
      <c r="D210" s="8">
        <v>1.9750000000000001</v>
      </c>
      <c r="E210" s="8">
        <v>1.85</v>
      </c>
      <c r="F210" s="5"/>
      <c r="G210" s="5"/>
      <c r="H210" s="5"/>
      <c r="I210" s="5"/>
      <c r="J210" s="5"/>
      <c r="K210" s="8">
        <v>1.9750000000000001</v>
      </c>
      <c r="L210" s="8">
        <v>1.85</v>
      </c>
      <c r="M210" s="16">
        <f t="shared" si="3"/>
        <v>-6.3291139240506333E-2</v>
      </c>
      <c r="N210" s="14" t="s">
        <v>337</v>
      </c>
    </row>
    <row r="211" spans="1:14" x14ac:dyDescent="0.2">
      <c r="A211" s="5" t="s">
        <v>167</v>
      </c>
      <c r="B211" s="5" t="s">
        <v>356</v>
      </c>
      <c r="C211" s="5" t="s">
        <v>357</v>
      </c>
      <c r="D211" s="8">
        <v>2.15</v>
      </c>
      <c r="E211" s="8">
        <v>2.15</v>
      </c>
      <c r="F211" s="5"/>
      <c r="G211" s="5"/>
      <c r="H211" s="5"/>
      <c r="I211" s="5"/>
      <c r="J211" s="5"/>
      <c r="K211" s="8">
        <v>2.15</v>
      </c>
      <c r="L211" s="8">
        <v>2.15</v>
      </c>
      <c r="M211" s="16">
        <f t="shared" si="3"/>
        <v>0</v>
      </c>
      <c r="N211" s="5" t="s">
        <v>208</v>
      </c>
    </row>
    <row r="212" spans="1:14" x14ac:dyDescent="0.2">
      <c r="A212" s="5" t="s">
        <v>167</v>
      </c>
      <c r="B212" s="5" t="s">
        <v>356</v>
      </c>
      <c r="C212" s="5" t="s">
        <v>338</v>
      </c>
      <c r="D212" s="8">
        <v>2.4</v>
      </c>
      <c r="E212" s="8">
        <v>2.375</v>
      </c>
      <c r="F212" s="5"/>
      <c r="G212" s="5"/>
      <c r="H212" s="5"/>
      <c r="I212" s="5"/>
      <c r="J212" s="5"/>
      <c r="K212" s="8">
        <v>2.4</v>
      </c>
      <c r="L212" s="8">
        <v>2.375</v>
      </c>
      <c r="M212" s="16">
        <f t="shared" si="3"/>
        <v>-1.041666666666663E-2</v>
      </c>
      <c r="N212" s="5" t="s">
        <v>208</v>
      </c>
    </row>
    <row r="213" spans="1:14" x14ac:dyDescent="0.2">
      <c r="A213" s="5" t="s">
        <v>167</v>
      </c>
      <c r="B213" s="5" t="s">
        <v>356</v>
      </c>
      <c r="C213" s="5" t="s">
        <v>340</v>
      </c>
      <c r="D213" s="8">
        <v>3.85</v>
      </c>
      <c r="E213" s="8">
        <v>3.8</v>
      </c>
      <c r="F213" s="5"/>
      <c r="G213" s="5"/>
      <c r="H213" s="5"/>
      <c r="I213" s="5"/>
      <c r="J213" s="5"/>
      <c r="K213" s="8">
        <v>3.85</v>
      </c>
      <c r="L213" s="8">
        <v>3.8</v>
      </c>
      <c r="M213" s="16">
        <f t="shared" si="3"/>
        <v>-1.2987012987013102E-2</v>
      </c>
      <c r="N213" s="5" t="s">
        <v>208</v>
      </c>
    </row>
    <row r="214" spans="1:14" x14ac:dyDescent="0.2">
      <c r="A214" s="5" t="s">
        <v>167</v>
      </c>
      <c r="B214" s="5" t="s">
        <v>356</v>
      </c>
      <c r="C214" s="5" t="s">
        <v>341</v>
      </c>
      <c r="D214" s="8">
        <v>2</v>
      </c>
      <c r="E214" s="8">
        <v>2</v>
      </c>
      <c r="F214" s="5"/>
      <c r="G214" s="5"/>
      <c r="H214" s="5"/>
      <c r="I214" s="5"/>
      <c r="J214" s="5"/>
      <c r="K214" s="8">
        <v>2</v>
      </c>
      <c r="L214" s="8">
        <v>2</v>
      </c>
      <c r="M214" s="16">
        <f t="shared" si="3"/>
        <v>0</v>
      </c>
      <c r="N214" s="5" t="s">
        <v>208</v>
      </c>
    </row>
    <row r="215" spans="1:14" x14ac:dyDescent="0.2">
      <c r="A215" s="5" t="s">
        <v>167</v>
      </c>
      <c r="B215" s="5" t="s">
        <v>356</v>
      </c>
      <c r="C215" s="5" t="s">
        <v>169</v>
      </c>
      <c r="D215" s="8">
        <v>2.1</v>
      </c>
      <c r="E215" s="8">
        <v>2.15</v>
      </c>
      <c r="F215" s="5"/>
      <c r="G215" s="5"/>
      <c r="H215" s="5"/>
      <c r="I215" s="5"/>
      <c r="J215" s="5"/>
      <c r="K215" s="8">
        <v>2.1</v>
      </c>
      <c r="L215" s="8">
        <v>2.15</v>
      </c>
      <c r="M215" s="16">
        <f t="shared" si="3"/>
        <v>2.3809523809523725E-2</v>
      </c>
      <c r="N215" s="14" t="s">
        <v>337</v>
      </c>
    </row>
    <row r="216" spans="1:14" x14ac:dyDescent="0.2">
      <c r="A216" s="5" t="s">
        <v>167</v>
      </c>
      <c r="B216" s="5" t="s">
        <v>356</v>
      </c>
      <c r="C216" s="5" t="s">
        <v>343</v>
      </c>
      <c r="D216" s="8">
        <v>1.05</v>
      </c>
      <c r="E216" s="8">
        <v>1.05</v>
      </c>
      <c r="F216" s="5"/>
      <c r="G216" s="5"/>
      <c r="H216" s="5"/>
      <c r="I216" s="5"/>
      <c r="J216" s="5"/>
      <c r="K216" s="8">
        <v>1.05</v>
      </c>
      <c r="L216" s="8">
        <v>1.05</v>
      </c>
      <c r="M216" s="16">
        <f t="shared" si="3"/>
        <v>0</v>
      </c>
      <c r="N216" s="5" t="s">
        <v>208</v>
      </c>
    </row>
    <row r="217" spans="1:14" x14ac:dyDescent="0.2">
      <c r="A217" s="5" t="s">
        <v>167</v>
      </c>
      <c r="B217" s="5" t="s">
        <v>356</v>
      </c>
      <c r="C217" s="5" t="s">
        <v>344</v>
      </c>
      <c r="D217" s="8">
        <v>1</v>
      </c>
      <c r="E217" s="8">
        <v>1</v>
      </c>
      <c r="F217" s="5"/>
      <c r="G217" s="5"/>
      <c r="H217" s="5"/>
      <c r="I217" s="5"/>
      <c r="J217" s="5"/>
      <c r="K217" s="8">
        <v>1</v>
      </c>
      <c r="L217" s="8">
        <v>1</v>
      </c>
      <c r="M217" s="16">
        <f t="shared" si="3"/>
        <v>0</v>
      </c>
      <c r="N217" s="5" t="s">
        <v>208</v>
      </c>
    </row>
    <row r="218" spans="1:14" x14ac:dyDescent="0.2">
      <c r="A218" s="5" t="s">
        <v>167</v>
      </c>
      <c r="B218" s="5" t="s">
        <v>356</v>
      </c>
      <c r="C218" s="5" t="s">
        <v>345</v>
      </c>
      <c r="D218" s="8">
        <v>1.5</v>
      </c>
      <c r="E218" s="8">
        <v>1.5</v>
      </c>
      <c r="F218" s="5"/>
      <c r="G218" s="5"/>
      <c r="H218" s="5"/>
      <c r="I218" s="5"/>
      <c r="J218" s="5"/>
      <c r="K218" s="8">
        <v>1.5</v>
      </c>
      <c r="L218" s="8">
        <v>1.5</v>
      </c>
      <c r="M218" s="16">
        <f t="shared" si="3"/>
        <v>0</v>
      </c>
      <c r="N218" s="5" t="s">
        <v>208</v>
      </c>
    </row>
    <row r="219" spans="1:14" x14ac:dyDescent="0.2">
      <c r="A219" s="5" t="s">
        <v>167</v>
      </c>
      <c r="B219" s="5" t="s">
        <v>356</v>
      </c>
      <c r="C219" s="5" t="s">
        <v>348</v>
      </c>
      <c r="D219" s="8">
        <v>1.8</v>
      </c>
      <c r="E219" s="8">
        <v>1.9</v>
      </c>
      <c r="F219" s="5"/>
      <c r="G219" s="5"/>
      <c r="H219" s="5"/>
      <c r="I219" s="5"/>
      <c r="J219" s="5"/>
      <c r="K219" s="8">
        <v>1.8</v>
      </c>
      <c r="L219" s="8">
        <v>1.9</v>
      </c>
      <c r="M219" s="16">
        <f t="shared" si="3"/>
        <v>5.555555555555558E-2</v>
      </c>
      <c r="N219" s="5" t="s">
        <v>208</v>
      </c>
    </row>
    <row r="220" spans="1:14" x14ac:dyDescent="0.2">
      <c r="A220" s="5" t="s">
        <v>167</v>
      </c>
      <c r="B220" s="5" t="s">
        <v>356</v>
      </c>
      <c r="C220" s="5" t="s">
        <v>192</v>
      </c>
      <c r="D220" s="8">
        <v>5.8</v>
      </c>
      <c r="E220" s="8">
        <v>5.8</v>
      </c>
      <c r="F220" s="5"/>
      <c r="G220" s="5"/>
      <c r="H220" s="5"/>
      <c r="I220" s="5"/>
      <c r="J220" s="5"/>
      <c r="K220" s="8">
        <v>5.8</v>
      </c>
      <c r="L220" s="8">
        <v>5.8</v>
      </c>
      <c r="M220" s="16">
        <f t="shared" si="3"/>
        <v>0</v>
      </c>
      <c r="N220" s="5" t="s">
        <v>208</v>
      </c>
    </row>
    <row r="221" spans="1:14" x14ac:dyDescent="0.2">
      <c r="A221" s="5" t="s">
        <v>167</v>
      </c>
      <c r="B221" s="5" t="s">
        <v>356</v>
      </c>
      <c r="C221" s="5" t="s">
        <v>349</v>
      </c>
      <c r="D221" s="8">
        <v>3.2749999999999999</v>
      </c>
      <c r="E221" s="8">
        <v>3.1</v>
      </c>
      <c r="F221" s="5"/>
      <c r="G221" s="5"/>
      <c r="H221" s="5"/>
      <c r="I221" s="5"/>
      <c r="J221" s="5"/>
      <c r="K221" s="8">
        <v>3.2749999999999999</v>
      </c>
      <c r="L221" s="8">
        <v>3.1</v>
      </c>
      <c r="M221" s="16">
        <f t="shared" si="3"/>
        <v>-5.3435114503816772E-2</v>
      </c>
      <c r="N221" s="5" t="s">
        <v>208</v>
      </c>
    </row>
    <row r="222" spans="1:14" x14ac:dyDescent="0.2">
      <c r="A222" s="5" t="s">
        <v>167</v>
      </c>
      <c r="B222" s="5" t="s">
        <v>358</v>
      </c>
      <c r="C222" s="5" t="s">
        <v>359</v>
      </c>
      <c r="D222" s="5"/>
      <c r="E222" s="5"/>
      <c r="F222" s="5"/>
      <c r="G222" s="5"/>
      <c r="H222" s="5"/>
      <c r="I222" s="8">
        <v>0.90669999999999995</v>
      </c>
      <c r="J222" s="8">
        <v>0.88</v>
      </c>
      <c r="K222" s="8">
        <v>0.90669999999999995</v>
      </c>
      <c r="L222" s="8">
        <v>0.88</v>
      </c>
      <c r="M222" s="16">
        <f t="shared" si="3"/>
        <v>-2.9447446785044629E-2</v>
      </c>
      <c r="N222" s="5" t="s">
        <v>208</v>
      </c>
    </row>
    <row r="223" spans="1:14" x14ac:dyDescent="0.2">
      <c r="A223" s="5" t="s">
        <v>167</v>
      </c>
      <c r="B223" s="5" t="s">
        <v>358</v>
      </c>
      <c r="C223" s="5" t="s">
        <v>360</v>
      </c>
      <c r="D223" s="5"/>
      <c r="E223" s="5"/>
      <c r="F223" s="5"/>
      <c r="G223" s="5"/>
      <c r="H223" s="5"/>
      <c r="I223" s="8">
        <v>0.91500000000000004</v>
      </c>
      <c r="J223" s="8">
        <v>0.93</v>
      </c>
      <c r="K223" s="8">
        <v>0.91500000000000004</v>
      </c>
      <c r="L223" s="8">
        <v>0.93</v>
      </c>
      <c r="M223" s="16">
        <f t="shared" si="3"/>
        <v>1.6393442622950838E-2</v>
      </c>
      <c r="N223" s="5" t="s">
        <v>208</v>
      </c>
    </row>
    <row r="224" spans="1:14" x14ac:dyDescent="0.2">
      <c r="A224" s="5" t="s">
        <v>172</v>
      </c>
      <c r="B224" s="5" t="s">
        <v>173</v>
      </c>
      <c r="C224" s="5" t="s">
        <v>361</v>
      </c>
      <c r="D224" s="8">
        <v>40</v>
      </c>
      <c r="E224" s="8">
        <v>40</v>
      </c>
      <c r="F224" s="5"/>
      <c r="G224" s="8">
        <v>40</v>
      </c>
      <c r="H224" s="5"/>
      <c r="I224" s="5"/>
      <c r="J224" s="5"/>
      <c r="K224" s="8">
        <v>40</v>
      </c>
      <c r="L224" s="8">
        <v>40</v>
      </c>
      <c r="M224" s="16">
        <f t="shared" si="3"/>
        <v>0</v>
      </c>
      <c r="N224" s="5" t="s">
        <v>208</v>
      </c>
    </row>
    <row r="225" spans="1:14" x14ac:dyDescent="0.2">
      <c r="A225" s="5" t="s">
        <v>172</v>
      </c>
      <c r="B225" s="5" t="s">
        <v>173</v>
      </c>
      <c r="C225" s="5" t="s">
        <v>362</v>
      </c>
      <c r="D225" s="8">
        <v>35</v>
      </c>
      <c r="E225" s="8">
        <v>26</v>
      </c>
      <c r="F225" s="5"/>
      <c r="G225" s="8">
        <v>26</v>
      </c>
      <c r="H225" s="5"/>
      <c r="I225" s="5"/>
      <c r="J225" s="5"/>
      <c r="K225" s="8">
        <v>35</v>
      </c>
      <c r="L225" s="8">
        <v>26</v>
      </c>
      <c r="M225" s="16">
        <f t="shared" si="3"/>
        <v>-0.25714285714285712</v>
      </c>
      <c r="N225" s="18" t="s">
        <v>212</v>
      </c>
    </row>
    <row r="226" spans="1:14" x14ac:dyDescent="0.2">
      <c r="A226" s="5" t="s">
        <v>172</v>
      </c>
      <c r="B226" s="5" t="s">
        <v>173</v>
      </c>
      <c r="C226" s="5" t="s">
        <v>363</v>
      </c>
      <c r="D226" s="8">
        <v>1050</v>
      </c>
      <c r="E226" s="8">
        <v>1050</v>
      </c>
      <c r="F226" s="5"/>
      <c r="G226" s="8">
        <v>1050</v>
      </c>
      <c r="H226" s="5"/>
      <c r="I226" s="5"/>
      <c r="J226" s="5"/>
      <c r="K226" s="8">
        <v>1050</v>
      </c>
      <c r="L226" s="8">
        <v>1050</v>
      </c>
      <c r="M226" s="16">
        <f t="shared" si="3"/>
        <v>0</v>
      </c>
      <c r="N226" s="5" t="s">
        <v>208</v>
      </c>
    </row>
    <row r="227" spans="1:14" x14ac:dyDescent="0.2">
      <c r="A227" s="5" t="s">
        <v>172</v>
      </c>
      <c r="B227" s="5" t="s">
        <v>173</v>
      </c>
      <c r="C227" s="5" t="s">
        <v>364</v>
      </c>
      <c r="D227" s="8">
        <v>25.5</v>
      </c>
      <c r="E227" s="8">
        <v>25.5</v>
      </c>
      <c r="F227" s="5"/>
      <c r="G227" s="8">
        <v>25.5</v>
      </c>
      <c r="H227" s="5"/>
      <c r="I227" s="5"/>
      <c r="J227" s="5"/>
      <c r="K227" s="8">
        <v>25.5</v>
      </c>
      <c r="L227" s="8">
        <v>25.5</v>
      </c>
      <c r="M227" s="16">
        <f t="shared" si="3"/>
        <v>0</v>
      </c>
      <c r="N227" s="5" t="s">
        <v>208</v>
      </c>
    </row>
    <row r="228" spans="1:14" x14ac:dyDescent="0.2">
      <c r="A228" s="5" t="s">
        <v>172</v>
      </c>
      <c r="B228" s="5" t="s">
        <v>173</v>
      </c>
      <c r="C228" s="5" t="s">
        <v>174</v>
      </c>
      <c r="D228" s="8">
        <v>8.8000000000000007</v>
      </c>
      <c r="E228" s="8">
        <v>10.3</v>
      </c>
      <c r="F228" s="5"/>
      <c r="G228" s="8">
        <v>9.6999999999999993</v>
      </c>
      <c r="H228" s="5"/>
      <c r="I228" s="8">
        <v>11.95</v>
      </c>
      <c r="J228" s="8">
        <v>10.875</v>
      </c>
      <c r="K228" s="8">
        <v>8.8000000000000007</v>
      </c>
      <c r="L228" s="8">
        <v>10.875</v>
      </c>
      <c r="M228" s="16">
        <f t="shared" si="3"/>
        <v>0.23579545454545436</v>
      </c>
      <c r="N228" s="17" t="s">
        <v>22</v>
      </c>
    </row>
    <row r="229" spans="1:14" x14ac:dyDescent="0.2">
      <c r="A229" s="5" t="s">
        <v>172</v>
      </c>
      <c r="B229" s="5" t="s">
        <v>173</v>
      </c>
      <c r="C229" s="5" t="s">
        <v>365</v>
      </c>
      <c r="D229" s="8">
        <v>103</v>
      </c>
      <c r="E229" s="8">
        <v>103</v>
      </c>
      <c r="F229" s="5"/>
      <c r="G229" s="8">
        <v>103</v>
      </c>
      <c r="H229" s="5"/>
      <c r="I229" s="5"/>
      <c r="J229" s="5"/>
      <c r="K229" s="8">
        <v>103</v>
      </c>
      <c r="L229" s="8">
        <v>103</v>
      </c>
      <c r="M229" s="16">
        <f t="shared" si="3"/>
        <v>0</v>
      </c>
      <c r="N229" s="5" t="s">
        <v>208</v>
      </c>
    </row>
    <row r="230" spans="1:14" x14ac:dyDescent="0.2">
      <c r="A230" s="5" t="s">
        <v>172</v>
      </c>
      <c r="B230" s="5" t="s">
        <v>173</v>
      </c>
      <c r="C230" s="5" t="s">
        <v>366</v>
      </c>
      <c r="D230" s="8">
        <v>93</v>
      </c>
      <c r="E230" s="8">
        <v>94.5</v>
      </c>
      <c r="F230" s="5"/>
      <c r="G230" s="8">
        <v>94.5</v>
      </c>
      <c r="H230" s="8">
        <v>85</v>
      </c>
      <c r="I230" s="8">
        <v>81.5</v>
      </c>
      <c r="J230" s="8">
        <v>86.5</v>
      </c>
      <c r="K230" s="8">
        <v>93</v>
      </c>
      <c r="L230" s="8">
        <v>86.5</v>
      </c>
      <c r="M230" s="16">
        <f t="shared" si="3"/>
        <v>-6.9892473118279619E-2</v>
      </c>
      <c r="N230" s="14" t="s">
        <v>337</v>
      </c>
    </row>
    <row r="231" spans="1:14" x14ac:dyDescent="0.2">
      <c r="A231" s="5" t="s">
        <v>172</v>
      </c>
      <c r="B231" s="5" t="s">
        <v>173</v>
      </c>
      <c r="C231" s="5" t="s">
        <v>367</v>
      </c>
      <c r="D231" s="8">
        <v>38.5</v>
      </c>
      <c r="E231" s="8">
        <v>38.5</v>
      </c>
      <c r="F231" s="5"/>
      <c r="G231" s="8">
        <v>38.5</v>
      </c>
      <c r="H231" s="8">
        <v>38.5</v>
      </c>
      <c r="I231" s="8">
        <v>39.049999999999997</v>
      </c>
      <c r="J231" s="8">
        <v>39.049999999999997</v>
      </c>
      <c r="K231" s="8">
        <v>38.5</v>
      </c>
      <c r="L231" s="8">
        <v>39.049999999999997</v>
      </c>
      <c r="M231" s="16">
        <f t="shared" si="3"/>
        <v>1.4285714285714235E-2</v>
      </c>
      <c r="N231" s="5" t="s">
        <v>208</v>
      </c>
    </row>
    <row r="232" spans="1:14" x14ac:dyDescent="0.2">
      <c r="A232" s="5" t="s">
        <v>172</v>
      </c>
      <c r="B232" s="5" t="s">
        <v>173</v>
      </c>
      <c r="C232" s="5" t="s">
        <v>368</v>
      </c>
      <c r="D232" s="8">
        <v>30.5</v>
      </c>
      <c r="E232" s="8">
        <v>30.5</v>
      </c>
      <c r="F232" s="5"/>
      <c r="G232" s="8">
        <v>30.5</v>
      </c>
      <c r="H232" s="8">
        <v>30.5</v>
      </c>
      <c r="I232" s="5"/>
      <c r="J232" s="5"/>
      <c r="K232" s="8">
        <v>30.5</v>
      </c>
      <c r="L232" s="8">
        <v>30.5</v>
      </c>
      <c r="M232" s="16">
        <f t="shared" si="3"/>
        <v>0</v>
      </c>
      <c r="N232" s="5" t="s">
        <v>208</v>
      </c>
    </row>
    <row r="233" spans="1:14" x14ac:dyDescent="0.2">
      <c r="A233" s="5" t="s">
        <v>172</v>
      </c>
      <c r="B233" s="5" t="s">
        <v>369</v>
      </c>
      <c r="C233" s="5" t="s">
        <v>370</v>
      </c>
      <c r="D233" s="5"/>
      <c r="E233" s="5"/>
      <c r="F233" s="5"/>
      <c r="G233" s="8">
        <v>21</v>
      </c>
      <c r="H233" s="5"/>
      <c r="I233" s="8">
        <v>20</v>
      </c>
      <c r="J233" s="8">
        <v>20</v>
      </c>
      <c r="K233" s="8">
        <v>21</v>
      </c>
      <c r="L233" s="8">
        <v>20</v>
      </c>
      <c r="M233" s="16">
        <f t="shared" si="3"/>
        <v>-4.7619047619047672E-2</v>
      </c>
      <c r="N233" s="5" t="s">
        <v>208</v>
      </c>
    </row>
    <row r="234" spans="1:14" x14ac:dyDescent="0.2">
      <c r="A234" s="5" t="s">
        <v>172</v>
      </c>
      <c r="B234" s="5" t="s">
        <v>369</v>
      </c>
      <c r="C234" s="5" t="s">
        <v>371</v>
      </c>
      <c r="D234" s="8">
        <v>26</v>
      </c>
      <c r="E234" s="5"/>
      <c r="F234" s="5"/>
      <c r="G234" s="8">
        <v>26</v>
      </c>
      <c r="H234" s="8">
        <v>26</v>
      </c>
      <c r="I234" s="5"/>
      <c r="J234" s="5"/>
      <c r="K234" s="8">
        <v>26</v>
      </c>
      <c r="L234" s="8">
        <v>26</v>
      </c>
      <c r="M234" s="16">
        <f t="shared" si="3"/>
        <v>0</v>
      </c>
      <c r="N234" s="5" t="s">
        <v>208</v>
      </c>
    </row>
    <row r="235" spans="1:14" x14ac:dyDescent="0.2">
      <c r="A235" s="5" t="s">
        <v>172</v>
      </c>
      <c r="B235" s="5" t="s">
        <v>369</v>
      </c>
      <c r="C235" s="5" t="s">
        <v>372</v>
      </c>
      <c r="D235" s="8">
        <v>80</v>
      </c>
      <c r="E235" s="5"/>
      <c r="F235" s="5"/>
      <c r="G235" s="8">
        <v>70</v>
      </c>
      <c r="H235" s="8">
        <v>70</v>
      </c>
      <c r="I235" s="5"/>
      <c r="J235" s="5"/>
      <c r="K235" s="8">
        <v>80</v>
      </c>
      <c r="L235" s="8">
        <v>70</v>
      </c>
      <c r="M235" s="16">
        <f t="shared" si="3"/>
        <v>-0.125</v>
      </c>
      <c r="N235" s="18" t="s">
        <v>212</v>
      </c>
    </row>
    <row r="236" spans="1:14" x14ac:dyDescent="0.2">
      <c r="A236" s="5" t="s">
        <v>172</v>
      </c>
      <c r="B236" s="5" t="s">
        <v>369</v>
      </c>
      <c r="C236" s="5" t="s">
        <v>373</v>
      </c>
      <c r="D236" s="8">
        <v>26</v>
      </c>
      <c r="E236" s="8">
        <v>26</v>
      </c>
      <c r="F236" s="5"/>
      <c r="G236" s="8">
        <v>23.666699999999999</v>
      </c>
      <c r="H236" s="8">
        <v>24.333300000000001</v>
      </c>
      <c r="I236" s="8">
        <v>26</v>
      </c>
      <c r="J236" s="8">
        <v>26</v>
      </c>
      <c r="K236" s="8">
        <v>26</v>
      </c>
      <c r="L236" s="8">
        <v>26</v>
      </c>
      <c r="M236" s="16">
        <f t="shared" si="3"/>
        <v>0</v>
      </c>
      <c r="N236" s="14" t="s">
        <v>337</v>
      </c>
    </row>
    <row r="237" spans="1:14" x14ac:dyDescent="0.2">
      <c r="A237" s="5" t="s">
        <v>172</v>
      </c>
      <c r="B237" s="5" t="s">
        <v>369</v>
      </c>
      <c r="C237" s="5" t="s">
        <v>374</v>
      </c>
      <c r="D237" s="5"/>
      <c r="E237" s="5"/>
      <c r="F237" s="5"/>
      <c r="G237" s="8">
        <v>59.7</v>
      </c>
      <c r="H237" s="8">
        <v>59.7</v>
      </c>
      <c r="I237" s="8">
        <v>59.6</v>
      </c>
      <c r="J237" s="8">
        <v>59.8</v>
      </c>
      <c r="K237" s="8">
        <v>59.7</v>
      </c>
      <c r="L237" s="8">
        <v>59.8</v>
      </c>
      <c r="M237" s="16">
        <f t="shared" si="3"/>
        <v>1.6750418760467234E-3</v>
      </c>
      <c r="N237" s="5" t="s">
        <v>208</v>
      </c>
    </row>
    <row r="238" spans="1:14" x14ac:dyDescent="0.2">
      <c r="A238" s="5" t="s">
        <v>172</v>
      </c>
      <c r="B238" s="5" t="s">
        <v>176</v>
      </c>
      <c r="C238" s="5" t="s">
        <v>174</v>
      </c>
      <c r="D238" s="8">
        <v>9.09</v>
      </c>
      <c r="E238" s="8">
        <v>8.18</v>
      </c>
      <c r="F238" s="5"/>
      <c r="G238" s="8">
        <v>8.6366999999999994</v>
      </c>
      <c r="H238" s="8">
        <v>8.9774999999999991</v>
      </c>
      <c r="I238" s="8">
        <v>10.625</v>
      </c>
      <c r="J238" s="5"/>
      <c r="K238" s="8">
        <v>9.09</v>
      </c>
      <c r="L238" s="8">
        <v>10.625</v>
      </c>
      <c r="M238" s="16">
        <f t="shared" si="3"/>
        <v>0.16886688668866889</v>
      </c>
      <c r="N238" s="17" t="s">
        <v>22</v>
      </c>
    </row>
    <row r="239" spans="1:14" x14ac:dyDescent="0.2">
      <c r="A239" s="5" t="s">
        <v>172</v>
      </c>
      <c r="B239" s="5" t="s">
        <v>176</v>
      </c>
      <c r="C239" s="5" t="s">
        <v>375</v>
      </c>
      <c r="D239" s="5"/>
      <c r="E239" s="5"/>
      <c r="F239" s="5"/>
      <c r="G239" s="8">
        <v>27.27</v>
      </c>
      <c r="H239" s="8">
        <v>27.27</v>
      </c>
      <c r="I239" s="5"/>
      <c r="J239" s="5"/>
      <c r="K239" s="8">
        <v>27.27</v>
      </c>
      <c r="L239" s="8">
        <v>27.27</v>
      </c>
      <c r="M239" s="16">
        <f t="shared" si="3"/>
        <v>0</v>
      </c>
      <c r="N239" s="5" t="s">
        <v>208</v>
      </c>
    </row>
    <row r="240" spans="1:14" x14ac:dyDescent="0.2">
      <c r="A240" s="5" t="s">
        <v>172</v>
      </c>
      <c r="B240" s="5" t="s">
        <v>176</v>
      </c>
      <c r="C240" s="5" t="s">
        <v>177</v>
      </c>
      <c r="D240" s="5"/>
      <c r="E240" s="5"/>
      <c r="F240" s="5"/>
      <c r="G240" s="5"/>
      <c r="H240" s="8">
        <v>5.9966999999999997</v>
      </c>
      <c r="I240" s="8">
        <v>7.4</v>
      </c>
      <c r="J240" s="5"/>
      <c r="K240" s="8">
        <v>5.9966999999999997</v>
      </c>
      <c r="L240" s="8">
        <v>7.4</v>
      </c>
      <c r="M240" s="16">
        <f t="shared" si="3"/>
        <v>0.23401203995530895</v>
      </c>
      <c r="N240" s="17" t="s">
        <v>22</v>
      </c>
    </row>
    <row r="241" spans="1:14" x14ac:dyDescent="0.2">
      <c r="A241" s="5" t="s">
        <v>172</v>
      </c>
      <c r="B241" s="5" t="s">
        <v>199</v>
      </c>
      <c r="C241" s="5" t="s">
        <v>200</v>
      </c>
      <c r="D241" s="8">
        <v>61.5</v>
      </c>
      <c r="E241" s="8">
        <v>22.666699999999999</v>
      </c>
      <c r="F241" s="5"/>
      <c r="G241" s="8">
        <v>48.333300000000001</v>
      </c>
      <c r="H241" s="8">
        <v>95</v>
      </c>
      <c r="I241" s="8">
        <v>24.5</v>
      </c>
      <c r="J241" s="8">
        <v>23</v>
      </c>
      <c r="K241" s="8">
        <v>61.5</v>
      </c>
      <c r="L241" s="8">
        <v>23</v>
      </c>
      <c r="M241" s="16">
        <f t="shared" si="3"/>
        <v>-0.62601626016260159</v>
      </c>
      <c r="N241" s="5" t="s">
        <v>376</v>
      </c>
    </row>
    <row r="242" spans="1:14" x14ac:dyDescent="0.2">
      <c r="A242" s="5" t="s">
        <v>172</v>
      </c>
      <c r="B242" s="5" t="s">
        <v>199</v>
      </c>
      <c r="C242" s="5" t="s">
        <v>377</v>
      </c>
      <c r="D242" s="5"/>
      <c r="E242" s="5"/>
      <c r="F242" s="5"/>
      <c r="G242" s="5"/>
      <c r="H242" s="5"/>
      <c r="I242" s="8">
        <v>98</v>
      </c>
      <c r="J242" s="8">
        <v>96.333299999999994</v>
      </c>
      <c r="K242" s="8">
        <v>98</v>
      </c>
      <c r="L242" s="8">
        <v>96.333299999999994</v>
      </c>
      <c r="M242" s="16">
        <f t="shared" si="3"/>
        <v>-1.7007142857142887E-2</v>
      </c>
      <c r="N242" s="5" t="s">
        <v>208</v>
      </c>
    </row>
    <row r="243" spans="1:14" x14ac:dyDescent="0.2">
      <c r="A243" s="5" t="s">
        <v>172</v>
      </c>
      <c r="B243" s="5" t="s">
        <v>199</v>
      </c>
      <c r="C243" s="5" t="s">
        <v>378</v>
      </c>
      <c r="D243" s="8">
        <v>98</v>
      </c>
      <c r="E243" s="8">
        <v>99</v>
      </c>
      <c r="F243" s="5"/>
      <c r="G243" s="8">
        <v>99</v>
      </c>
      <c r="H243" s="5"/>
      <c r="I243" s="5"/>
      <c r="J243" s="5"/>
      <c r="K243" s="8">
        <v>98</v>
      </c>
      <c r="L243" s="8">
        <v>99</v>
      </c>
      <c r="M243" s="16">
        <f t="shared" si="3"/>
        <v>1.0204081632652962E-2</v>
      </c>
      <c r="N243" s="5" t="s">
        <v>208</v>
      </c>
    </row>
    <row r="244" spans="1:14" x14ac:dyDescent="0.2">
      <c r="A244" s="5" t="s">
        <v>172</v>
      </c>
      <c r="B244" s="5" t="s">
        <v>199</v>
      </c>
      <c r="C244" s="5" t="s">
        <v>379</v>
      </c>
      <c r="D244" s="8">
        <v>52.666699999999999</v>
      </c>
      <c r="E244" s="8">
        <v>49.5</v>
      </c>
      <c r="F244" s="5"/>
      <c r="G244" s="8">
        <v>49.5</v>
      </c>
      <c r="H244" s="5"/>
      <c r="I244" s="8">
        <v>50</v>
      </c>
      <c r="J244" s="8">
        <v>50</v>
      </c>
      <c r="K244" s="8">
        <v>52.666699999999999</v>
      </c>
      <c r="L244" s="8">
        <v>50</v>
      </c>
      <c r="M244" s="16">
        <f t="shared" si="3"/>
        <v>-5.0633512257270752E-2</v>
      </c>
      <c r="N244" s="5" t="s">
        <v>208</v>
      </c>
    </row>
    <row r="245" spans="1:14" x14ac:dyDescent="0.2">
      <c r="A245" s="5" t="s">
        <v>172</v>
      </c>
      <c r="B245" s="5" t="s">
        <v>199</v>
      </c>
      <c r="C245" s="5" t="s">
        <v>380</v>
      </c>
      <c r="D245" s="5"/>
      <c r="E245" s="8">
        <v>50</v>
      </c>
      <c r="F245" s="5"/>
      <c r="G245" s="8">
        <v>48</v>
      </c>
      <c r="H245" s="5"/>
      <c r="I245" s="5"/>
      <c r="J245" s="5"/>
      <c r="K245" s="8">
        <v>50</v>
      </c>
      <c r="L245" s="8">
        <v>48</v>
      </c>
      <c r="M245" s="16">
        <f t="shared" si="3"/>
        <v>-4.0000000000000036E-2</v>
      </c>
      <c r="N245" s="5" t="s">
        <v>208</v>
      </c>
    </row>
    <row r="246" spans="1:14" x14ac:dyDescent="0.2">
      <c r="A246" s="5" t="s">
        <v>172</v>
      </c>
      <c r="B246" s="5" t="s">
        <v>199</v>
      </c>
      <c r="C246" s="5" t="s">
        <v>381</v>
      </c>
      <c r="D246" s="5"/>
      <c r="E246" s="5"/>
      <c r="F246" s="5"/>
      <c r="G246" s="5"/>
      <c r="H246" s="5"/>
      <c r="I246" s="8">
        <v>50</v>
      </c>
      <c r="J246" s="8">
        <v>50</v>
      </c>
      <c r="K246" s="8">
        <v>50</v>
      </c>
      <c r="L246" s="8">
        <v>50</v>
      </c>
      <c r="M246" s="16">
        <f t="shared" si="3"/>
        <v>0</v>
      </c>
      <c r="N246" s="5" t="s">
        <v>208</v>
      </c>
    </row>
    <row r="247" spans="1:14" x14ac:dyDescent="0.2">
      <c r="A247" s="5" t="s">
        <v>172</v>
      </c>
      <c r="B247" s="5" t="s">
        <v>199</v>
      </c>
      <c r="C247" s="5" t="s">
        <v>382</v>
      </c>
      <c r="D247" s="8">
        <v>2.7</v>
      </c>
      <c r="E247" s="8">
        <v>2.7</v>
      </c>
      <c r="F247" s="5"/>
      <c r="G247" s="8">
        <v>2.7</v>
      </c>
      <c r="H247" s="5"/>
      <c r="I247" s="8">
        <v>2.7</v>
      </c>
      <c r="J247" s="8">
        <v>2.7</v>
      </c>
      <c r="K247" s="8">
        <v>2.7</v>
      </c>
      <c r="L247" s="8">
        <v>2.7</v>
      </c>
      <c r="M247" s="16">
        <f t="shared" si="3"/>
        <v>0</v>
      </c>
      <c r="N247" s="5" t="s">
        <v>208</v>
      </c>
    </row>
    <row r="248" spans="1:14" x14ac:dyDescent="0.2">
      <c r="A248" s="5" t="s">
        <v>172</v>
      </c>
      <c r="B248" s="5" t="s">
        <v>199</v>
      </c>
      <c r="C248" s="5" t="s">
        <v>383</v>
      </c>
      <c r="D248" s="8">
        <v>98.5</v>
      </c>
      <c r="E248" s="8">
        <v>95</v>
      </c>
      <c r="F248" s="5"/>
      <c r="G248" s="8">
        <v>95</v>
      </c>
      <c r="H248" s="5"/>
      <c r="I248" s="8">
        <v>95</v>
      </c>
      <c r="J248" s="8">
        <v>95</v>
      </c>
      <c r="K248" s="8">
        <v>98.5</v>
      </c>
      <c r="L248" s="8">
        <v>95</v>
      </c>
      <c r="M248" s="16">
        <f t="shared" si="3"/>
        <v>-3.5532994923857864E-2</v>
      </c>
      <c r="N248" s="5" t="s">
        <v>208</v>
      </c>
    </row>
    <row r="249" spans="1:14" x14ac:dyDescent="0.2">
      <c r="A249" s="5" t="s">
        <v>172</v>
      </c>
      <c r="B249" s="5" t="s">
        <v>384</v>
      </c>
      <c r="C249" s="5" t="s">
        <v>385</v>
      </c>
      <c r="D249" s="5"/>
      <c r="E249" s="8">
        <v>48</v>
      </c>
      <c r="F249" s="5"/>
      <c r="G249" s="8">
        <v>48</v>
      </c>
      <c r="H249" s="8">
        <v>48</v>
      </c>
      <c r="I249" s="8">
        <v>48</v>
      </c>
      <c r="J249" s="8">
        <v>48</v>
      </c>
      <c r="K249" s="8">
        <v>48</v>
      </c>
      <c r="L249" s="8">
        <v>48</v>
      </c>
      <c r="M249" s="16">
        <f t="shared" si="3"/>
        <v>0</v>
      </c>
      <c r="N249" s="5" t="s">
        <v>208</v>
      </c>
    </row>
    <row r="250" spans="1:14" x14ac:dyDescent="0.2">
      <c r="A250" s="5" t="s">
        <v>172</v>
      </c>
      <c r="B250" s="5" t="s">
        <v>180</v>
      </c>
      <c r="C250" s="5" t="s">
        <v>187</v>
      </c>
      <c r="D250" s="5"/>
      <c r="E250" s="8">
        <v>82.5</v>
      </c>
      <c r="F250" s="5"/>
      <c r="G250" s="8">
        <v>82.5</v>
      </c>
      <c r="H250" s="5"/>
      <c r="I250" s="8">
        <v>78</v>
      </c>
      <c r="J250" s="8">
        <v>88</v>
      </c>
      <c r="K250" s="8">
        <v>82.5</v>
      </c>
      <c r="L250" s="8">
        <v>88</v>
      </c>
      <c r="M250" s="16">
        <f t="shared" si="3"/>
        <v>6.6666666666666652E-2</v>
      </c>
      <c r="N250" s="5" t="s">
        <v>161</v>
      </c>
    </row>
    <row r="251" spans="1:14" x14ac:dyDescent="0.2">
      <c r="A251" s="5" t="s">
        <v>172</v>
      </c>
      <c r="B251" s="5" t="s">
        <v>180</v>
      </c>
      <c r="C251" s="5" t="s">
        <v>200</v>
      </c>
      <c r="D251" s="8">
        <v>18.5</v>
      </c>
      <c r="E251" s="8">
        <v>18.5</v>
      </c>
      <c r="F251" s="5"/>
      <c r="G251" s="8">
        <v>18.5</v>
      </c>
      <c r="H251" s="5"/>
      <c r="I251" s="5"/>
      <c r="J251" s="5"/>
      <c r="K251" s="8">
        <v>18.5</v>
      </c>
      <c r="L251" s="8">
        <v>18.5</v>
      </c>
      <c r="M251" s="16">
        <f t="shared" si="3"/>
        <v>0</v>
      </c>
      <c r="N251" s="5" t="s">
        <v>208</v>
      </c>
    </row>
    <row r="252" spans="1:14" x14ac:dyDescent="0.2">
      <c r="A252" s="5" t="s">
        <v>172</v>
      </c>
      <c r="B252" s="5" t="s">
        <v>180</v>
      </c>
      <c r="C252" s="5" t="s">
        <v>194</v>
      </c>
      <c r="D252" s="8">
        <v>24</v>
      </c>
      <c r="E252" s="8">
        <v>21.5</v>
      </c>
      <c r="F252" s="5"/>
      <c r="G252" s="8">
        <v>24</v>
      </c>
      <c r="H252" s="8">
        <v>21.5</v>
      </c>
      <c r="I252" s="8">
        <v>21.5</v>
      </c>
      <c r="J252" s="8">
        <v>21.5</v>
      </c>
      <c r="K252" s="8">
        <v>24</v>
      </c>
      <c r="L252" s="8">
        <v>21.5</v>
      </c>
      <c r="M252" s="16">
        <f t="shared" si="3"/>
        <v>-0.10416666666666663</v>
      </c>
      <c r="N252" s="5" t="s">
        <v>376</v>
      </c>
    </row>
    <row r="253" spans="1:14" x14ac:dyDescent="0.2">
      <c r="A253" s="5" t="s">
        <v>172</v>
      </c>
      <c r="B253" s="5" t="s">
        <v>180</v>
      </c>
      <c r="C253" s="5" t="s">
        <v>190</v>
      </c>
      <c r="D253" s="8">
        <v>93.5</v>
      </c>
      <c r="E253" s="8">
        <v>94.333299999999994</v>
      </c>
      <c r="F253" s="5"/>
      <c r="G253" s="8">
        <v>96.333299999999994</v>
      </c>
      <c r="H253" s="8">
        <v>108</v>
      </c>
      <c r="I253" s="8">
        <v>98</v>
      </c>
      <c r="J253" s="8">
        <v>98</v>
      </c>
      <c r="K253" s="8">
        <v>93.5</v>
      </c>
      <c r="L253" s="8">
        <v>98</v>
      </c>
      <c r="M253" s="16">
        <f t="shared" si="3"/>
        <v>4.8128342245989275E-2</v>
      </c>
      <c r="N253" s="5" t="s">
        <v>161</v>
      </c>
    </row>
    <row r="254" spans="1:14" x14ac:dyDescent="0.2">
      <c r="A254" s="5" t="s">
        <v>172</v>
      </c>
      <c r="B254" s="5" t="s">
        <v>180</v>
      </c>
      <c r="C254" s="5" t="s">
        <v>386</v>
      </c>
      <c r="D254" s="8">
        <v>11.5</v>
      </c>
      <c r="E254" s="8">
        <v>11.5</v>
      </c>
      <c r="F254" s="5"/>
      <c r="G254" s="8">
        <v>11.5</v>
      </c>
      <c r="H254" s="5"/>
      <c r="I254" s="5"/>
      <c r="J254" s="5"/>
      <c r="K254" s="8">
        <v>11.5</v>
      </c>
      <c r="L254" s="8">
        <v>11.5</v>
      </c>
      <c r="M254" s="16">
        <f t="shared" si="3"/>
        <v>0</v>
      </c>
      <c r="N254" s="5" t="s">
        <v>208</v>
      </c>
    </row>
    <row r="255" spans="1:14" x14ac:dyDescent="0.2">
      <c r="A255" s="5" t="s">
        <v>172</v>
      </c>
      <c r="B255" s="5" t="s">
        <v>180</v>
      </c>
      <c r="C255" s="5" t="s">
        <v>185</v>
      </c>
      <c r="D255" s="5"/>
      <c r="E255" s="8">
        <v>68</v>
      </c>
      <c r="F255" s="5"/>
      <c r="G255" s="8">
        <v>59</v>
      </c>
      <c r="H255" s="8">
        <v>70</v>
      </c>
      <c r="I255" s="8">
        <v>75</v>
      </c>
      <c r="J255" s="5"/>
      <c r="K255" s="8">
        <v>68</v>
      </c>
      <c r="L255" s="8">
        <v>75</v>
      </c>
      <c r="M255" s="16">
        <f t="shared" si="3"/>
        <v>0.10294117647058831</v>
      </c>
      <c r="N255" s="17" t="s">
        <v>22</v>
      </c>
    </row>
    <row r="256" spans="1:14" x14ac:dyDescent="0.2">
      <c r="A256" s="5" t="s">
        <v>172</v>
      </c>
      <c r="B256" s="5" t="s">
        <v>180</v>
      </c>
      <c r="C256" s="5" t="s">
        <v>387</v>
      </c>
      <c r="D256" s="8">
        <v>58</v>
      </c>
      <c r="E256" s="8">
        <v>58</v>
      </c>
      <c r="F256" s="5"/>
      <c r="G256" s="8">
        <v>58</v>
      </c>
      <c r="H256" s="8">
        <v>58</v>
      </c>
      <c r="I256" s="5"/>
      <c r="J256" s="8">
        <v>59</v>
      </c>
      <c r="K256" s="8">
        <v>58</v>
      </c>
      <c r="L256" s="8">
        <v>59</v>
      </c>
      <c r="M256" s="16">
        <f t="shared" si="3"/>
        <v>1.7241379310344751E-2</v>
      </c>
      <c r="N256" s="5" t="s">
        <v>208</v>
      </c>
    </row>
    <row r="257" spans="1:14" x14ac:dyDescent="0.2">
      <c r="A257" s="5" t="s">
        <v>172</v>
      </c>
      <c r="B257" s="5" t="s">
        <v>180</v>
      </c>
      <c r="C257" s="5" t="s">
        <v>388</v>
      </c>
      <c r="D257" s="8">
        <v>28.5</v>
      </c>
      <c r="E257" s="8">
        <v>28.5</v>
      </c>
      <c r="F257" s="5"/>
      <c r="G257" s="8">
        <v>28.5</v>
      </c>
      <c r="H257" s="8">
        <v>28.5</v>
      </c>
      <c r="I257" s="8">
        <v>30</v>
      </c>
      <c r="J257" s="8">
        <v>31.25</v>
      </c>
      <c r="K257" s="8">
        <v>28.5</v>
      </c>
      <c r="L257" s="8">
        <v>31.25</v>
      </c>
      <c r="M257" s="16">
        <f t="shared" si="3"/>
        <v>9.6491228070175517E-2</v>
      </c>
      <c r="N257" s="5" t="s">
        <v>208</v>
      </c>
    </row>
    <row r="258" spans="1:14" x14ac:dyDescent="0.2">
      <c r="A258" s="5" t="s">
        <v>172</v>
      </c>
      <c r="B258" s="5" t="s">
        <v>180</v>
      </c>
      <c r="C258" s="5" t="s">
        <v>389</v>
      </c>
      <c r="D258" s="8">
        <v>96</v>
      </c>
      <c r="E258" s="8">
        <v>96</v>
      </c>
      <c r="F258" s="5"/>
      <c r="G258" s="8">
        <v>88</v>
      </c>
      <c r="H258" s="8">
        <v>80</v>
      </c>
      <c r="I258" s="5"/>
      <c r="J258" s="5"/>
      <c r="K258" s="8">
        <v>96</v>
      </c>
      <c r="L258" s="8">
        <v>80</v>
      </c>
      <c r="M258" s="16">
        <f t="shared" si="3"/>
        <v>-0.16666666666666663</v>
      </c>
      <c r="N258" s="18" t="s">
        <v>212</v>
      </c>
    </row>
    <row r="259" spans="1:14" x14ac:dyDescent="0.2">
      <c r="A259" s="5" t="s">
        <v>172</v>
      </c>
      <c r="B259" s="5" t="s">
        <v>180</v>
      </c>
      <c r="C259" s="5" t="s">
        <v>183</v>
      </c>
      <c r="D259" s="8">
        <v>31.666699999999999</v>
      </c>
      <c r="E259" s="8">
        <v>34</v>
      </c>
      <c r="F259" s="5"/>
      <c r="G259" s="8">
        <v>34</v>
      </c>
      <c r="H259" s="8">
        <v>35</v>
      </c>
      <c r="I259" s="8">
        <v>35</v>
      </c>
      <c r="J259" s="5"/>
      <c r="K259" s="8">
        <v>31.666699999999999</v>
      </c>
      <c r="L259" s="8">
        <v>35</v>
      </c>
      <c r="M259" s="16">
        <f t="shared" si="3"/>
        <v>0.10526199446105844</v>
      </c>
      <c r="N259" s="17" t="s">
        <v>22</v>
      </c>
    </row>
    <row r="260" spans="1:14" x14ac:dyDescent="0.2">
      <c r="A260" s="5" t="s">
        <v>172</v>
      </c>
      <c r="B260" s="5" t="s">
        <v>180</v>
      </c>
      <c r="C260" s="5" t="s">
        <v>390</v>
      </c>
      <c r="D260" s="8">
        <v>70</v>
      </c>
      <c r="E260" s="8">
        <v>70</v>
      </c>
      <c r="F260" s="5"/>
      <c r="G260" s="8">
        <v>70</v>
      </c>
      <c r="H260" s="5"/>
      <c r="I260" s="5"/>
      <c r="J260" s="5"/>
      <c r="K260" s="8">
        <v>70</v>
      </c>
      <c r="L260" s="8">
        <v>70</v>
      </c>
      <c r="M260" s="16">
        <f t="shared" ref="M260:M323" si="4">IFERROR(L260/K260-1,0)</f>
        <v>0</v>
      </c>
      <c r="N260" s="5" t="s">
        <v>208</v>
      </c>
    </row>
    <row r="261" spans="1:14" x14ac:dyDescent="0.2">
      <c r="A261" s="5" t="s">
        <v>172</v>
      </c>
      <c r="B261" s="5" t="s">
        <v>180</v>
      </c>
      <c r="C261" s="5" t="s">
        <v>197</v>
      </c>
      <c r="D261" s="8">
        <v>28.625</v>
      </c>
      <c r="E261" s="8">
        <v>35.1</v>
      </c>
      <c r="F261" s="5"/>
      <c r="G261" s="8">
        <v>28</v>
      </c>
      <c r="H261" s="8">
        <v>27.4</v>
      </c>
      <c r="I261" s="8">
        <v>25.75</v>
      </c>
      <c r="J261" s="8">
        <v>25</v>
      </c>
      <c r="K261" s="8">
        <v>28.625</v>
      </c>
      <c r="L261" s="8">
        <v>25</v>
      </c>
      <c r="M261" s="16">
        <f t="shared" si="4"/>
        <v>-0.1266375545851528</v>
      </c>
      <c r="N261" s="5" t="s">
        <v>376</v>
      </c>
    </row>
    <row r="262" spans="1:14" x14ac:dyDescent="0.2">
      <c r="A262" s="5" t="s">
        <v>172</v>
      </c>
      <c r="B262" s="5" t="s">
        <v>180</v>
      </c>
      <c r="C262" s="5" t="s">
        <v>391</v>
      </c>
      <c r="D262" s="8">
        <v>15</v>
      </c>
      <c r="E262" s="8">
        <v>15</v>
      </c>
      <c r="F262" s="5"/>
      <c r="G262" s="8">
        <v>12.75</v>
      </c>
      <c r="H262" s="8">
        <v>13</v>
      </c>
      <c r="I262" s="5"/>
      <c r="J262" s="5"/>
      <c r="K262" s="8">
        <v>15</v>
      </c>
      <c r="L262" s="8">
        <v>13</v>
      </c>
      <c r="M262" s="16">
        <f t="shared" si="4"/>
        <v>-0.1333333333333333</v>
      </c>
      <c r="N262" s="18" t="s">
        <v>212</v>
      </c>
    </row>
    <row r="263" spans="1:14" x14ac:dyDescent="0.2">
      <c r="A263" s="5" t="s">
        <v>172</v>
      </c>
      <c r="B263" s="5" t="s">
        <v>180</v>
      </c>
      <c r="C263" s="5" t="s">
        <v>392</v>
      </c>
      <c r="D263" s="8">
        <v>31.25</v>
      </c>
      <c r="E263" s="8">
        <v>30.5</v>
      </c>
      <c r="F263" s="5"/>
      <c r="G263" s="8">
        <v>30.5</v>
      </c>
      <c r="H263" s="8">
        <v>30.5</v>
      </c>
      <c r="I263" s="8">
        <v>30.5</v>
      </c>
      <c r="J263" s="8">
        <v>30.5</v>
      </c>
      <c r="K263" s="8">
        <v>31.25</v>
      </c>
      <c r="L263" s="8">
        <v>30.5</v>
      </c>
      <c r="M263" s="16">
        <f t="shared" si="4"/>
        <v>-2.4000000000000021E-2</v>
      </c>
      <c r="N263" s="5" t="s">
        <v>208</v>
      </c>
    </row>
    <row r="264" spans="1:14" x14ac:dyDescent="0.2">
      <c r="A264" s="5" t="s">
        <v>172</v>
      </c>
      <c r="B264" s="5" t="s">
        <v>180</v>
      </c>
      <c r="C264" s="5" t="s">
        <v>181</v>
      </c>
      <c r="D264" s="5"/>
      <c r="E264" s="5"/>
      <c r="F264" s="5"/>
      <c r="G264" s="8">
        <v>51</v>
      </c>
      <c r="H264" s="8">
        <v>58</v>
      </c>
      <c r="I264" s="8">
        <v>58.5</v>
      </c>
      <c r="J264" s="5"/>
      <c r="K264" s="8">
        <v>51</v>
      </c>
      <c r="L264" s="8">
        <v>58.5</v>
      </c>
      <c r="M264" s="16">
        <f t="shared" si="4"/>
        <v>0.14705882352941169</v>
      </c>
      <c r="N264" s="17" t="s">
        <v>22</v>
      </c>
    </row>
    <row r="265" spans="1:14" x14ac:dyDescent="0.2">
      <c r="A265" s="5" t="s">
        <v>172</v>
      </c>
      <c r="B265" s="5" t="s">
        <v>180</v>
      </c>
      <c r="C265" s="5" t="s">
        <v>393</v>
      </c>
      <c r="D265" s="5"/>
      <c r="E265" s="8">
        <v>28</v>
      </c>
      <c r="F265" s="5"/>
      <c r="G265" s="8">
        <v>28</v>
      </c>
      <c r="H265" s="5"/>
      <c r="I265" s="5"/>
      <c r="J265" s="5"/>
      <c r="K265" s="8">
        <v>28</v>
      </c>
      <c r="L265" s="8">
        <v>28</v>
      </c>
      <c r="M265" s="16">
        <f t="shared" si="4"/>
        <v>0</v>
      </c>
      <c r="N265" s="5" t="s">
        <v>208</v>
      </c>
    </row>
    <row r="266" spans="1:14" x14ac:dyDescent="0.2">
      <c r="A266" s="5" t="s">
        <v>172</v>
      </c>
      <c r="B266" s="5" t="s">
        <v>180</v>
      </c>
      <c r="C266" s="5" t="s">
        <v>394</v>
      </c>
      <c r="D266" s="8">
        <v>15.5</v>
      </c>
      <c r="E266" s="8">
        <v>15.5</v>
      </c>
      <c r="F266" s="5"/>
      <c r="G266" s="8">
        <v>15.5</v>
      </c>
      <c r="H266" s="8">
        <v>15.5</v>
      </c>
      <c r="I266" s="8">
        <v>15.5</v>
      </c>
      <c r="J266" s="8">
        <v>15.5</v>
      </c>
      <c r="K266" s="8">
        <v>15.5</v>
      </c>
      <c r="L266" s="8">
        <v>15.5</v>
      </c>
      <c r="M266" s="16">
        <f t="shared" si="4"/>
        <v>0</v>
      </c>
      <c r="N266" s="5" t="s">
        <v>208</v>
      </c>
    </row>
  </sheetData>
  <autoFilter ref="A3:N266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9"/>
  <sheetViews>
    <sheetView zoomScaleNormal="100" workbookViewId="0"/>
  </sheetViews>
  <sheetFormatPr baseColWidth="10" defaultColWidth="8.6640625" defaultRowHeight="15" x14ac:dyDescent="0.2"/>
  <cols>
    <col min="1" max="1" width="130" customWidth="1"/>
  </cols>
  <sheetData>
    <row r="1" spans="1:1" ht="19" x14ac:dyDescent="0.2">
      <c r="A1" s="19" t="s">
        <v>395</v>
      </c>
    </row>
    <row r="3" spans="1:1" x14ac:dyDescent="0.2">
      <c r="A3" s="20" t="s">
        <v>396</v>
      </c>
    </row>
    <row r="5" spans="1:1" ht="30" x14ac:dyDescent="0.2">
      <c r="A5" s="20" t="s">
        <v>397</v>
      </c>
    </row>
    <row r="7" spans="1:1" ht="30" x14ac:dyDescent="0.2">
      <c r="A7" s="20" t="s">
        <v>398</v>
      </c>
    </row>
    <row r="9" spans="1:1" ht="30" x14ac:dyDescent="0.2">
      <c r="A9" s="20" t="s">
        <v>399</v>
      </c>
    </row>
    <row r="11" spans="1:1" x14ac:dyDescent="0.2">
      <c r="A11" s="20" t="s">
        <v>400</v>
      </c>
    </row>
    <row r="13" spans="1:1" ht="30" x14ac:dyDescent="0.2">
      <c r="A13" s="20" t="s">
        <v>401</v>
      </c>
    </row>
    <row r="15" spans="1:1" x14ac:dyDescent="0.2">
      <c r="A15" s="20" t="s">
        <v>402</v>
      </c>
    </row>
    <row r="17" spans="1:1" ht="45" x14ac:dyDescent="0.2">
      <c r="A17" s="20" t="s">
        <v>403</v>
      </c>
    </row>
    <row r="19" spans="1:1" x14ac:dyDescent="0.2">
      <c r="A19" s="20" t="s">
        <v>404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20</v>
      </c>
      <c r="I1" s="21" t="s">
        <v>405</v>
      </c>
    </row>
    <row r="2" spans="1:9" x14ac:dyDescent="0.2">
      <c r="A2" s="22" t="s">
        <v>406</v>
      </c>
    </row>
    <row r="3" spans="1:9" x14ac:dyDescent="0.2">
      <c r="A3" s="3" t="s">
        <v>407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5</v>
      </c>
      <c r="B7" s="5">
        <f>COUNTIF($A$14:$A$16,A7)</f>
        <v>1</v>
      </c>
      <c r="C7" s="8">
        <f>_xlfn.MINIFS($B$14:$B$16,$A$14:$A$16,A7)</f>
        <v>8</v>
      </c>
      <c r="D7" s="8">
        <f>AVERAGEIF($A$14:$A$16,A7,$B$14:$B$16)</f>
        <v>8</v>
      </c>
      <c r="E7" s="8">
        <f>_xlfn.MAXIFS($B$14:$B$16,$A$14:$A$16,A7)</f>
        <v>8</v>
      </c>
      <c r="F7" s="16"/>
      <c r="G7" s="16"/>
    </row>
    <row r="8" spans="1:9" x14ac:dyDescent="0.2">
      <c r="A8" s="5" t="s">
        <v>7</v>
      </c>
      <c r="B8" s="5">
        <f>COUNTIF($A$14:$A$16,A8)</f>
        <v>1</v>
      </c>
      <c r="C8" s="8">
        <f>_xlfn.MINIFS($B$14:$B$16,$A$14:$A$16,A8)</f>
        <v>8</v>
      </c>
      <c r="D8" s="8">
        <f>AVERAGEIF($A$14:$A$16,A8,$B$14:$B$16)</f>
        <v>8</v>
      </c>
      <c r="E8" s="8">
        <f>_xlfn.MAXIFS($B$14:$B$16,$A$14:$A$16,A8)</f>
        <v>8</v>
      </c>
      <c r="F8" s="16">
        <f>D8/D7-1</f>
        <v>0</v>
      </c>
      <c r="G8" s="16">
        <f>D8/$D$7-1</f>
        <v>0</v>
      </c>
    </row>
    <row r="9" spans="1:9" x14ac:dyDescent="0.2">
      <c r="A9" s="5" t="s">
        <v>11</v>
      </c>
      <c r="B9" s="5">
        <f>COUNTIF($A$14:$A$16,A9)</f>
        <v>1</v>
      </c>
      <c r="C9" s="8">
        <f>_xlfn.MINIFS($B$14:$B$16,$A$14:$A$16,A9)</f>
        <v>9</v>
      </c>
      <c r="D9" s="8">
        <f>AVERAGEIF($A$14:$A$16,A9,$B$14:$B$16)</f>
        <v>9</v>
      </c>
      <c r="E9" s="8">
        <f>_xlfn.MAXIFS($B$14:$B$16,$A$14:$A$16,A9)</f>
        <v>9</v>
      </c>
      <c r="F9" s="16">
        <f>D9/D8-1</f>
        <v>0.125</v>
      </c>
      <c r="G9" s="16">
        <f>D9/$D$7-1</f>
        <v>0.125</v>
      </c>
    </row>
    <row r="10" spans="1:9" x14ac:dyDescent="0.2">
      <c r="F10" s="22" t="s">
        <v>416</v>
      </c>
      <c r="G10" s="23">
        <f>D9/D7-1</f>
        <v>0.125</v>
      </c>
    </row>
    <row r="12" spans="1:9" x14ac:dyDescent="0.2">
      <c r="A12" s="22" t="s">
        <v>417</v>
      </c>
    </row>
    <row r="13" spans="1:9" ht="30" x14ac:dyDescent="0.2">
      <c r="A13" s="4" t="s">
        <v>409</v>
      </c>
      <c r="B13" s="4" t="s">
        <v>418</v>
      </c>
      <c r="C13" s="4" t="s">
        <v>419</v>
      </c>
      <c r="D13" s="4" t="s">
        <v>420</v>
      </c>
      <c r="E13" s="4" t="s">
        <v>421</v>
      </c>
    </row>
    <row r="14" spans="1:9" x14ac:dyDescent="0.2">
      <c r="A14" s="5" t="s">
        <v>5</v>
      </c>
      <c r="B14" s="8">
        <v>8</v>
      </c>
      <c r="C14" s="5">
        <v>3</v>
      </c>
      <c r="D14" s="5" t="s">
        <v>20</v>
      </c>
      <c r="E14" s="5" t="s">
        <v>422</v>
      </c>
    </row>
    <row r="15" spans="1:9" x14ac:dyDescent="0.2">
      <c r="A15" s="5" t="s">
        <v>7</v>
      </c>
      <c r="B15" s="8">
        <v>8</v>
      </c>
      <c r="C15" s="5"/>
      <c r="D15" s="5" t="s">
        <v>20</v>
      </c>
      <c r="E15" s="5" t="s">
        <v>422</v>
      </c>
    </row>
    <row r="16" spans="1:9" x14ac:dyDescent="0.2">
      <c r="A16" s="5" t="s">
        <v>11</v>
      </c>
      <c r="B16" s="8">
        <v>9</v>
      </c>
      <c r="C16" s="5">
        <v>8.6</v>
      </c>
      <c r="D16" s="5" t="s">
        <v>20</v>
      </c>
      <c r="E16" s="5" t="s">
        <v>423</v>
      </c>
    </row>
  </sheetData>
  <mergeCells count="1">
    <mergeCell ref="A4:G4"/>
  </mergeCells>
  <hyperlinks>
    <hyperlink ref="I1" r:id="rId1" location="'RESUMEN%20SUBIDAS'!A1" xr:uid="{00000000-0004-0000-03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25</v>
      </c>
      <c r="I1" s="21" t="s">
        <v>405</v>
      </c>
    </row>
    <row r="2" spans="1:9" x14ac:dyDescent="0.2">
      <c r="A2" s="22" t="s">
        <v>424</v>
      </c>
    </row>
    <row r="3" spans="1:9" x14ac:dyDescent="0.2">
      <c r="A3" s="3" t="s">
        <v>425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5</v>
      </c>
      <c r="B7" s="5">
        <f>COUNTIF($A$16:$A$20,A7)</f>
        <v>1</v>
      </c>
      <c r="C7" s="8">
        <f>_xlfn.MINIFS($B$16:$B$20,$A$16:$A$20,A7)</f>
        <v>15.5</v>
      </c>
      <c r="D7" s="8">
        <f>AVERAGEIF($A$16:$A$20,A7,$B$16:$B$20)</f>
        <v>15.5</v>
      </c>
      <c r="E7" s="8">
        <f>_xlfn.MAXIFS($B$16:$B$20,$A$16:$A$20,A7)</f>
        <v>15.5</v>
      </c>
      <c r="F7" s="16"/>
      <c r="G7" s="16"/>
    </row>
    <row r="8" spans="1:9" x14ac:dyDescent="0.2">
      <c r="A8" s="5" t="s">
        <v>6</v>
      </c>
      <c r="B8" s="5">
        <f>COUNTIF($A$16:$A$20,A8)</f>
        <v>1</v>
      </c>
      <c r="C8" s="8">
        <f>_xlfn.MINIFS($B$16:$B$20,$A$16:$A$20,A8)</f>
        <v>15.5</v>
      </c>
      <c r="D8" s="8">
        <f>AVERAGEIF($A$16:$A$20,A8,$B$16:$B$20)</f>
        <v>15.5</v>
      </c>
      <c r="E8" s="8">
        <f>_xlfn.MAXIFS($B$16:$B$20,$A$16:$A$20,A8)</f>
        <v>15.5</v>
      </c>
      <c r="F8" s="16">
        <f>D8/D7-1</f>
        <v>0</v>
      </c>
      <c r="G8" s="16">
        <f>D8/$D$7-1</f>
        <v>0</v>
      </c>
    </row>
    <row r="9" spans="1:9" x14ac:dyDescent="0.2">
      <c r="A9" s="5" t="s">
        <v>7</v>
      </c>
      <c r="B9" s="5">
        <f>COUNTIF($A$16:$A$20,A9)</f>
        <v>1</v>
      </c>
      <c r="C9" s="8">
        <f>_xlfn.MINIFS($B$16:$B$20,$A$16:$A$20,A9)</f>
        <v>15.5</v>
      </c>
      <c r="D9" s="8">
        <f>AVERAGEIF($A$16:$A$20,A9,$B$16:$B$20)</f>
        <v>15.5</v>
      </c>
      <c r="E9" s="8">
        <f>_xlfn.MAXIFS($B$16:$B$20,$A$16:$A$20,A9)</f>
        <v>15.5</v>
      </c>
      <c r="F9" s="16">
        <f>D9/D8-1</f>
        <v>0</v>
      </c>
      <c r="G9" s="16">
        <f>D9/$D$7-1</f>
        <v>0</v>
      </c>
    </row>
    <row r="10" spans="1:9" x14ac:dyDescent="0.2">
      <c r="A10" s="5" t="s">
        <v>8</v>
      </c>
      <c r="B10" s="5">
        <f>COUNTIF($A$16:$A$20,A10)</f>
        <v>1</v>
      </c>
      <c r="C10" s="8">
        <f>_xlfn.MINIFS($B$16:$B$20,$A$16:$A$20,A10)</f>
        <v>16.899999999999999</v>
      </c>
      <c r="D10" s="8">
        <f>AVERAGEIF($A$16:$A$20,A10,$B$16:$B$20)</f>
        <v>16.899999999999999</v>
      </c>
      <c r="E10" s="8">
        <f>_xlfn.MAXIFS($B$16:$B$20,$A$16:$A$20,A10)</f>
        <v>16.899999999999999</v>
      </c>
      <c r="F10" s="16">
        <f>D10/D9-1</f>
        <v>9.0322580645161299E-2</v>
      </c>
      <c r="G10" s="16">
        <f>D10/$D$7-1</f>
        <v>9.0322580645161299E-2</v>
      </c>
    </row>
    <row r="11" spans="1:9" x14ac:dyDescent="0.2">
      <c r="A11" s="5" t="s">
        <v>10</v>
      </c>
      <c r="B11" s="5">
        <f>COUNTIF($A$16:$A$20,A11)</f>
        <v>1</v>
      </c>
      <c r="C11" s="8">
        <f>_xlfn.MINIFS($B$16:$B$20,$A$16:$A$20,A11)</f>
        <v>16.899999999999999</v>
      </c>
      <c r="D11" s="8">
        <f>AVERAGEIF($A$16:$A$20,A11,$B$16:$B$20)</f>
        <v>16.899999999999999</v>
      </c>
      <c r="E11" s="8">
        <f>_xlfn.MAXIFS($B$16:$B$20,$A$16:$A$20,A11)</f>
        <v>16.899999999999999</v>
      </c>
      <c r="F11" s="16">
        <f>D11/D10-1</f>
        <v>0</v>
      </c>
      <c r="G11" s="16">
        <f>D11/$D$7-1</f>
        <v>9.0322580645161299E-2</v>
      </c>
    </row>
    <row r="12" spans="1:9" x14ac:dyDescent="0.2">
      <c r="F12" s="22" t="s">
        <v>416</v>
      </c>
      <c r="G12" s="23">
        <f>D11/D7-1</f>
        <v>9.0322580645161299E-2</v>
      </c>
    </row>
    <row r="14" spans="1:9" x14ac:dyDescent="0.2">
      <c r="A14" s="22" t="s">
        <v>417</v>
      </c>
    </row>
    <row r="15" spans="1:9" ht="30" x14ac:dyDescent="0.2">
      <c r="A15" s="4" t="s">
        <v>409</v>
      </c>
      <c r="B15" s="4" t="s">
        <v>418</v>
      </c>
      <c r="C15" s="4" t="s">
        <v>419</v>
      </c>
      <c r="D15" s="4" t="s">
        <v>420</v>
      </c>
      <c r="E15" s="4" t="s">
        <v>421</v>
      </c>
    </row>
    <row r="16" spans="1:9" x14ac:dyDescent="0.2">
      <c r="A16" s="5" t="s">
        <v>5</v>
      </c>
      <c r="B16" s="8">
        <v>15.5</v>
      </c>
      <c r="C16" s="5">
        <v>6</v>
      </c>
      <c r="D16" s="5" t="s">
        <v>25</v>
      </c>
      <c r="E16" s="5" t="s">
        <v>422</v>
      </c>
    </row>
    <row r="17" spans="1:5" x14ac:dyDescent="0.2">
      <c r="A17" s="5" t="s">
        <v>6</v>
      </c>
      <c r="B17" s="8">
        <v>15.5</v>
      </c>
      <c r="C17" s="5"/>
      <c r="D17" s="5" t="s">
        <v>25</v>
      </c>
      <c r="E17" s="5" t="s">
        <v>422</v>
      </c>
    </row>
    <row r="18" spans="1:5" x14ac:dyDescent="0.2">
      <c r="A18" s="5" t="s">
        <v>7</v>
      </c>
      <c r="B18" s="8">
        <v>15.5</v>
      </c>
      <c r="C18" s="5"/>
      <c r="D18" s="5" t="s">
        <v>25</v>
      </c>
      <c r="E18" s="5" t="s">
        <v>422</v>
      </c>
    </row>
    <row r="19" spans="1:5" x14ac:dyDescent="0.2">
      <c r="A19" s="5" t="s">
        <v>8</v>
      </c>
      <c r="B19" s="8">
        <v>16.899999999999999</v>
      </c>
      <c r="C19" s="5">
        <v>12</v>
      </c>
      <c r="D19" s="5" t="s">
        <v>25</v>
      </c>
      <c r="E19" s="5" t="s">
        <v>422</v>
      </c>
    </row>
    <row r="20" spans="1:5" x14ac:dyDescent="0.2">
      <c r="A20" s="5" t="s">
        <v>10</v>
      </c>
      <c r="B20" s="8">
        <v>16.899999999999999</v>
      </c>
      <c r="C20" s="5">
        <v>12</v>
      </c>
      <c r="D20" s="5" t="s">
        <v>426</v>
      </c>
      <c r="E20" s="5" t="s">
        <v>427</v>
      </c>
    </row>
  </sheetData>
  <mergeCells count="1">
    <mergeCell ref="A4:G4"/>
  </mergeCells>
  <hyperlinks>
    <hyperlink ref="I1" r:id="rId1" location="'RESUMEN%20SUBIDAS'!A1" xr:uid="{00000000-0004-0000-04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8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28</v>
      </c>
      <c r="I1" s="21" t="s">
        <v>405</v>
      </c>
    </row>
    <row r="2" spans="1:9" x14ac:dyDescent="0.2">
      <c r="A2" s="22" t="s">
        <v>428</v>
      </c>
    </row>
    <row r="3" spans="1:9" x14ac:dyDescent="0.2">
      <c r="A3" s="3" t="s">
        <v>429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5</v>
      </c>
      <c r="B7" s="5">
        <f>COUNTIF($A$15:$A$18,A7)</f>
        <v>1</v>
      </c>
      <c r="C7" s="8">
        <f>_xlfn.MINIFS($B$15:$B$18,$A$15:$A$18,A7)</f>
        <v>18.96</v>
      </c>
      <c r="D7" s="8">
        <f>AVERAGEIF($A$15:$A$18,A7,$B$15:$B$18)</f>
        <v>18.96</v>
      </c>
      <c r="E7" s="8">
        <f>_xlfn.MAXIFS($B$15:$B$18,$A$15:$A$18,A7)</f>
        <v>18.96</v>
      </c>
      <c r="F7" s="16"/>
      <c r="G7" s="16"/>
    </row>
    <row r="8" spans="1:9" x14ac:dyDescent="0.2">
      <c r="A8" s="5" t="s">
        <v>7</v>
      </c>
      <c r="B8" s="5">
        <f>COUNTIF($A$15:$A$18,A8)</f>
        <v>1</v>
      </c>
      <c r="C8" s="8">
        <f>_xlfn.MINIFS($B$15:$B$18,$A$15:$A$18,A8)</f>
        <v>18.96</v>
      </c>
      <c r="D8" s="8">
        <f>AVERAGEIF($A$15:$A$18,A8,$B$15:$B$18)</f>
        <v>18.96</v>
      </c>
      <c r="E8" s="8">
        <f>_xlfn.MAXIFS($B$15:$B$18,$A$15:$A$18,A8)</f>
        <v>18.96</v>
      </c>
      <c r="F8" s="16">
        <f>D8/D7-1</f>
        <v>0</v>
      </c>
      <c r="G8" s="16">
        <f>D8/$D$7-1</f>
        <v>0</v>
      </c>
    </row>
    <row r="9" spans="1:9" x14ac:dyDescent="0.2">
      <c r="A9" s="5" t="s">
        <v>8</v>
      </c>
      <c r="B9" s="5">
        <f>COUNTIF($A$15:$A$18,A9)</f>
        <v>1</v>
      </c>
      <c r="C9" s="8">
        <f>_xlfn.MINIFS($B$15:$B$18,$A$15:$A$18,A9)</f>
        <v>20.6</v>
      </c>
      <c r="D9" s="8">
        <f>AVERAGEIF($A$15:$A$18,A9,$B$15:$B$18)</f>
        <v>20.6</v>
      </c>
      <c r="E9" s="8">
        <f>_xlfn.MAXIFS($B$15:$B$18,$A$15:$A$18,A9)</f>
        <v>20.6</v>
      </c>
      <c r="F9" s="16">
        <f>D9/D8-1</f>
        <v>8.6497890295358593E-2</v>
      </c>
      <c r="G9" s="16">
        <f>D9/$D$7-1</f>
        <v>8.6497890295358593E-2</v>
      </c>
    </row>
    <row r="10" spans="1:9" x14ac:dyDescent="0.2">
      <c r="A10" s="5" t="s">
        <v>10</v>
      </c>
      <c r="B10" s="5">
        <f>COUNTIF($A$15:$A$18,A10)</f>
        <v>1</v>
      </c>
      <c r="C10" s="8">
        <f>_xlfn.MINIFS($B$15:$B$18,$A$15:$A$18,A10)</f>
        <v>20.6</v>
      </c>
      <c r="D10" s="8">
        <f>AVERAGEIF($A$15:$A$18,A10,$B$15:$B$18)</f>
        <v>20.6</v>
      </c>
      <c r="E10" s="8">
        <f>_xlfn.MAXIFS($B$15:$B$18,$A$15:$A$18,A10)</f>
        <v>20.6</v>
      </c>
      <c r="F10" s="16">
        <f>D10/D9-1</f>
        <v>0</v>
      </c>
      <c r="G10" s="16">
        <f>D10/$D$7-1</f>
        <v>8.6497890295358593E-2</v>
      </c>
    </row>
    <row r="11" spans="1:9" x14ac:dyDescent="0.2">
      <c r="F11" s="22" t="s">
        <v>416</v>
      </c>
      <c r="G11" s="23">
        <f>D10/D7-1</f>
        <v>8.6497890295358593E-2</v>
      </c>
    </row>
    <row r="13" spans="1:9" x14ac:dyDescent="0.2">
      <c r="A13" s="22" t="s">
        <v>417</v>
      </c>
    </row>
    <row r="14" spans="1:9" ht="30" x14ac:dyDescent="0.2">
      <c r="A14" s="4" t="s">
        <v>409</v>
      </c>
      <c r="B14" s="4" t="s">
        <v>418</v>
      </c>
      <c r="C14" s="4" t="s">
        <v>419</v>
      </c>
      <c r="D14" s="4" t="s">
        <v>420</v>
      </c>
      <c r="E14" s="4" t="s">
        <v>421</v>
      </c>
    </row>
    <row r="15" spans="1:9" x14ac:dyDescent="0.2">
      <c r="A15" s="5" t="s">
        <v>5</v>
      </c>
      <c r="B15" s="8">
        <v>18.96</v>
      </c>
      <c r="C15" s="5">
        <v>12</v>
      </c>
      <c r="D15" s="5" t="s">
        <v>430</v>
      </c>
      <c r="E15" s="5" t="s">
        <v>422</v>
      </c>
    </row>
    <row r="16" spans="1:9" x14ac:dyDescent="0.2">
      <c r="A16" s="5" t="s">
        <v>7</v>
      </c>
      <c r="B16" s="8">
        <v>18.96</v>
      </c>
      <c r="C16" s="5"/>
      <c r="D16" s="5" t="s">
        <v>430</v>
      </c>
      <c r="E16" s="5" t="s">
        <v>422</v>
      </c>
    </row>
    <row r="17" spans="1:5" x14ac:dyDescent="0.2">
      <c r="A17" s="5" t="s">
        <v>8</v>
      </c>
      <c r="B17" s="8">
        <v>20.6</v>
      </c>
      <c r="C17" s="5">
        <v>12</v>
      </c>
      <c r="D17" s="5" t="s">
        <v>430</v>
      </c>
      <c r="E17" s="5" t="s">
        <v>422</v>
      </c>
    </row>
    <row r="18" spans="1:5" x14ac:dyDescent="0.2">
      <c r="A18" s="5" t="s">
        <v>10</v>
      </c>
      <c r="B18" s="8">
        <v>20.6</v>
      </c>
      <c r="C18" s="5">
        <v>18</v>
      </c>
      <c r="D18" s="5" t="s">
        <v>431</v>
      </c>
      <c r="E18" s="5" t="s">
        <v>427</v>
      </c>
    </row>
  </sheetData>
  <mergeCells count="1">
    <mergeCell ref="A4:G4"/>
  </mergeCells>
  <hyperlinks>
    <hyperlink ref="I1" r:id="rId1" location="'RESUMEN%20SUBIDAS'!A1" xr:uid="{00000000-0004-0000-05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4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31</v>
      </c>
      <c r="I1" s="21" t="s">
        <v>405</v>
      </c>
    </row>
    <row r="2" spans="1:9" x14ac:dyDescent="0.2">
      <c r="A2" s="22" t="s">
        <v>432</v>
      </c>
    </row>
    <row r="3" spans="1:9" x14ac:dyDescent="0.2">
      <c r="A3" s="3" t="s">
        <v>433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COUNTIF($A$13:$A$14,A7)</f>
        <v>1</v>
      </c>
      <c r="C7" s="8">
        <f>_xlfn.MINIFS($B$13:$B$14,$A$13:$A$14,A7)</f>
        <v>122.71</v>
      </c>
      <c r="D7" s="8">
        <f>AVERAGEIF($A$13:$A$14,A7,$B$13:$B$14)</f>
        <v>122.71</v>
      </c>
      <c r="E7" s="8">
        <f>_xlfn.MAXIFS($B$13:$B$14,$A$13:$A$14,A7)</f>
        <v>122.71</v>
      </c>
      <c r="F7" s="16"/>
      <c r="G7" s="16"/>
    </row>
    <row r="8" spans="1:9" x14ac:dyDescent="0.2">
      <c r="A8" s="5" t="s">
        <v>8</v>
      </c>
      <c r="B8" s="5">
        <f>COUNTIF($A$13:$A$14,A8)</f>
        <v>1</v>
      </c>
      <c r="C8" s="8">
        <f>_xlfn.MINIFS($B$13:$B$14,$A$13:$A$14,A8)</f>
        <v>132.94</v>
      </c>
      <c r="D8" s="8">
        <f>AVERAGEIF($A$13:$A$14,A8,$B$13:$B$14)</f>
        <v>132.94</v>
      </c>
      <c r="E8" s="8">
        <f>_xlfn.MAXIFS($B$13:$B$14,$A$13:$A$14,A8)</f>
        <v>132.94</v>
      </c>
      <c r="F8" s="16">
        <f>D8/D7-1</f>
        <v>8.3367288729524924E-2</v>
      </c>
      <c r="G8" s="16">
        <f>D8/$D$7-1</f>
        <v>8.3367288729524924E-2</v>
      </c>
    </row>
    <row r="9" spans="1:9" x14ac:dyDescent="0.2">
      <c r="F9" s="22" t="s">
        <v>416</v>
      </c>
      <c r="G9" s="23">
        <f>D8/D7-1</f>
        <v>8.3367288729524924E-2</v>
      </c>
    </row>
    <row r="11" spans="1:9" x14ac:dyDescent="0.2">
      <c r="A11" s="22" t="s">
        <v>417</v>
      </c>
    </row>
    <row r="12" spans="1:9" ht="30" x14ac:dyDescent="0.2">
      <c r="A12" s="4" t="s">
        <v>409</v>
      </c>
      <c r="B12" s="4" t="s">
        <v>418</v>
      </c>
      <c r="C12" s="4" t="s">
        <v>419</v>
      </c>
      <c r="D12" s="4" t="s">
        <v>420</v>
      </c>
      <c r="E12" s="4" t="s">
        <v>421</v>
      </c>
    </row>
    <row r="13" spans="1:9" x14ac:dyDescent="0.2">
      <c r="A13" s="5" t="s">
        <v>4</v>
      </c>
      <c r="B13" s="8">
        <v>122.71</v>
      </c>
      <c r="C13" s="5">
        <v>1</v>
      </c>
      <c r="D13" s="5" t="s">
        <v>434</v>
      </c>
      <c r="E13" s="5" t="s">
        <v>422</v>
      </c>
    </row>
    <row r="14" spans="1:9" x14ac:dyDescent="0.2">
      <c r="A14" s="5" t="s">
        <v>8</v>
      </c>
      <c r="B14" s="8">
        <v>132.94</v>
      </c>
      <c r="C14" s="5">
        <v>2</v>
      </c>
      <c r="D14" s="5" t="s">
        <v>435</v>
      </c>
      <c r="E14" s="5" t="s">
        <v>422</v>
      </c>
    </row>
  </sheetData>
  <mergeCells count="1">
    <mergeCell ref="A4:G4"/>
  </mergeCells>
  <hyperlinks>
    <hyperlink ref="I1" r:id="rId1" location="'RESUMEN%20SUBIDAS'!A1" xr:uid="{00000000-0004-0000-06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4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34</v>
      </c>
      <c r="I1" s="21" t="s">
        <v>405</v>
      </c>
    </row>
    <row r="2" spans="1:9" x14ac:dyDescent="0.2">
      <c r="A2" s="22" t="s">
        <v>436</v>
      </c>
    </row>
    <row r="3" spans="1:9" x14ac:dyDescent="0.2">
      <c r="A3" s="3" t="s">
        <v>437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COUNTIF($A$13:$A$14,A7)</f>
        <v>1</v>
      </c>
      <c r="C7" s="8">
        <f>_xlfn.MINIFS($B$13:$B$14,$A$13:$A$14,A7)</f>
        <v>27.4</v>
      </c>
      <c r="D7" s="8">
        <f>AVERAGEIF($A$13:$A$14,A7,$B$13:$B$14)</f>
        <v>27.4</v>
      </c>
      <c r="E7" s="8">
        <f>_xlfn.MAXIFS($B$13:$B$14,$A$13:$A$14,A7)</f>
        <v>27.4</v>
      </c>
      <c r="F7" s="16"/>
      <c r="G7" s="16"/>
    </row>
    <row r="8" spans="1:9" x14ac:dyDescent="0.2">
      <c r="A8" s="5" t="s">
        <v>8</v>
      </c>
      <c r="B8" s="5">
        <f>COUNTIF($A$13:$A$14,A8)</f>
        <v>1</v>
      </c>
      <c r="C8" s="8">
        <f>_xlfn.MINIFS($B$13:$B$14,$A$13:$A$14,A8)</f>
        <v>29.25</v>
      </c>
      <c r="D8" s="8">
        <f>AVERAGEIF($A$13:$A$14,A8,$B$13:$B$14)</f>
        <v>29.25</v>
      </c>
      <c r="E8" s="8">
        <f>_xlfn.MAXIFS($B$13:$B$14,$A$13:$A$14,A8)</f>
        <v>29.25</v>
      </c>
      <c r="F8" s="16">
        <f>D8/D7-1</f>
        <v>6.7518248175182594E-2</v>
      </c>
      <c r="G8" s="16">
        <f>D8/$D$7-1</f>
        <v>6.7518248175182594E-2</v>
      </c>
    </row>
    <row r="9" spans="1:9" x14ac:dyDescent="0.2">
      <c r="F9" s="22" t="s">
        <v>416</v>
      </c>
      <c r="G9" s="23">
        <f>D8/D7-1</f>
        <v>6.7518248175182594E-2</v>
      </c>
    </row>
    <row r="11" spans="1:9" x14ac:dyDescent="0.2">
      <c r="A11" s="22" t="s">
        <v>417</v>
      </c>
    </row>
    <row r="12" spans="1:9" ht="30" x14ac:dyDescent="0.2">
      <c r="A12" s="4" t="s">
        <v>409</v>
      </c>
      <c r="B12" s="4" t="s">
        <v>418</v>
      </c>
      <c r="C12" s="4" t="s">
        <v>419</v>
      </c>
      <c r="D12" s="4" t="s">
        <v>420</v>
      </c>
      <c r="E12" s="4" t="s">
        <v>421</v>
      </c>
    </row>
    <row r="13" spans="1:9" x14ac:dyDescent="0.2">
      <c r="A13" s="5" t="s">
        <v>4</v>
      </c>
      <c r="B13" s="8">
        <v>27.4</v>
      </c>
      <c r="C13" s="5">
        <v>6</v>
      </c>
      <c r="D13" s="5" t="s">
        <v>438</v>
      </c>
      <c r="E13" s="5" t="s">
        <v>422</v>
      </c>
    </row>
    <row r="14" spans="1:9" x14ac:dyDescent="0.2">
      <c r="A14" s="5" t="s">
        <v>8</v>
      </c>
      <c r="B14" s="8">
        <v>29.25</v>
      </c>
      <c r="C14" s="5">
        <v>6</v>
      </c>
      <c r="D14" s="5" t="s">
        <v>34</v>
      </c>
      <c r="E14" s="5" t="s">
        <v>422</v>
      </c>
    </row>
  </sheetData>
  <mergeCells count="1">
    <mergeCell ref="A4:G4"/>
  </mergeCells>
  <hyperlinks>
    <hyperlink ref="I1" r:id="rId1" location="'RESUMEN%20SUBIDAS'!A1" xr:uid="{00000000-0004-0000-07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6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37</v>
      </c>
      <c r="I1" s="21" t="s">
        <v>405</v>
      </c>
    </row>
    <row r="2" spans="1:9" x14ac:dyDescent="0.2">
      <c r="A2" s="22" t="s">
        <v>439</v>
      </c>
    </row>
    <row r="3" spans="1:9" x14ac:dyDescent="0.2">
      <c r="A3" s="3" t="s">
        <v>440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COUNTIF($A$14:$A$16,A7)</f>
        <v>1</v>
      </c>
      <c r="C7" s="8">
        <f>_xlfn.MINIFS($B$14:$B$16,$A$14:$A$16,A7)</f>
        <v>15.1</v>
      </c>
      <c r="D7" s="8">
        <f>AVERAGEIF($A$14:$A$16,A7,$B$14:$B$16)</f>
        <v>15.1</v>
      </c>
      <c r="E7" s="8">
        <f>_xlfn.MAXIFS($B$14:$B$16,$A$14:$A$16,A7)</f>
        <v>15.1</v>
      </c>
      <c r="F7" s="16"/>
      <c r="G7" s="16"/>
    </row>
    <row r="8" spans="1:9" x14ac:dyDescent="0.2">
      <c r="A8" s="5" t="s">
        <v>8</v>
      </c>
      <c r="B8" s="5">
        <f>COUNTIF($A$14:$A$16,A8)</f>
        <v>1</v>
      </c>
      <c r="C8" s="8">
        <f>_xlfn.MINIFS($B$14:$B$16,$A$14:$A$16,A8)</f>
        <v>16.100000000000001</v>
      </c>
      <c r="D8" s="8">
        <f>AVERAGEIF($A$14:$A$16,A8,$B$14:$B$16)</f>
        <v>16.100000000000001</v>
      </c>
      <c r="E8" s="8">
        <f>_xlfn.MAXIFS($B$14:$B$16,$A$14:$A$16,A8)</f>
        <v>16.100000000000001</v>
      </c>
      <c r="F8" s="16">
        <f>D8/D7-1</f>
        <v>6.6225165562914023E-2</v>
      </c>
      <c r="G8" s="16">
        <f>D8/$D$7-1</f>
        <v>6.6225165562914023E-2</v>
      </c>
    </row>
    <row r="9" spans="1:9" x14ac:dyDescent="0.2">
      <c r="A9" s="5" t="s">
        <v>10</v>
      </c>
      <c r="B9" s="5">
        <f>COUNTIF($A$14:$A$16,A9)</f>
        <v>1</v>
      </c>
      <c r="C9" s="8">
        <f>_xlfn.MINIFS($B$14:$B$16,$A$14:$A$16,A9)</f>
        <v>16.100000000000001</v>
      </c>
      <c r="D9" s="8">
        <f>AVERAGEIF($A$14:$A$16,A9,$B$14:$B$16)</f>
        <v>16.100000000000001</v>
      </c>
      <c r="E9" s="8">
        <f>_xlfn.MAXIFS($B$14:$B$16,$A$14:$A$16,A9)</f>
        <v>16.100000000000001</v>
      </c>
      <c r="F9" s="16">
        <f>D9/D8-1</f>
        <v>0</v>
      </c>
      <c r="G9" s="16">
        <f>D9/$D$7-1</f>
        <v>6.6225165562914023E-2</v>
      </c>
    </row>
    <row r="10" spans="1:9" x14ac:dyDescent="0.2">
      <c r="F10" s="22" t="s">
        <v>416</v>
      </c>
      <c r="G10" s="23">
        <f>D9/D7-1</f>
        <v>6.6225165562914023E-2</v>
      </c>
    </row>
    <row r="12" spans="1:9" x14ac:dyDescent="0.2">
      <c r="A12" s="22" t="s">
        <v>417</v>
      </c>
    </row>
    <row r="13" spans="1:9" ht="30" x14ac:dyDescent="0.2">
      <c r="A13" s="4" t="s">
        <v>409</v>
      </c>
      <c r="B13" s="4" t="s">
        <v>418</v>
      </c>
      <c r="C13" s="4" t="s">
        <v>419</v>
      </c>
      <c r="D13" s="4" t="s">
        <v>420</v>
      </c>
      <c r="E13" s="4" t="s">
        <v>421</v>
      </c>
    </row>
    <row r="14" spans="1:9" x14ac:dyDescent="0.2">
      <c r="A14" s="5" t="s">
        <v>4</v>
      </c>
      <c r="B14" s="8">
        <v>15.1</v>
      </c>
      <c r="C14" s="5">
        <v>6</v>
      </c>
      <c r="D14" s="5" t="s">
        <v>37</v>
      </c>
      <c r="E14" s="5" t="s">
        <v>422</v>
      </c>
    </row>
    <row r="15" spans="1:9" x14ac:dyDescent="0.2">
      <c r="A15" s="5" t="s">
        <v>8</v>
      </c>
      <c r="B15" s="8">
        <v>16.100000000000001</v>
      </c>
      <c r="C15" s="5">
        <v>6</v>
      </c>
      <c r="D15" s="5" t="s">
        <v>37</v>
      </c>
      <c r="E15" s="5" t="s">
        <v>422</v>
      </c>
    </row>
    <row r="16" spans="1:9" x14ac:dyDescent="0.2">
      <c r="A16" s="5" t="s">
        <v>10</v>
      </c>
      <c r="B16" s="8">
        <v>16.100000000000001</v>
      </c>
      <c r="C16" s="5"/>
      <c r="D16" s="5" t="s">
        <v>37</v>
      </c>
      <c r="E16" s="5" t="s">
        <v>427</v>
      </c>
    </row>
  </sheetData>
  <mergeCells count="1">
    <mergeCell ref="A4:G4"/>
  </mergeCells>
  <hyperlinks>
    <hyperlink ref="I1" r:id="rId1" location="'RESUMEN%20SUBIDAS'!A1" xr:uid="{00000000-0004-0000-08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8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40</v>
      </c>
      <c r="I1" s="21" t="s">
        <v>405</v>
      </c>
    </row>
    <row r="2" spans="1:9" x14ac:dyDescent="0.2">
      <c r="A2" s="22" t="s">
        <v>441</v>
      </c>
    </row>
    <row r="3" spans="1:9" x14ac:dyDescent="0.2">
      <c r="A3" s="3" t="s">
        <v>442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COUNTIF($A$15:$A$18,A7)</f>
        <v>1</v>
      </c>
      <c r="C7" s="8">
        <f>_xlfn.MINIFS($B$15:$B$18,$A$15:$A$18,A7)</f>
        <v>31.92</v>
      </c>
      <c r="D7" s="8">
        <f>AVERAGEIF($A$15:$A$18,A7,$B$15:$B$18)</f>
        <v>31.92</v>
      </c>
      <c r="E7" s="8">
        <f>_xlfn.MAXIFS($B$15:$B$18,$A$15:$A$18,A7)</f>
        <v>31.92</v>
      </c>
      <c r="F7" s="16"/>
      <c r="G7" s="16"/>
    </row>
    <row r="8" spans="1:9" x14ac:dyDescent="0.2">
      <c r="A8" s="5" t="s">
        <v>5</v>
      </c>
      <c r="B8" s="5">
        <f>COUNTIF($A$15:$A$18,A8)</f>
        <v>1</v>
      </c>
      <c r="C8" s="8">
        <f>_xlfn.MINIFS($B$15:$B$18,$A$15:$A$18,A8)</f>
        <v>33.840000000000003</v>
      </c>
      <c r="D8" s="8">
        <f>AVERAGEIF($A$15:$A$18,A8,$B$15:$B$18)</f>
        <v>33.840000000000003</v>
      </c>
      <c r="E8" s="8">
        <f>_xlfn.MAXIFS($B$15:$B$18,$A$15:$A$18,A8)</f>
        <v>33.840000000000003</v>
      </c>
      <c r="F8" s="16">
        <f>D8/D7-1</f>
        <v>6.0150375939849621E-2</v>
      </c>
      <c r="G8" s="16">
        <f>D8/$D$7-1</f>
        <v>6.0150375939849621E-2</v>
      </c>
    </row>
    <row r="9" spans="1:9" x14ac:dyDescent="0.2">
      <c r="A9" s="5" t="s">
        <v>8</v>
      </c>
      <c r="B9" s="5">
        <f>COUNTIF($A$15:$A$18,A9)</f>
        <v>1</v>
      </c>
      <c r="C9" s="8">
        <f>_xlfn.MINIFS($B$15:$B$18,$A$15:$A$18,A9)</f>
        <v>33.840000000000003</v>
      </c>
      <c r="D9" s="8">
        <f>AVERAGEIF($A$15:$A$18,A9,$B$15:$B$18)</f>
        <v>33.840000000000003</v>
      </c>
      <c r="E9" s="8">
        <f>_xlfn.MAXIFS($B$15:$B$18,$A$15:$A$18,A9)</f>
        <v>33.840000000000003</v>
      </c>
      <c r="F9" s="16">
        <f>D9/D8-1</f>
        <v>0</v>
      </c>
      <c r="G9" s="16">
        <f>D9/$D$7-1</f>
        <v>6.0150375939849621E-2</v>
      </c>
    </row>
    <row r="10" spans="1:9" x14ac:dyDescent="0.2">
      <c r="A10" s="5" t="s">
        <v>10</v>
      </c>
      <c r="B10" s="5">
        <f>COUNTIF($A$15:$A$18,A10)</f>
        <v>1</v>
      </c>
      <c r="C10" s="8">
        <f>_xlfn.MINIFS($B$15:$B$18,$A$15:$A$18,A10)</f>
        <v>33.840000000000003</v>
      </c>
      <c r="D10" s="8">
        <f>AVERAGEIF($A$15:$A$18,A10,$B$15:$B$18)</f>
        <v>33.840000000000003</v>
      </c>
      <c r="E10" s="8">
        <f>_xlfn.MAXIFS($B$15:$B$18,$A$15:$A$18,A10)</f>
        <v>33.840000000000003</v>
      </c>
      <c r="F10" s="16">
        <f>D10/D9-1</f>
        <v>0</v>
      </c>
      <c r="G10" s="16">
        <f>D10/$D$7-1</f>
        <v>6.0150375939849621E-2</v>
      </c>
    </row>
    <row r="11" spans="1:9" x14ac:dyDescent="0.2">
      <c r="F11" s="22" t="s">
        <v>416</v>
      </c>
      <c r="G11" s="23">
        <f>D10/D7-1</f>
        <v>6.0150375939849621E-2</v>
      </c>
    </row>
    <row r="13" spans="1:9" x14ac:dyDescent="0.2">
      <c r="A13" s="22" t="s">
        <v>417</v>
      </c>
    </row>
    <row r="14" spans="1:9" ht="30" x14ac:dyDescent="0.2">
      <c r="A14" s="4" t="s">
        <v>409</v>
      </c>
      <c r="B14" s="4" t="s">
        <v>418</v>
      </c>
      <c r="C14" s="4" t="s">
        <v>419</v>
      </c>
      <c r="D14" s="4" t="s">
        <v>420</v>
      </c>
      <c r="E14" s="4" t="s">
        <v>421</v>
      </c>
    </row>
    <row r="15" spans="1:9" x14ac:dyDescent="0.2">
      <c r="A15" s="5" t="s">
        <v>4</v>
      </c>
      <c r="B15" s="8">
        <v>31.92</v>
      </c>
      <c r="C15" s="5">
        <v>4</v>
      </c>
      <c r="D15" s="5" t="s">
        <v>443</v>
      </c>
      <c r="E15" s="5" t="s">
        <v>422</v>
      </c>
    </row>
    <row r="16" spans="1:9" x14ac:dyDescent="0.2">
      <c r="A16" s="5" t="s">
        <v>5</v>
      </c>
      <c r="B16" s="8">
        <v>33.840000000000003</v>
      </c>
      <c r="C16" s="5">
        <v>2</v>
      </c>
      <c r="D16" s="5" t="s">
        <v>443</v>
      </c>
      <c r="E16" s="5" t="s">
        <v>422</v>
      </c>
    </row>
    <row r="17" spans="1:5" x14ac:dyDescent="0.2">
      <c r="A17" s="5" t="s">
        <v>8</v>
      </c>
      <c r="B17" s="8">
        <v>33.840000000000003</v>
      </c>
      <c r="C17" s="5">
        <v>3</v>
      </c>
      <c r="D17" s="5" t="s">
        <v>443</v>
      </c>
      <c r="E17" s="5" t="s">
        <v>422</v>
      </c>
    </row>
    <row r="18" spans="1:5" x14ac:dyDescent="0.2">
      <c r="A18" s="5" t="s">
        <v>10</v>
      </c>
      <c r="B18" s="8">
        <v>33.840000000000003</v>
      </c>
      <c r="C18" s="5">
        <v>2</v>
      </c>
      <c r="D18" s="5" t="s">
        <v>444</v>
      </c>
      <c r="E18" s="5" t="s">
        <v>427</v>
      </c>
    </row>
  </sheetData>
  <mergeCells count="1">
    <mergeCell ref="A4:G4"/>
  </mergeCells>
  <hyperlinks>
    <hyperlink ref="I1" r:id="rId1" location="'RESUMEN%20SUBIDAS'!A1" xr:uid="{00000000-0004-0000-09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2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42</v>
      </c>
      <c r="I1" s="21" t="s">
        <v>405</v>
      </c>
    </row>
    <row r="2" spans="1:9" x14ac:dyDescent="0.2">
      <c r="A2" s="22" t="s">
        <v>428</v>
      </c>
    </row>
    <row r="3" spans="1:9" x14ac:dyDescent="0.2">
      <c r="A3" s="3" t="s">
        <v>445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 t="shared" ref="B7:B12" si="0">COUNTIF($A$17:$A$22,A7)</f>
        <v>1</v>
      </c>
      <c r="C7" s="8">
        <f t="shared" ref="C7:C12" si="1">_xlfn.MINIFS($B$17:$B$22,$A$17:$A$22,A7)</f>
        <v>5.56</v>
      </c>
      <c r="D7" s="8">
        <f t="shared" ref="D7:D12" si="2">AVERAGEIF($A$17:$A$22,A7,$B$17:$B$22)</f>
        <v>5.56</v>
      </c>
      <c r="E7" s="8">
        <f t="shared" ref="E7:E12" si="3">_xlfn.MAXIFS($B$17:$B$22,$A$17:$A$22,A7)</f>
        <v>5.56</v>
      </c>
      <c r="F7" s="16"/>
      <c r="G7" s="16"/>
    </row>
    <row r="8" spans="1:9" x14ac:dyDescent="0.2">
      <c r="A8" s="5" t="s">
        <v>5</v>
      </c>
      <c r="B8" s="5">
        <f t="shared" si="0"/>
        <v>1</v>
      </c>
      <c r="C8" s="8">
        <f t="shared" si="1"/>
        <v>5.56</v>
      </c>
      <c r="D8" s="8">
        <f t="shared" si="2"/>
        <v>5.56</v>
      </c>
      <c r="E8" s="8">
        <f t="shared" si="3"/>
        <v>5.56</v>
      </c>
      <c r="F8" s="16">
        <f>D8/D7-1</f>
        <v>0</v>
      </c>
      <c r="G8" s="16">
        <f>D8/$D$7-1</f>
        <v>0</v>
      </c>
    </row>
    <row r="9" spans="1:9" x14ac:dyDescent="0.2">
      <c r="A9" s="5" t="s">
        <v>7</v>
      </c>
      <c r="B9" s="5">
        <f t="shared" si="0"/>
        <v>1</v>
      </c>
      <c r="C9" s="8">
        <f t="shared" si="1"/>
        <v>5.56</v>
      </c>
      <c r="D9" s="8">
        <f t="shared" si="2"/>
        <v>5.56</v>
      </c>
      <c r="E9" s="8">
        <f t="shared" si="3"/>
        <v>5.56</v>
      </c>
      <c r="F9" s="16">
        <f>D9/D8-1</f>
        <v>0</v>
      </c>
      <c r="G9" s="16">
        <f>D9/$D$7-1</f>
        <v>0</v>
      </c>
    </row>
    <row r="10" spans="1:9" x14ac:dyDescent="0.2">
      <c r="A10" s="5" t="s">
        <v>8</v>
      </c>
      <c r="B10" s="5">
        <f t="shared" si="0"/>
        <v>1</v>
      </c>
      <c r="C10" s="8">
        <f t="shared" si="1"/>
        <v>5.56</v>
      </c>
      <c r="D10" s="8">
        <f t="shared" si="2"/>
        <v>5.56</v>
      </c>
      <c r="E10" s="8">
        <f t="shared" si="3"/>
        <v>5.56</v>
      </c>
      <c r="F10" s="16">
        <f>D10/D9-1</f>
        <v>0</v>
      </c>
      <c r="G10" s="16">
        <f>D10/$D$7-1</f>
        <v>0</v>
      </c>
    </row>
    <row r="11" spans="1:9" x14ac:dyDescent="0.2">
      <c r="A11" s="5" t="s">
        <v>10</v>
      </c>
      <c r="B11" s="5">
        <f t="shared" si="0"/>
        <v>1</v>
      </c>
      <c r="C11" s="8">
        <f t="shared" si="1"/>
        <v>5.86</v>
      </c>
      <c r="D11" s="8">
        <f t="shared" si="2"/>
        <v>5.86</v>
      </c>
      <c r="E11" s="8">
        <f t="shared" si="3"/>
        <v>5.86</v>
      </c>
      <c r="F11" s="16">
        <f>D11/D10-1</f>
        <v>5.3956834532374209E-2</v>
      </c>
      <c r="G11" s="16">
        <f>D11/$D$7-1</f>
        <v>5.3956834532374209E-2</v>
      </c>
    </row>
    <row r="12" spans="1:9" x14ac:dyDescent="0.2">
      <c r="A12" s="5" t="s">
        <v>11</v>
      </c>
      <c r="B12" s="5">
        <f t="shared" si="0"/>
        <v>1</v>
      </c>
      <c r="C12" s="8">
        <f t="shared" si="1"/>
        <v>5.86</v>
      </c>
      <c r="D12" s="8">
        <f t="shared" si="2"/>
        <v>5.86</v>
      </c>
      <c r="E12" s="8">
        <f t="shared" si="3"/>
        <v>5.86</v>
      </c>
      <c r="F12" s="16">
        <f>D12/D11-1</f>
        <v>0</v>
      </c>
      <c r="G12" s="16">
        <f>D12/$D$7-1</f>
        <v>5.3956834532374209E-2</v>
      </c>
    </row>
    <row r="13" spans="1:9" x14ac:dyDescent="0.2">
      <c r="F13" s="22" t="s">
        <v>416</v>
      </c>
      <c r="G13" s="23">
        <f>D12/D7-1</f>
        <v>5.3956834532374209E-2</v>
      </c>
    </row>
    <row r="15" spans="1:9" x14ac:dyDescent="0.2">
      <c r="A15" s="22" t="s">
        <v>417</v>
      </c>
    </row>
    <row r="16" spans="1:9" ht="30" x14ac:dyDescent="0.2">
      <c r="A16" s="4" t="s">
        <v>409</v>
      </c>
      <c r="B16" s="4" t="s">
        <v>418</v>
      </c>
      <c r="C16" s="4" t="s">
        <v>419</v>
      </c>
      <c r="D16" s="4" t="s">
        <v>420</v>
      </c>
      <c r="E16" s="4" t="s">
        <v>421</v>
      </c>
    </row>
    <row r="17" spans="1:5" x14ac:dyDescent="0.2">
      <c r="A17" s="5" t="s">
        <v>4</v>
      </c>
      <c r="B17" s="8">
        <v>5.56</v>
      </c>
      <c r="C17" s="5">
        <v>24</v>
      </c>
      <c r="D17" s="5" t="s">
        <v>446</v>
      </c>
      <c r="E17" s="5" t="s">
        <v>422</v>
      </c>
    </row>
    <row r="18" spans="1:5" x14ac:dyDescent="0.2">
      <c r="A18" s="5" t="s">
        <v>5</v>
      </c>
      <c r="B18" s="8">
        <v>5.56</v>
      </c>
      <c r="C18" s="5">
        <v>48</v>
      </c>
      <c r="D18" s="5" t="s">
        <v>446</v>
      </c>
      <c r="E18" s="5" t="s">
        <v>422</v>
      </c>
    </row>
    <row r="19" spans="1:5" x14ac:dyDescent="0.2">
      <c r="A19" s="5" t="s">
        <v>7</v>
      </c>
      <c r="B19" s="8">
        <v>5.56</v>
      </c>
      <c r="C19" s="5">
        <v>48</v>
      </c>
      <c r="D19" s="5" t="s">
        <v>446</v>
      </c>
      <c r="E19" s="5" t="s">
        <v>422</v>
      </c>
    </row>
    <row r="20" spans="1:5" x14ac:dyDescent="0.2">
      <c r="A20" s="5" t="s">
        <v>8</v>
      </c>
      <c r="B20" s="8">
        <v>5.56</v>
      </c>
      <c r="C20" s="5">
        <v>24</v>
      </c>
      <c r="D20" s="5" t="s">
        <v>446</v>
      </c>
      <c r="E20" s="5" t="s">
        <v>422</v>
      </c>
    </row>
    <row r="21" spans="1:5" x14ac:dyDescent="0.2">
      <c r="A21" s="5" t="s">
        <v>10</v>
      </c>
      <c r="B21" s="8">
        <v>5.86</v>
      </c>
      <c r="C21" s="5"/>
      <c r="D21" s="5" t="s">
        <v>447</v>
      </c>
      <c r="E21" s="5" t="s">
        <v>427</v>
      </c>
    </row>
    <row r="22" spans="1:5" x14ac:dyDescent="0.2">
      <c r="A22" s="5" t="s">
        <v>11</v>
      </c>
      <c r="B22" s="8">
        <v>5.86</v>
      </c>
      <c r="C22" s="5">
        <v>24</v>
      </c>
      <c r="D22" s="5" t="s">
        <v>447</v>
      </c>
      <c r="E22" s="5" t="s">
        <v>423</v>
      </c>
    </row>
  </sheetData>
  <mergeCells count="1">
    <mergeCell ref="A4:G4"/>
  </mergeCells>
  <hyperlinks>
    <hyperlink ref="I1" r:id="rId1" location="'RESUMEN%20SUBIDAS'!A1" xr:uid="{00000000-0004-0000-0A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7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45</v>
      </c>
      <c r="I1" s="21" t="s">
        <v>405</v>
      </c>
    </row>
    <row r="2" spans="1:9" x14ac:dyDescent="0.2">
      <c r="A2" s="22" t="s">
        <v>448</v>
      </c>
    </row>
    <row r="3" spans="1:9" x14ac:dyDescent="0.2">
      <c r="A3" s="3" t="s">
        <v>449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COUNTIF($A$14:$A$17,A7)</f>
        <v>2</v>
      </c>
      <c r="C7" s="8">
        <f>_xlfn.MINIFS($B$14:$B$17,$A$14:$A$17,A7)</f>
        <v>25.44</v>
      </c>
      <c r="D7" s="8">
        <f>AVERAGEIF($A$14:$A$17,A7,$B$14:$B$17)</f>
        <v>25.44</v>
      </c>
      <c r="E7" s="8">
        <f>_xlfn.MAXIFS($B$14:$B$17,$A$14:$A$17,A7)</f>
        <v>25.44</v>
      </c>
      <c r="F7" s="16"/>
      <c r="G7" s="16"/>
    </row>
    <row r="8" spans="1:9" x14ac:dyDescent="0.2">
      <c r="A8" s="5" t="s">
        <v>10</v>
      </c>
      <c r="B8" s="5">
        <f>COUNTIF($A$14:$A$17,A8)</f>
        <v>1</v>
      </c>
      <c r="C8" s="8">
        <f>_xlfn.MINIFS($B$14:$B$17,$A$14:$A$17,A8)</f>
        <v>26.8</v>
      </c>
      <c r="D8" s="8">
        <f>AVERAGEIF($A$14:$A$17,A8,$B$14:$B$17)</f>
        <v>26.8</v>
      </c>
      <c r="E8" s="8">
        <f>_xlfn.MAXIFS($B$14:$B$17,$A$14:$A$17,A8)</f>
        <v>26.8</v>
      </c>
      <c r="F8" s="16">
        <f>D8/D7-1</f>
        <v>5.3459119496855223E-2</v>
      </c>
      <c r="G8" s="16">
        <f>D8/$D$7-1</f>
        <v>5.3459119496855223E-2</v>
      </c>
    </row>
    <row r="9" spans="1:9" x14ac:dyDescent="0.2">
      <c r="A9" s="5" t="s">
        <v>11</v>
      </c>
      <c r="B9" s="5">
        <f>COUNTIF($A$14:$A$17,A9)</f>
        <v>1</v>
      </c>
      <c r="C9" s="8">
        <f>_xlfn.MINIFS($B$14:$B$17,$A$14:$A$17,A9)</f>
        <v>26.8</v>
      </c>
      <c r="D9" s="8">
        <f>AVERAGEIF($A$14:$A$17,A9,$B$14:$B$17)</f>
        <v>26.8</v>
      </c>
      <c r="E9" s="8">
        <f>_xlfn.MAXIFS($B$14:$B$17,$A$14:$A$17,A9)</f>
        <v>26.8</v>
      </c>
      <c r="F9" s="16">
        <f>D9/D8-1</f>
        <v>0</v>
      </c>
      <c r="G9" s="16">
        <f>D9/$D$7-1</f>
        <v>5.3459119496855223E-2</v>
      </c>
    </row>
    <row r="10" spans="1:9" x14ac:dyDescent="0.2">
      <c r="F10" s="22" t="s">
        <v>416</v>
      </c>
      <c r="G10" s="23">
        <f>D9/D7-1</f>
        <v>5.3459119496855223E-2</v>
      </c>
    </row>
    <row r="12" spans="1:9" x14ac:dyDescent="0.2">
      <c r="A12" s="22" t="s">
        <v>417</v>
      </c>
    </row>
    <row r="13" spans="1:9" ht="30" x14ac:dyDescent="0.2">
      <c r="A13" s="4" t="s">
        <v>409</v>
      </c>
      <c r="B13" s="4" t="s">
        <v>418</v>
      </c>
      <c r="C13" s="4" t="s">
        <v>419</v>
      </c>
      <c r="D13" s="4" t="s">
        <v>420</v>
      </c>
      <c r="E13" s="4" t="s">
        <v>421</v>
      </c>
    </row>
    <row r="14" spans="1:9" x14ac:dyDescent="0.2">
      <c r="A14" s="5" t="s">
        <v>4</v>
      </c>
      <c r="B14" s="8">
        <v>25.44</v>
      </c>
      <c r="C14" s="5">
        <v>3</v>
      </c>
      <c r="D14" s="5" t="s">
        <v>450</v>
      </c>
      <c r="E14" s="5" t="s">
        <v>422</v>
      </c>
    </row>
    <row r="15" spans="1:9" x14ac:dyDescent="0.2">
      <c r="A15" s="5" t="s">
        <v>4</v>
      </c>
      <c r="B15" s="8">
        <v>25.44</v>
      </c>
      <c r="C15" s="5"/>
      <c r="D15" s="5" t="s">
        <v>450</v>
      </c>
      <c r="E15" s="5" t="s">
        <v>422</v>
      </c>
    </row>
    <row r="16" spans="1:9" x14ac:dyDescent="0.2">
      <c r="A16" s="5" t="s">
        <v>10</v>
      </c>
      <c r="B16" s="8">
        <v>26.8</v>
      </c>
      <c r="C16" s="5">
        <v>5</v>
      </c>
      <c r="D16" s="5" t="s">
        <v>451</v>
      </c>
      <c r="E16" s="5" t="s">
        <v>427</v>
      </c>
    </row>
    <row r="17" spans="1:5" x14ac:dyDescent="0.2">
      <c r="A17" s="5" t="s">
        <v>11</v>
      </c>
      <c r="B17" s="8">
        <v>26.8</v>
      </c>
      <c r="C17" s="5">
        <v>2</v>
      </c>
      <c r="D17" s="5" t="s">
        <v>451</v>
      </c>
      <c r="E17" s="5" t="s">
        <v>423</v>
      </c>
    </row>
  </sheetData>
  <mergeCells count="1">
    <mergeCell ref="A4:G4"/>
  </mergeCells>
  <hyperlinks>
    <hyperlink ref="I1" r:id="rId1" location="'RESUMEN%20SUBIDAS'!A1" xr:uid="{00000000-0004-0000-0B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8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47</v>
      </c>
      <c r="I1" s="21" t="s">
        <v>405</v>
      </c>
    </row>
    <row r="2" spans="1:9" x14ac:dyDescent="0.2">
      <c r="A2" s="22" t="s">
        <v>441</v>
      </c>
    </row>
    <row r="3" spans="1:9" x14ac:dyDescent="0.2">
      <c r="A3" s="3" t="s">
        <v>452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COUNTIF($A$15:$A$18,A7)</f>
        <v>1</v>
      </c>
      <c r="C7" s="8">
        <f>_xlfn.MINIFS($B$15:$B$18,$A$15:$A$18,A7)</f>
        <v>11.68</v>
      </c>
      <c r="D7" s="8">
        <f>AVERAGEIF($A$15:$A$18,A7,$B$15:$B$18)</f>
        <v>11.68</v>
      </c>
      <c r="E7" s="8">
        <f>_xlfn.MAXIFS($B$15:$B$18,$A$15:$A$18,A7)</f>
        <v>11.68</v>
      </c>
      <c r="F7" s="16"/>
      <c r="G7" s="16"/>
    </row>
    <row r="8" spans="1:9" x14ac:dyDescent="0.2">
      <c r="A8" s="5" t="s">
        <v>5</v>
      </c>
      <c r="B8" s="5">
        <f>COUNTIF($A$15:$A$18,A8)</f>
        <v>1</v>
      </c>
      <c r="C8" s="8">
        <f>_xlfn.MINIFS($B$15:$B$18,$A$15:$A$18,A8)</f>
        <v>11.68</v>
      </c>
      <c r="D8" s="8">
        <f>AVERAGEIF($A$15:$A$18,A8,$B$15:$B$18)</f>
        <v>11.68</v>
      </c>
      <c r="E8" s="8">
        <f>_xlfn.MAXIFS($B$15:$B$18,$A$15:$A$18,A8)</f>
        <v>11.68</v>
      </c>
      <c r="F8" s="16">
        <f>D8/D7-1</f>
        <v>0</v>
      </c>
      <c r="G8" s="16">
        <f>D8/$D$7-1</f>
        <v>0</v>
      </c>
    </row>
    <row r="9" spans="1:9" x14ac:dyDescent="0.2">
      <c r="A9" s="5" t="s">
        <v>8</v>
      </c>
      <c r="B9" s="5">
        <f>COUNTIF($A$15:$A$18,A9)</f>
        <v>1</v>
      </c>
      <c r="C9" s="8">
        <f>_xlfn.MINIFS($B$15:$B$18,$A$15:$A$18,A9)</f>
        <v>11.68</v>
      </c>
      <c r="D9" s="8">
        <f>AVERAGEIF($A$15:$A$18,A9,$B$15:$B$18)</f>
        <v>11.68</v>
      </c>
      <c r="E9" s="8">
        <f>_xlfn.MAXIFS($B$15:$B$18,$A$15:$A$18,A9)</f>
        <v>11.68</v>
      </c>
      <c r="F9" s="16">
        <f>D9/D8-1</f>
        <v>0</v>
      </c>
      <c r="G9" s="16">
        <f>D9/$D$7-1</f>
        <v>0</v>
      </c>
    </row>
    <row r="10" spans="1:9" x14ac:dyDescent="0.2">
      <c r="A10" s="5" t="s">
        <v>10</v>
      </c>
      <c r="B10" s="5">
        <f>COUNTIF($A$15:$A$18,A10)</f>
        <v>1</v>
      </c>
      <c r="C10" s="8">
        <f>_xlfn.MINIFS($B$15:$B$18,$A$15:$A$18,A10)</f>
        <v>12.3</v>
      </c>
      <c r="D10" s="8">
        <f>AVERAGEIF($A$15:$A$18,A10,$B$15:$B$18)</f>
        <v>12.3</v>
      </c>
      <c r="E10" s="8">
        <f>_xlfn.MAXIFS($B$15:$B$18,$A$15:$A$18,A10)</f>
        <v>12.3</v>
      </c>
      <c r="F10" s="16">
        <f>D10/D9-1</f>
        <v>5.3082191780821963E-2</v>
      </c>
      <c r="G10" s="16">
        <f>D10/$D$7-1</f>
        <v>5.3082191780821963E-2</v>
      </c>
    </row>
    <row r="11" spans="1:9" x14ac:dyDescent="0.2">
      <c r="F11" s="22" t="s">
        <v>416</v>
      </c>
      <c r="G11" s="23">
        <f>D10/D7-1</f>
        <v>5.3082191780821963E-2</v>
      </c>
    </row>
    <row r="13" spans="1:9" x14ac:dyDescent="0.2">
      <c r="A13" s="22" t="s">
        <v>417</v>
      </c>
    </row>
    <row r="14" spans="1:9" ht="30" x14ac:dyDescent="0.2">
      <c r="A14" s="4" t="s">
        <v>409</v>
      </c>
      <c r="B14" s="4" t="s">
        <v>418</v>
      </c>
      <c r="C14" s="4" t="s">
        <v>419</v>
      </c>
      <c r="D14" s="4" t="s">
        <v>420</v>
      </c>
      <c r="E14" s="4" t="s">
        <v>421</v>
      </c>
    </row>
    <row r="15" spans="1:9" x14ac:dyDescent="0.2">
      <c r="A15" s="5" t="s">
        <v>4</v>
      </c>
      <c r="B15" s="8">
        <v>11.68</v>
      </c>
      <c r="C15" s="5">
        <v>44</v>
      </c>
      <c r="D15" s="5" t="s">
        <v>453</v>
      </c>
      <c r="E15" s="5" t="s">
        <v>422</v>
      </c>
    </row>
    <row r="16" spans="1:9" x14ac:dyDescent="0.2">
      <c r="A16" s="5" t="s">
        <v>5</v>
      </c>
      <c r="B16" s="8">
        <v>11.68</v>
      </c>
      <c r="C16" s="5">
        <v>40</v>
      </c>
      <c r="D16" s="5" t="s">
        <v>453</v>
      </c>
      <c r="E16" s="5" t="s">
        <v>422</v>
      </c>
    </row>
    <row r="17" spans="1:5" x14ac:dyDescent="0.2">
      <c r="A17" s="5" t="s">
        <v>8</v>
      </c>
      <c r="B17" s="8">
        <v>11.68</v>
      </c>
      <c r="C17" s="5">
        <v>49</v>
      </c>
      <c r="D17" s="5" t="s">
        <v>453</v>
      </c>
      <c r="E17" s="5" t="s">
        <v>422</v>
      </c>
    </row>
    <row r="18" spans="1:5" x14ac:dyDescent="0.2">
      <c r="A18" s="5" t="s">
        <v>10</v>
      </c>
      <c r="B18" s="8">
        <v>12.3</v>
      </c>
      <c r="C18" s="5">
        <v>49</v>
      </c>
      <c r="D18" s="5" t="s">
        <v>454</v>
      </c>
      <c r="E18" s="5" t="s">
        <v>427</v>
      </c>
    </row>
  </sheetData>
  <mergeCells count="1">
    <mergeCell ref="A4:G4"/>
  </mergeCells>
  <hyperlinks>
    <hyperlink ref="I1" r:id="rId1" location="'RESUMEN%20SUBIDAS'!A1" xr:uid="{00000000-0004-0000-0C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8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49</v>
      </c>
      <c r="I1" s="21" t="s">
        <v>405</v>
      </c>
    </row>
    <row r="2" spans="1:9" x14ac:dyDescent="0.2">
      <c r="A2" s="22" t="s">
        <v>441</v>
      </c>
    </row>
    <row r="3" spans="1:9" x14ac:dyDescent="0.2">
      <c r="A3" s="3" t="s">
        <v>455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COUNTIF($A$15:$A$18,A7)</f>
        <v>1</v>
      </c>
      <c r="C7" s="8">
        <f>_xlfn.MINIFS($B$15:$B$18,$A$15:$A$18,A7)</f>
        <v>25.463999999999999</v>
      </c>
      <c r="D7" s="8">
        <f>AVERAGEIF($A$15:$A$18,A7,$B$15:$B$18)</f>
        <v>25.463999999999999</v>
      </c>
      <c r="E7" s="8">
        <f>_xlfn.MAXIFS($B$15:$B$18,$A$15:$A$18,A7)</f>
        <v>25.463999999999999</v>
      </c>
      <c r="F7" s="16"/>
      <c r="G7" s="16"/>
    </row>
    <row r="8" spans="1:9" x14ac:dyDescent="0.2">
      <c r="A8" s="5" t="s">
        <v>5</v>
      </c>
      <c r="B8" s="5">
        <f>COUNTIF($A$15:$A$18,A8)</f>
        <v>1</v>
      </c>
      <c r="C8" s="8">
        <f>_xlfn.MINIFS($B$15:$B$18,$A$15:$A$18,A8)</f>
        <v>25.463999999999999</v>
      </c>
      <c r="D8" s="8">
        <f>AVERAGEIF($A$15:$A$18,A8,$B$15:$B$18)</f>
        <v>25.463999999999999</v>
      </c>
      <c r="E8" s="8">
        <f>_xlfn.MAXIFS($B$15:$B$18,$A$15:$A$18,A8)</f>
        <v>25.463999999999999</v>
      </c>
      <c r="F8" s="16">
        <f>D8/D7-1</f>
        <v>0</v>
      </c>
      <c r="G8" s="16">
        <f>D8/$D$7-1</f>
        <v>0</v>
      </c>
    </row>
    <row r="9" spans="1:9" x14ac:dyDescent="0.2">
      <c r="A9" s="5" t="s">
        <v>8</v>
      </c>
      <c r="B9" s="5">
        <f>COUNTIF($A$15:$A$18,A9)</f>
        <v>1</v>
      </c>
      <c r="C9" s="8">
        <f>_xlfn.MINIFS($B$15:$B$18,$A$15:$A$18,A9)</f>
        <v>25.463999999999999</v>
      </c>
      <c r="D9" s="8">
        <f>AVERAGEIF($A$15:$A$18,A9,$B$15:$B$18)</f>
        <v>25.463999999999999</v>
      </c>
      <c r="E9" s="8">
        <f>_xlfn.MAXIFS($B$15:$B$18,$A$15:$A$18,A9)</f>
        <v>25.463999999999999</v>
      </c>
      <c r="F9" s="16">
        <f>D9/D8-1</f>
        <v>0</v>
      </c>
      <c r="G9" s="16">
        <f>D9/$D$7-1</f>
        <v>0</v>
      </c>
    </row>
    <row r="10" spans="1:9" x14ac:dyDescent="0.2">
      <c r="A10" s="5" t="s">
        <v>10</v>
      </c>
      <c r="B10" s="5">
        <f>COUNTIF($A$15:$A$18,A10)</f>
        <v>1</v>
      </c>
      <c r="C10" s="8">
        <f>_xlfn.MINIFS($B$15:$B$18,$A$15:$A$18,A10)</f>
        <v>26.81</v>
      </c>
      <c r="D10" s="8">
        <f>AVERAGEIF($A$15:$A$18,A10,$B$15:$B$18)</f>
        <v>26.81</v>
      </c>
      <c r="E10" s="8">
        <f>_xlfn.MAXIFS($B$15:$B$18,$A$15:$A$18,A10)</f>
        <v>26.81</v>
      </c>
      <c r="F10" s="16">
        <f>D10/D9-1</f>
        <v>5.2858938108702569E-2</v>
      </c>
      <c r="G10" s="16">
        <f>D10/$D$7-1</f>
        <v>5.2858938108702569E-2</v>
      </c>
    </row>
    <row r="11" spans="1:9" x14ac:dyDescent="0.2">
      <c r="F11" s="22" t="s">
        <v>416</v>
      </c>
      <c r="G11" s="23">
        <f>D10/D7-1</f>
        <v>5.2858938108702569E-2</v>
      </c>
    </row>
    <row r="13" spans="1:9" x14ac:dyDescent="0.2">
      <c r="A13" s="22" t="s">
        <v>417</v>
      </c>
    </row>
    <row r="14" spans="1:9" ht="30" x14ac:dyDescent="0.2">
      <c r="A14" s="4" t="s">
        <v>409</v>
      </c>
      <c r="B14" s="4" t="s">
        <v>418</v>
      </c>
      <c r="C14" s="4" t="s">
        <v>419</v>
      </c>
      <c r="D14" s="4" t="s">
        <v>420</v>
      </c>
      <c r="E14" s="4" t="s">
        <v>421</v>
      </c>
    </row>
    <row r="15" spans="1:9" x14ac:dyDescent="0.2">
      <c r="A15" s="5" t="s">
        <v>4</v>
      </c>
      <c r="B15" s="8">
        <v>25.463999999999999</v>
      </c>
      <c r="C15" s="5">
        <v>36</v>
      </c>
      <c r="D15" s="5" t="s">
        <v>456</v>
      </c>
      <c r="E15" s="5" t="s">
        <v>422</v>
      </c>
    </row>
    <row r="16" spans="1:9" x14ac:dyDescent="0.2">
      <c r="A16" s="5" t="s">
        <v>5</v>
      </c>
      <c r="B16" s="8">
        <v>25.463999999999999</v>
      </c>
      <c r="C16" s="5">
        <v>35</v>
      </c>
      <c r="D16" s="5" t="s">
        <v>456</v>
      </c>
      <c r="E16" s="5" t="s">
        <v>422</v>
      </c>
    </row>
    <row r="17" spans="1:5" x14ac:dyDescent="0.2">
      <c r="A17" s="5" t="s">
        <v>8</v>
      </c>
      <c r="B17" s="8">
        <v>25.463999999999999</v>
      </c>
      <c r="C17" s="5">
        <v>47</v>
      </c>
      <c r="D17" s="5" t="s">
        <v>456</v>
      </c>
      <c r="E17" s="5" t="s">
        <v>422</v>
      </c>
    </row>
    <row r="18" spans="1:5" x14ac:dyDescent="0.2">
      <c r="A18" s="5" t="s">
        <v>10</v>
      </c>
      <c r="B18" s="8">
        <v>26.81</v>
      </c>
      <c r="C18" s="5">
        <v>41</v>
      </c>
      <c r="D18" s="5" t="s">
        <v>457</v>
      </c>
      <c r="E18" s="5" t="s">
        <v>427</v>
      </c>
    </row>
  </sheetData>
  <mergeCells count="1">
    <mergeCell ref="A4:G4"/>
  </mergeCells>
  <hyperlinks>
    <hyperlink ref="I1" r:id="rId1" location="'RESUMEN%20SUBIDAS'!A1" xr:uid="{00000000-0004-0000-0D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8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51</v>
      </c>
      <c r="I1" s="21" t="s">
        <v>405</v>
      </c>
    </row>
    <row r="2" spans="1:9" x14ac:dyDescent="0.2">
      <c r="A2" s="22" t="s">
        <v>428</v>
      </c>
    </row>
    <row r="3" spans="1:9" x14ac:dyDescent="0.2">
      <c r="A3" s="3" t="s">
        <v>458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COUNTIF($A$15:$A$18,A7)</f>
        <v>1</v>
      </c>
      <c r="C7" s="8">
        <f>_xlfn.MINIFS($B$15:$B$18,$A$15:$A$18,A7)</f>
        <v>34.6</v>
      </c>
      <c r="D7" s="8">
        <f>AVERAGEIF($A$15:$A$18,A7,$B$15:$B$18)</f>
        <v>34.6</v>
      </c>
      <c r="E7" s="8">
        <f>_xlfn.MAXIFS($B$15:$B$18,$A$15:$A$18,A7)</f>
        <v>34.6</v>
      </c>
      <c r="F7" s="16"/>
      <c r="G7" s="16"/>
    </row>
    <row r="8" spans="1:9" x14ac:dyDescent="0.2">
      <c r="A8" s="5" t="s">
        <v>8</v>
      </c>
      <c r="B8" s="5">
        <f>COUNTIF($A$15:$A$18,A8)</f>
        <v>1</v>
      </c>
      <c r="C8" s="8">
        <f>_xlfn.MINIFS($B$15:$B$18,$A$15:$A$18,A8)</f>
        <v>36.4</v>
      </c>
      <c r="D8" s="8">
        <f>AVERAGEIF($A$15:$A$18,A8,$B$15:$B$18)</f>
        <v>36.4</v>
      </c>
      <c r="E8" s="8">
        <f>_xlfn.MAXIFS($B$15:$B$18,$A$15:$A$18,A8)</f>
        <v>36.4</v>
      </c>
      <c r="F8" s="16">
        <f>D8/D7-1</f>
        <v>5.2023121387283044E-2</v>
      </c>
      <c r="G8" s="16">
        <f>D8/$D$7-1</f>
        <v>5.2023121387283044E-2</v>
      </c>
    </row>
    <row r="9" spans="1:9" x14ac:dyDescent="0.2">
      <c r="A9" s="5" t="s">
        <v>10</v>
      </c>
      <c r="B9" s="5">
        <f>COUNTIF($A$15:$A$18,A9)</f>
        <v>1</v>
      </c>
      <c r="C9" s="8">
        <f>_xlfn.MINIFS($B$15:$B$18,$A$15:$A$18,A9)</f>
        <v>36.4</v>
      </c>
      <c r="D9" s="8">
        <f>AVERAGEIF($A$15:$A$18,A9,$B$15:$B$18)</f>
        <v>36.4</v>
      </c>
      <c r="E9" s="8">
        <f>_xlfn.MAXIFS($B$15:$B$18,$A$15:$A$18,A9)</f>
        <v>36.4</v>
      </c>
      <c r="F9" s="16">
        <f>D9/D8-1</f>
        <v>0</v>
      </c>
      <c r="G9" s="16">
        <f>D9/$D$7-1</f>
        <v>5.2023121387283044E-2</v>
      </c>
    </row>
    <row r="10" spans="1:9" x14ac:dyDescent="0.2">
      <c r="A10" s="5" t="s">
        <v>11</v>
      </c>
      <c r="B10" s="5">
        <f>COUNTIF($A$15:$A$18,A10)</f>
        <v>1</v>
      </c>
      <c r="C10" s="8">
        <f>_xlfn.MINIFS($B$15:$B$18,$A$15:$A$18,A10)</f>
        <v>36.4</v>
      </c>
      <c r="D10" s="8">
        <f>AVERAGEIF($A$15:$A$18,A10,$B$15:$B$18)</f>
        <v>36.4</v>
      </c>
      <c r="E10" s="8">
        <f>_xlfn.MAXIFS($B$15:$B$18,$A$15:$A$18,A10)</f>
        <v>36.4</v>
      </c>
      <c r="F10" s="16">
        <f>D10/D9-1</f>
        <v>0</v>
      </c>
      <c r="G10" s="16">
        <f>D10/$D$7-1</f>
        <v>5.2023121387283044E-2</v>
      </c>
    </row>
    <row r="11" spans="1:9" x14ac:dyDescent="0.2">
      <c r="F11" s="22" t="s">
        <v>416</v>
      </c>
      <c r="G11" s="23">
        <f>D10/D7-1</f>
        <v>5.2023121387283044E-2</v>
      </c>
    </row>
    <row r="13" spans="1:9" x14ac:dyDescent="0.2">
      <c r="A13" s="22" t="s">
        <v>417</v>
      </c>
    </row>
    <row r="14" spans="1:9" ht="30" x14ac:dyDescent="0.2">
      <c r="A14" s="4" t="s">
        <v>409</v>
      </c>
      <c r="B14" s="4" t="s">
        <v>418</v>
      </c>
      <c r="C14" s="4" t="s">
        <v>419</v>
      </c>
      <c r="D14" s="4" t="s">
        <v>420</v>
      </c>
      <c r="E14" s="4" t="s">
        <v>421</v>
      </c>
    </row>
    <row r="15" spans="1:9" x14ac:dyDescent="0.2">
      <c r="A15" s="5" t="s">
        <v>4</v>
      </c>
      <c r="B15" s="8">
        <v>34.6</v>
      </c>
      <c r="C15" s="5">
        <v>2.25</v>
      </c>
      <c r="D15" s="5" t="s">
        <v>459</v>
      </c>
      <c r="E15" s="5" t="s">
        <v>422</v>
      </c>
    </row>
    <row r="16" spans="1:9" x14ac:dyDescent="0.2">
      <c r="A16" s="5" t="s">
        <v>8</v>
      </c>
      <c r="B16" s="8">
        <v>36.4</v>
      </c>
      <c r="C16" s="5">
        <v>0.70799999999999996</v>
      </c>
      <c r="D16" s="5" t="s">
        <v>459</v>
      </c>
      <c r="E16" s="5" t="s">
        <v>422</v>
      </c>
    </row>
    <row r="17" spans="1:5" x14ac:dyDescent="0.2">
      <c r="A17" s="5" t="s">
        <v>10</v>
      </c>
      <c r="B17" s="8">
        <v>36.4</v>
      </c>
      <c r="C17" s="5">
        <v>2.71</v>
      </c>
      <c r="D17" s="5" t="s">
        <v>459</v>
      </c>
      <c r="E17" s="5" t="s">
        <v>427</v>
      </c>
    </row>
    <row r="18" spans="1:5" x14ac:dyDescent="0.2">
      <c r="A18" s="5" t="s">
        <v>11</v>
      </c>
      <c r="B18" s="8">
        <v>36.4</v>
      </c>
      <c r="C18" s="5">
        <v>1.94</v>
      </c>
      <c r="D18" s="5" t="s">
        <v>459</v>
      </c>
      <c r="E18" s="5" t="s">
        <v>423</v>
      </c>
    </row>
  </sheetData>
  <mergeCells count="1">
    <mergeCell ref="A4:G4"/>
  </mergeCells>
  <hyperlinks>
    <hyperlink ref="I1" r:id="rId1" location="'RESUMEN%20SUBIDAS'!A1" xr:uid="{00000000-0004-0000-0E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4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53</v>
      </c>
      <c r="I1" s="21" t="s">
        <v>405</v>
      </c>
    </row>
    <row r="2" spans="1:9" x14ac:dyDescent="0.2">
      <c r="A2" s="22" t="s">
        <v>441</v>
      </c>
    </row>
    <row r="3" spans="1:9" x14ac:dyDescent="0.2">
      <c r="A3" s="3" t="s">
        <v>460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COUNTIF($A$13:$A$14,A7)</f>
        <v>1</v>
      </c>
      <c r="C7" s="8">
        <f>_xlfn.MINIFS($B$13:$B$14,$A$13:$A$14,A7)</f>
        <v>37.68</v>
      </c>
      <c r="D7" s="8">
        <f>AVERAGEIF($A$13:$A$14,A7,$B$13:$B$14)</f>
        <v>37.68</v>
      </c>
      <c r="E7" s="8">
        <f>_xlfn.MAXIFS($B$13:$B$14,$A$13:$A$14,A7)</f>
        <v>37.68</v>
      </c>
      <c r="F7" s="16"/>
      <c r="G7" s="16"/>
    </row>
    <row r="8" spans="1:9" x14ac:dyDescent="0.2">
      <c r="A8" s="5" t="s">
        <v>8</v>
      </c>
      <c r="B8" s="5">
        <f>COUNTIF($A$13:$A$14,A8)</f>
        <v>1</v>
      </c>
      <c r="C8" s="8">
        <f>_xlfn.MINIFS($B$13:$B$14,$A$13:$A$14,A8)</f>
        <v>39.6</v>
      </c>
      <c r="D8" s="8">
        <f>AVERAGEIF($A$13:$A$14,A8,$B$13:$B$14)</f>
        <v>39.6</v>
      </c>
      <c r="E8" s="8">
        <f>_xlfn.MAXIFS($B$13:$B$14,$A$13:$A$14,A8)</f>
        <v>39.6</v>
      </c>
      <c r="F8" s="16">
        <f>D8/D7-1</f>
        <v>5.0955414012738842E-2</v>
      </c>
      <c r="G8" s="16">
        <f>D8/$D$7-1</f>
        <v>5.0955414012738842E-2</v>
      </c>
    </row>
    <row r="9" spans="1:9" x14ac:dyDescent="0.2">
      <c r="F9" s="22" t="s">
        <v>416</v>
      </c>
      <c r="G9" s="23">
        <f>D8/D7-1</f>
        <v>5.0955414012738842E-2</v>
      </c>
    </row>
    <row r="11" spans="1:9" x14ac:dyDescent="0.2">
      <c r="A11" s="22" t="s">
        <v>417</v>
      </c>
    </row>
    <row r="12" spans="1:9" ht="30" x14ac:dyDescent="0.2">
      <c r="A12" s="4" t="s">
        <v>409</v>
      </c>
      <c r="B12" s="4" t="s">
        <v>418</v>
      </c>
      <c r="C12" s="4" t="s">
        <v>419</v>
      </c>
      <c r="D12" s="4" t="s">
        <v>420</v>
      </c>
      <c r="E12" s="4" t="s">
        <v>421</v>
      </c>
    </row>
    <row r="13" spans="1:9" x14ac:dyDescent="0.2">
      <c r="A13" s="5" t="s">
        <v>4</v>
      </c>
      <c r="B13" s="8">
        <v>37.68</v>
      </c>
      <c r="C13" s="5">
        <v>1</v>
      </c>
      <c r="D13" s="5" t="s">
        <v>461</v>
      </c>
      <c r="E13" s="5" t="s">
        <v>422</v>
      </c>
    </row>
    <row r="14" spans="1:9" x14ac:dyDescent="0.2">
      <c r="A14" s="5" t="s">
        <v>8</v>
      </c>
      <c r="B14" s="8">
        <v>39.6</v>
      </c>
      <c r="C14" s="5">
        <v>2</v>
      </c>
      <c r="D14" s="5" t="s">
        <v>461</v>
      </c>
      <c r="E14" s="5" t="s">
        <v>422</v>
      </c>
    </row>
  </sheetData>
  <mergeCells count="1">
    <mergeCell ref="A4:G4"/>
  </mergeCells>
  <hyperlinks>
    <hyperlink ref="I1" r:id="rId1" location="'RESUMEN%20SUBIDAS'!A1" xr:uid="{00000000-0004-0000-0F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8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55</v>
      </c>
      <c r="I1" s="21" t="s">
        <v>405</v>
      </c>
    </row>
    <row r="2" spans="1:9" x14ac:dyDescent="0.2">
      <c r="A2" s="22" t="s">
        <v>441</v>
      </c>
    </row>
    <row r="3" spans="1:9" x14ac:dyDescent="0.2">
      <c r="A3" s="3" t="s">
        <v>462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COUNTIF($A$15:$A$18,A7)</f>
        <v>1</v>
      </c>
      <c r="C7" s="8">
        <f>_xlfn.MINIFS($B$15:$B$18,$A$15:$A$18,A7)</f>
        <v>31.92</v>
      </c>
      <c r="D7" s="8">
        <f>AVERAGEIF($A$15:$A$18,A7,$B$15:$B$18)</f>
        <v>31.92</v>
      </c>
      <c r="E7" s="8">
        <f>_xlfn.MAXIFS($B$15:$B$18,$A$15:$A$18,A7)</f>
        <v>31.92</v>
      </c>
      <c r="F7" s="16"/>
      <c r="G7" s="16"/>
    </row>
    <row r="8" spans="1:9" x14ac:dyDescent="0.2">
      <c r="A8" s="5" t="s">
        <v>5</v>
      </c>
      <c r="B8" s="5">
        <f>COUNTIF($A$15:$A$18,A8)</f>
        <v>1</v>
      </c>
      <c r="C8" s="8">
        <f>_xlfn.MINIFS($B$15:$B$18,$A$15:$A$18,A8)</f>
        <v>33.840000000000003</v>
      </c>
      <c r="D8" s="8">
        <f>AVERAGEIF($A$15:$A$18,A8,$B$15:$B$18)</f>
        <v>33.840000000000003</v>
      </c>
      <c r="E8" s="8">
        <f>_xlfn.MAXIFS($B$15:$B$18,$A$15:$A$18,A8)</f>
        <v>33.840000000000003</v>
      </c>
      <c r="F8" s="16">
        <f>D8/D7-1</f>
        <v>6.0150375939849621E-2</v>
      </c>
      <c r="G8" s="16">
        <f>D8/$D$7-1</f>
        <v>6.0150375939849621E-2</v>
      </c>
    </row>
    <row r="9" spans="1:9" x14ac:dyDescent="0.2">
      <c r="A9" s="5" t="s">
        <v>8</v>
      </c>
      <c r="B9" s="5">
        <f>COUNTIF($A$15:$A$18,A9)</f>
        <v>1</v>
      </c>
      <c r="C9" s="8">
        <f>_xlfn.MINIFS($B$15:$B$18,$A$15:$A$18,A9)</f>
        <v>33.840000000000003</v>
      </c>
      <c r="D9" s="8">
        <f>AVERAGEIF($A$15:$A$18,A9,$B$15:$B$18)</f>
        <v>33.840000000000003</v>
      </c>
      <c r="E9" s="8">
        <f>_xlfn.MAXIFS($B$15:$B$18,$A$15:$A$18,A9)</f>
        <v>33.840000000000003</v>
      </c>
      <c r="F9" s="16">
        <f>D9/D8-1</f>
        <v>0</v>
      </c>
      <c r="G9" s="16">
        <f>D9/$D$7-1</f>
        <v>6.0150375939849621E-2</v>
      </c>
    </row>
    <row r="10" spans="1:9" x14ac:dyDescent="0.2">
      <c r="A10" s="5" t="s">
        <v>10</v>
      </c>
      <c r="B10" s="5">
        <f>COUNTIF($A$15:$A$18,A10)</f>
        <v>1</v>
      </c>
      <c r="C10" s="8">
        <f>_xlfn.MINIFS($B$15:$B$18,$A$15:$A$18,A10)</f>
        <v>33.54</v>
      </c>
      <c r="D10" s="8">
        <f>AVERAGEIF($A$15:$A$18,A10,$B$15:$B$18)</f>
        <v>33.54</v>
      </c>
      <c r="E10" s="8">
        <f>_xlfn.MAXIFS($B$15:$B$18,$A$15:$A$18,A10)</f>
        <v>33.54</v>
      </c>
      <c r="F10" s="16">
        <f>D10/D9-1</f>
        <v>-8.8652482269504507E-3</v>
      </c>
      <c r="G10" s="16">
        <f>D10/$D$7-1</f>
        <v>5.0751879699248104E-2</v>
      </c>
    </row>
    <row r="11" spans="1:9" x14ac:dyDescent="0.2">
      <c r="F11" s="22" t="s">
        <v>416</v>
      </c>
      <c r="G11" s="23">
        <f>D10/D7-1</f>
        <v>5.0751879699248104E-2</v>
      </c>
    </row>
    <row r="13" spans="1:9" x14ac:dyDescent="0.2">
      <c r="A13" s="22" t="s">
        <v>417</v>
      </c>
    </row>
    <row r="14" spans="1:9" ht="30" x14ac:dyDescent="0.2">
      <c r="A14" s="4" t="s">
        <v>409</v>
      </c>
      <c r="B14" s="4" t="s">
        <v>418</v>
      </c>
      <c r="C14" s="4" t="s">
        <v>419</v>
      </c>
      <c r="D14" s="4" t="s">
        <v>420</v>
      </c>
      <c r="E14" s="4" t="s">
        <v>421</v>
      </c>
    </row>
    <row r="15" spans="1:9" x14ac:dyDescent="0.2">
      <c r="A15" s="5" t="s">
        <v>4</v>
      </c>
      <c r="B15" s="8">
        <v>31.92</v>
      </c>
      <c r="C15" s="5">
        <v>5</v>
      </c>
      <c r="D15" s="5" t="s">
        <v>463</v>
      </c>
      <c r="E15" s="5" t="s">
        <v>422</v>
      </c>
    </row>
    <row r="16" spans="1:9" x14ac:dyDescent="0.2">
      <c r="A16" s="5" t="s">
        <v>5</v>
      </c>
      <c r="B16" s="8">
        <v>33.840000000000003</v>
      </c>
      <c r="C16" s="5">
        <v>3</v>
      </c>
      <c r="D16" s="5" t="s">
        <v>463</v>
      </c>
      <c r="E16" s="5" t="s">
        <v>422</v>
      </c>
    </row>
    <row r="17" spans="1:5" x14ac:dyDescent="0.2">
      <c r="A17" s="5" t="s">
        <v>8</v>
      </c>
      <c r="B17" s="8">
        <v>33.840000000000003</v>
      </c>
      <c r="C17" s="5">
        <v>5</v>
      </c>
      <c r="D17" s="5" t="s">
        <v>463</v>
      </c>
      <c r="E17" s="5" t="s">
        <v>422</v>
      </c>
    </row>
    <row r="18" spans="1:5" x14ac:dyDescent="0.2">
      <c r="A18" s="5" t="s">
        <v>10</v>
      </c>
      <c r="B18" s="8">
        <v>33.54</v>
      </c>
      <c r="C18" s="5">
        <v>3</v>
      </c>
      <c r="D18" s="5" t="s">
        <v>464</v>
      </c>
      <c r="E18" s="5" t="s">
        <v>427</v>
      </c>
    </row>
  </sheetData>
  <mergeCells count="1">
    <mergeCell ref="A4:G4"/>
  </mergeCells>
  <hyperlinks>
    <hyperlink ref="I1" r:id="rId1" location="'RESUMEN%20SUBIDAS'!A1" xr:uid="{00000000-0004-0000-10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1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58</v>
      </c>
      <c r="I1" s="21" t="s">
        <v>405</v>
      </c>
    </row>
    <row r="2" spans="1:9" x14ac:dyDescent="0.2">
      <c r="A2" s="22" t="s">
        <v>465</v>
      </c>
    </row>
    <row r="3" spans="1:9" x14ac:dyDescent="0.2">
      <c r="A3" s="3" t="s">
        <v>466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5</v>
      </c>
      <c r="B7" s="5">
        <f>COUNTIF($A$16:$A$21,A7)</f>
        <v>1</v>
      </c>
      <c r="C7" s="8">
        <f>_xlfn.MINIFS($B$16:$B$21,$A$16:$A$21,A7)</f>
        <v>48.6</v>
      </c>
      <c r="D7" s="8">
        <f>AVERAGEIF($A$16:$A$21,A7,$B$16:$B$21)</f>
        <v>48.6</v>
      </c>
      <c r="E7" s="8">
        <f>_xlfn.MAXIFS($B$16:$B$21,$A$16:$A$21,A7)</f>
        <v>48.6</v>
      </c>
      <c r="F7" s="16"/>
      <c r="G7" s="16"/>
    </row>
    <row r="8" spans="1:9" x14ac:dyDescent="0.2">
      <c r="A8" s="5" t="s">
        <v>7</v>
      </c>
      <c r="B8" s="5">
        <f>COUNTIF($A$16:$A$21,A8)</f>
        <v>1</v>
      </c>
      <c r="C8" s="8">
        <f>_xlfn.MINIFS($B$16:$B$21,$A$16:$A$21,A8)</f>
        <v>48.6</v>
      </c>
      <c r="D8" s="8">
        <f>AVERAGEIF($A$16:$A$21,A8,$B$16:$B$21)</f>
        <v>48.6</v>
      </c>
      <c r="E8" s="8">
        <f>_xlfn.MAXIFS($B$16:$B$21,$A$16:$A$21,A8)</f>
        <v>48.6</v>
      </c>
      <c r="F8" s="16">
        <f>D8/D7-1</f>
        <v>0</v>
      </c>
      <c r="G8" s="16">
        <f>D8/$D$7-1</f>
        <v>0</v>
      </c>
    </row>
    <row r="9" spans="1:9" x14ac:dyDescent="0.2">
      <c r="A9" s="5" t="s">
        <v>8</v>
      </c>
      <c r="B9" s="5">
        <f>COUNTIF($A$16:$A$21,A9)</f>
        <v>1</v>
      </c>
      <c r="C9" s="8">
        <f>_xlfn.MINIFS($B$16:$B$21,$A$16:$A$21,A9)</f>
        <v>48.6</v>
      </c>
      <c r="D9" s="8">
        <f>AVERAGEIF($A$16:$A$21,A9,$B$16:$B$21)</f>
        <v>48.6</v>
      </c>
      <c r="E9" s="8">
        <f>_xlfn.MAXIFS($B$16:$B$21,$A$16:$A$21,A9)</f>
        <v>48.6</v>
      </c>
      <c r="F9" s="16">
        <f>D9/D8-1</f>
        <v>0</v>
      </c>
      <c r="G9" s="16">
        <f>D9/$D$7-1</f>
        <v>0</v>
      </c>
    </row>
    <row r="10" spans="1:9" x14ac:dyDescent="0.2">
      <c r="A10" s="5" t="s">
        <v>10</v>
      </c>
      <c r="B10" s="5">
        <f>COUNTIF($A$16:$A$21,A10)</f>
        <v>2</v>
      </c>
      <c r="C10" s="8">
        <f>_xlfn.MINIFS($B$16:$B$21,$A$16:$A$21,A10)</f>
        <v>48.6</v>
      </c>
      <c r="D10" s="8">
        <f>AVERAGEIF($A$16:$A$21,A10,$B$16:$B$21)</f>
        <v>49.8</v>
      </c>
      <c r="E10" s="8">
        <f>_xlfn.MAXIFS($B$16:$B$21,$A$16:$A$21,A10)</f>
        <v>51</v>
      </c>
      <c r="F10" s="16">
        <f>D10/D9-1</f>
        <v>2.4691358024691246E-2</v>
      </c>
      <c r="G10" s="16">
        <f>D10/$D$7-1</f>
        <v>2.4691358024691246E-2</v>
      </c>
    </row>
    <row r="11" spans="1:9" x14ac:dyDescent="0.2">
      <c r="A11" s="5" t="s">
        <v>11</v>
      </c>
      <c r="B11" s="5">
        <f>COUNTIF($A$16:$A$21,A11)</f>
        <v>1</v>
      </c>
      <c r="C11" s="8">
        <f>_xlfn.MINIFS($B$16:$B$21,$A$16:$A$21,A11)</f>
        <v>51</v>
      </c>
      <c r="D11" s="8">
        <f>AVERAGEIF($A$16:$A$21,A11,$B$16:$B$21)</f>
        <v>51</v>
      </c>
      <c r="E11" s="8">
        <f>_xlfn.MAXIFS($B$16:$B$21,$A$16:$A$21,A11)</f>
        <v>51</v>
      </c>
      <c r="F11" s="16">
        <f>D11/D10-1</f>
        <v>2.4096385542168752E-2</v>
      </c>
      <c r="G11" s="16">
        <f>D11/$D$7-1</f>
        <v>4.9382716049382713E-2</v>
      </c>
    </row>
    <row r="12" spans="1:9" x14ac:dyDescent="0.2">
      <c r="F12" s="22" t="s">
        <v>416</v>
      </c>
      <c r="G12" s="23">
        <f>D11/D7-1</f>
        <v>4.9382716049382713E-2</v>
      </c>
    </row>
    <row r="14" spans="1:9" x14ac:dyDescent="0.2">
      <c r="A14" s="22" t="s">
        <v>417</v>
      </c>
    </row>
    <row r="15" spans="1:9" ht="30" x14ac:dyDescent="0.2">
      <c r="A15" s="4" t="s">
        <v>409</v>
      </c>
      <c r="B15" s="4" t="s">
        <v>418</v>
      </c>
      <c r="C15" s="4" t="s">
        <v>419</v>
      </c>
      <c r="D15" s="4" t="s">
        <v>420</v>
      </c>
      <c r="E15" s="4" t="s">
        <v>421</v>
      </c>
    </row>
    <row r="16" spans="1:9" x14ac:dyDescent="0.2">
      <c r="A16" s="5" t="s">
        <v>5</v>
      </c>
      <c r="B16" s="8">
        <v>48.6</v>
      </c>
      <c r="C16" s="5">
        <v>2</v>
      </c>
      <c r="D16" s="5" t="s">
        <v>467</v>
      </c>
      <c r="E16" s="5" t="s">
        <v>422</v>
      </c>
    </row>
    <row r="17" spans="1:5" x14ac:dyDescent="0.2">
      <c r="A17" s="5" t="s">
        <v>7</v>
      </c>
      <c r="B17" s="8">
        <v>48.6</v>
      </c>
      <c r="C17" s="5">
        <v>3.1</v>
      </c>
      <c r="D17" s="5" t="s">
        <v>467</v>
      </c>
      <c r="E17" s="5" t="s">
        <v>422</v>
      </c>
    </row>
    <row r="18" spans="1:5" x14ac:dyDescent="0.2">
      <c r="A18" s="5" t="s">
        <v>8</v>
      </c>
      <c r="B18" s="8">
        <v>48.6</v>
      </c>
      <c r="C18" s="5">
        <v>2.2000000000000002</v>
      </c>
      <c r="D18" s="5" t="s">
        <v>467</v>
      </c>
      <c r="E18" s="5" t="s">
        <v>422</v>
      </c>
    </row>
    <row r="19" spans="1:5" x14ac:dyDescent="0.2">
      <c r="A19" s="5" t="s">
        <v>10</v>
      </c>
      <c r="B19" s="8">
        <v>48.6</v>
      </c>
      <c r="C19" s="5"/>
      <c r="D19" s="5" t="s">
        <v>468</v>
      </c>
      <c r="E19" s="5" t="s">
        <v>427</v>
      </c>
    </row>
    <row r="20" spans="1:5" x14ac:dyDescent="0.2">
      <c r="A20" s="5" t="s">
        <v>10</v>
      </c>
      <c r="B20" s="8">
        <v>51</v>
      </c>
      <c r="C20" s="5">
        <v>1.1000000000000001</v>
      </c>
      <c r="D20" s="5" t="s">
        <v>468</v>
      </c>
      <c r="E20" s="5" t="s">
        <v>427</v>
      </c>
    </row>
    <row r="21" spans="1:5" x14ac:dyDescent="0.2">
      <c r="A21" s="5" t="s">
        <v>11</v>
      </c>
      <c r="B21" s="8">
        <v>51</v>
      </c>
      <c r="C21" s="5">
        <v>1.1000000000000001</v>
      </c>
      <c r="D21" s="5" t="s">
        <v>468</v>
      </c>
      <c r="E21" s="5" t="s">
        <v>423</v>
      </c>
    </row>
  </sheetData>
  <mergeCells count="1">
    <mergeCell ref="A4:G4"/>
  </mergeCells>
  <hyperlinks>
    <hyperlink ref="I1" r:id="rId1" location="'RESUMEN%20SUBIDAS'!A1" xr:uid="{00000000-0004-0000-11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15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60</v>
      </c>
      <c r="I1" s="21" t="s">
        <v>405</v>
      </c>
    </row>
    <row r="2" spans="1:9" x14ac:dyDescent="0.2">
      <c r="A2" s="22" t="s">
        <v>448</v>
      </c>
    </row>
    <row r="3" spans="1:9" x14ac:dyDescent="0.2">
      <c r="A3" s="3" t="s">
        <v>469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COUNTIF($A$13:$A$15,A7)</f>
        <v>2</v>
      </c>
      <c r="C7" s="8">
        <f>_xlfn.MINIFS($B$13:$B$15,$A$13:$A$15,A7)</f>
        <v>20.78</v>
      </c>
      <c r="D7" s="8">
        <f>AVERAGEIF($A$13:$A$15,A7,$B$13:$B$15)</f>
        <v>20.78</v>
      </c>
      <c r="E7" s="8">
        <f>_xlfn.MAXIFS($B$13:$B$15,$A$13:$A$15,A7)</f>
        <v>20.78</v>
      </c>
      <c r="F7" s="16"/>
      <c r="G7" s="16"/>
    </row>
    <row r="8" spans="1:9" x14ac:dyDescent="0.2">
      <c r="A8" s="5" t="s">
        <v>11</v>
      </c>
      <c r="B8" s="5">
        <f>COUNTIF($A$13:$A$15,A8)</f>
        <v>1</v>
      </c>
      <c r="C8" s="8">
        <f>_xlfn.MINIFS($B$13:$B$15,$A$13:$A$15,A8)</f>
        <v>21.78</v>
      </c>
      <c r="D8" s="8">
        <f>AVERAGEIF($A$13:$A$15,A8,$B$13:$B$15)</f>
        <v>21.78</v>
      </c>
      <c r="E8" s="8">
        <f>_xlfn.MAXIFS($B$13:$B$15,$A$13:$A$15,A8)</f>
        <v>21.78</v>
      </c>
      <c r="F8" s="16">
        <f>D8/D7-1</f>
        <v>4.8123195380173289E-2</v>
      </c>
      <c r="G8" s="16">
        <f>D8/$D$7-1</f>
        <v>4.8123195380173289E-2</v>
      </c>
    </row>
    <row r="9" spans="1:9" x14ac:dyDescent="0.2">
      <c r="F9" s="22" t="s">
        <v>416</v>
      </c>
      <c r="G9" s="23">
        <f>D8/D7-1</f>
        <v>4.8123195380173289E-2</v>
      </c>
    </row>
    <row r="11" spans="1:9" x14ac:dyDescent="0.2">
      <c r="A11" s="22" t="s">
        <v>417</v>
      </c>
    </row>
    <row r="12" spans="1:9" ht="30" x14ac:dyDescent="0.2">
      <c r="A12" s="4" t="s">
        <v>409</v>
      </c>
      <c r="B12" s="4" t="s">
        <v>418</v>
      </c>
      <c r="C12" s="4" t="s">
        <v>419</v>
      </c>
      <c r="D12" s="4" t="s">
        <v>420</v>
      </c>
      <c r="E12" s="4" t="s">
        <v>421</v>
      </c>
    </row>
    <row r="13" spans="1:9" x14ac:dyDescent="0.2">
      <c r="A13" s="5" t="s">
        <v>4</v>
      </c>
      <c r="B13" s="8">
        <v>20.78</v>
      </c>
      <c r="C13" s="5">
        <v>6</v>
      </c>
      <c r="D13" s="5" t="s">
        <v>470</v>
      </c>
      <c r="E13" s="5" t="s">
        <v>422</v>
      </c>
    </row>
    <row r="14" spans="1:9" x14ac:dyDescent="0.2">
      <c r="A14" s="5" t="s">
        <v>4</v>
      </c>
      <c r="B14" s="8">
        <v>20.78</v>
      </c>
      <c r="C14" s="5">
        <v>4</v>
      </c>
      <c r="D14" s="5" t="s">
        <v>470</v>
      </c>
      <c r="E14" s="5" t="s">
        <v>422</v>
      </c>
    </row>
    <row r="15" spans="1:9" x14ac:dyDescent="0.2">
      <c r="A15" s="5" t="s">
        <v>11</v>
      </c>
      <c r="B15" s="8">
        <v>21.78</v>
      </c>
      <c r="C15" s="5">
        <v>4</v>
      </c>
      <c r="D15" s="5" t="s">
        <v>471</v>
      </c>
      <c r="E15" s="5" t="s">
        <v>423</v>
      </c>
    </row>
  </sheetData>
  <mergeCells count="1">
    <mergeCell ref="A4:G4"/>
  </mergeCells>
  <hyperlinks>
    <hyperlink ref="I1" r:id="rId1" location="'RESUMEN%20SUBIDAS'!A1" xr:uid="{00000000-0004-0000-12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18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63</v>
      </c>
      <c r="I1" s="21" t="s">
        <v>405</v>
      </c>
    </row>
    <row r="2" spans="1:9" x14ac:dyDescent="0.2">
      <c r="A2" s="22" t="s">
        <v>472</v>
      </c>
    </row>
    <row r="3" spans="1:9" x14ac:dyDescent="0.2">
      <c r="A3" s="3" t="s">
        <v>473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COUNTIF($A$15:$A$18,A7)</f>
        <v>1</v>
      </c>
      <c r="C7" s="8">
        <f>_xlfn.MINIFS($B$15:$B$18,$A$15:$A$18,A7)</f>
        <v>4.22</v>
      </c>
      <c r="D7" s="8">
        <f>AVERAGEIF($A$15:$A$18,A7,$B$15:$B$18)</f>
        <v>4.22</v>
      </c>
      <c r="E7" s="8">
        <f>_xlfn.MAXIFS($B$15:$B$18,$A$15:$A$18,A7)</f>
        <v>4.22</v>
      </c>
      <c r="F7" s="16"/>
      <c r="G7" s="16"/>
    </row>
    <row r="8" spans="1:9" x14ac:dyDescent="0.2">
      <c r="A8" s="5" t="s">
        <v>5</v>
      </c>
      <c r="B8" s="5">
        <f>COUNTIF($A$15:$A$18,A8)</f>
        <v>1</v>
      </c>
      <c r="C8" s="8">
        <f>_xlfn.MINIFS($B$15:$B$18,$A$15:$A$18,A8)</f>
        <v>4.42</v>
      </c>
      <c r="D8" s="8">
        <f>AVERAGEIF($A$15:$A$18,A8,$B$15:$B$18)</f>
        <v>4.42</v>
      </c>
      <c r="E8" s="8">
        <f>_xlfn.MAXIFS($B$15:$B$18,$A$15:$A$18,A8)</f>
        <v>4.42</v>
      </c>
      <c r="F8" s="16">
        <f>D8/D7-1</f>
        <v>4.7393364928909998E-2</v>
      </c>
      <c r="G8" s="16">
        <f>D8/$D$7-1</f>
        <v>4.7393364928909998E-2</v>
      </c>
    </row>
    <row r="9" spans="1:9" x14ac:dyDescent="0.2">
      <c r="A9" s="5" t="s">
        <v>8</v>
      </c>
      <c r="B9" s="5">
        <f>COUNTIF($A$15:$A$18,A9)</f>
        <v>1</v>
      </c>
      <c r="C9" s="8">
        <f>_xlfn.MINIFS($B$15:$B$18,$A$15:$A$18,A9)</f>
        <v>4.42</v>
      </c>
      <c r="D9" s="8">
        <f>AVERAGEIF($A$15:$A$18,A9,$B$15:$B$18)</f>
        <v>4.42</v>
      </c>
      <c r="E9" s="8">
        <f>_xlfn.MAXIFS($B$15:$B$18,$A$15:$A$18,A9)</f>
        <v>4.42</v>
      </c>
      <c r="F9" s="16">
        <f>D9/D8-1</f>
        <v>0</v>
      </c>
      <c r="G9" s="16">
        <f>D9/$D$7-1</f>
        <v>4.7393364928909998E-2</v>
      </c>
    </row>
    <row r="10" spans="1:9" x14ac:dyDescent="0.2">
      <c r="A10" s="5" t="s">
        <v>11</v>
      </c>
      <c r="B10" s="5">
        <f>COUNTIF($A$15:$A$18,A10)</f>
        <v>1</v>
      </c>
      <c r="C10" s="8">
        <f>_xlfn.MINIFS($B$15:$B$18,$A$15:$A$18,A10)</f>
        <v>4.42</v>
      </c>
      <c r="D10" s="8">
        <f>AVERAGEIF($A$15:$A$18,A10,$B$15:$B$18)</f>
        <v>4.42</v>
      </c>
      <c r="E10" s="8">
        <f>_xlfn.MAXIFS($B$15:$B$18,$A$15:$A$18,A10)</f>
        <v>4.42</v>
      </c>
      <c r="F10" s="16">
        <f>D10/D9-1</f>
        <v>0</v>
      </c>
      <c r="G10" s="16">
        <f>D10/$D$7-1</f>
        <v>4.7393364928909998E-2</v>
      </c>
    </row>
    <row r="11" spans="1:9" x14ac:dyDescent="0.2">
      <c r="F11" s="22" t="s">
        <v>416</v>
      </c>
      <c r="G11" s="23">
        <f>D10/D7-1</f>
        <v>4.7393364928909998E-2</v>
      </c>
    </row>
    <row r="13" spans="1:9" x14ac:dyDescent="0.2">
      <c r="A13" s="22" t="s">
        <v>417</v>
      </c>
    </row>
    <row r="14" spans="1:9" ht="30" x14ac:dyDescent="0.2">
      <c r="A14" s="4" t="s">
        <v>409</v>
      </c>
      <c r="B14" s="4" t="s">
        <v>418</v>
      </c>
      <c r="C14" s="4" t="s">
        <v>419</v>
      </c>
      <c r="D14" s="4" t="s">
        <v>420</v>
      </c>
      <c r="E14" s="4" t="s">
        <v>421</v>
      </c>
    </row>
    <row r="15" spans="1:9" x14ac:dyDescent="0.2">
      <c r="A15" s="5" t="s">
        <v>4</v>
      </c>
      <c r="B15" s="8">
        <v>4.22</v>
      </c>
      <c r="C15" s="5">
        <v>12</v>
      </c>
      <c r="D15" s="5" t="s">
        <v>63</v>
      </c>
      <c r="E15" s="5" t="s">
        <v>422</v>
      </c>
    </row>
    <row r="16" spans="1:9" x14ac:dyDescent="0.2">
      <c r="A16" s="5" t="s">
        <v>5</v>
      </c>
      <c r="B16" s="8">
        <v>4.42</v>
      </c>
      <c r="C16" s="5">
        <v>24</v>
      </c>
      <c r="D16" s="5" t="s">
        <v>63</v>
      </c>
      <c r="E16" s="5" t="s">
        <v>422</v>
      </c>
    </row>
    <row r="17" spans="1:5" x14ac:dyDescent="0.2">
      <c r="A17" s="5" t="s">
        <v>8</v>
      </c>
      <c r="B17" s="8">
        <v>4.42</v>
      </c>
      <c r="C17" s="5">
        <v>12</v>
      </c>
      <c r="D17" s="5" t="s">
        <v>63</v>
      </c>
      <c r="E17" s="5" t="s">
        <v>422</v>
      </c>
    </row>
    <row r="18" spans="1:5" x14ac:dyDescent="0.2">
      <c r="A18" s="5" t="s">
        <v>11</v>
      </c>
      <c r="B18" s="8">
        <v>4.42</v>
      </c>
      <c r="C18" s="5"/>
      <c r="D18" s="5" t="s">
        <v>63</v>
      </c>
      <c r="E18" s="5" t="s">
        <v>423</v>
      </c>
    </row>
  </sheetData>
  <mergeCells count="1">
    <mergeCell ref="A4:G4"/>
  </mergeCells>
  <hyperlinks>
    <hyperlink ref="I1" r:id="rId1" location="'RESUMEN%20SUBIDAS'!A1" xr:uid="{00000000-0004-0000-13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8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66</v>
      </c>
      <c r="I1" s="21" t="s">
        <v>405</v>
      </c>
    </row>
    <row r="2" spans="1:9" x14ac:dyDescent="0.2">
      <c r="A2" s="22" t="s">
        <v>474</v>
      </c>
    </row>
    <row r="3" spans="1:9" x14ac:dyDescent="0.2">
      <c r="A3" s="3" t="s">
        <v>475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COUNTIF($A$15:$A$18,A7)</f>
        <v>1</v>
      </c>
      <c r="C7" s="8">
        <f>_xlfn.MINIFS($B$15:$B$18,$A$15:$A$18,A7)</f>
        <v>10.97</v>
      </c>
      <c r="D7" s="8">
        <f>AVERAGEIF($A$15:$A$18,A7,$B$15:$B$18)</f>
        <v>10.97</v>
      </c>
      <c r="E7" s="8">
        <f>_xlfn.MAXIFS($B$15:$B$18,$A$15:$A$18,A7)</f>
        <v>10.97</v>
      </c>
      <c r="F7" s="16"/>
      <c r="G7" s="16"/>
    </row>
    <row r="8" spans="1:9" x14ac:dyDescent="0.2">
      <c r="A8" s="5" t="s">
        <v>5</v>
      </c>
      <c r="B8" s="5">
        <f>COUNTIF($A$15:$A$18,A8)</f>
        <v>1</v>
      </c>
      <c r="C8" s="8">
        <f>_xlfn.MINIFS($B$15:$B$18,$A$15:$A$18,A8)</f>
        <v>10.97</v>
      </c>
      <c r="D8" s="8">
        <f>AVERAGEIF($A$15:$A$18,A8,$B$15:$B$18)</f>
        <v>10.97</v>
      </c>
      <c r="E8" s="8">
        <f>_xlfn.MAXIFS($B$15:$B$18,$A$15:$A$18,A8)</f>
        <v>10.97</v>
      </c>
      <c r="F8" s="16">
        <f>D8/D7-1</f>
        <v>0</v>
      </c>
      <c r="G8" s="16">
        <f>D8/$D$7-1</f>
        <v>0</v>
      </c>
    </row>
    <row r="9" spans="1:9" x14ac:dyDescent="0.2">
      <c r="A9" s="5" t="s">
        <v>7</v>
      </c>
      <c r="B9" s="5">
        <f>COUNTIF($A$15:$A$18,A9)</f>
        <v>1</v>
      </c>
      <c r="C9" s="8">
        <f>_xlfn.MINIFS($B$15:$B$18,$A$15:$A$18,A9)</f>
        <v>11.48</v>
      </c>
      <c r="D9" s="8">
        <f>AVERAGEIF($A$15:$A$18,A9,$B$15:$B$18)</f>
        <v>11.48</v>
      </c>
      <c r="E9" s="8">
        <f>_xlfn.MAXIFS($B$15:$B$18,$A$15:$A$18,A9)</f>
        <v>11.48</v>
      </c>
      <c r="F9" s="16">
        <f>D9/D8-1</f>
        <v>4.6490428441203324E-2</v>
      </c>
      <c r="G9" s="16">
        <f>D9/$D$7-1</f>
        <v>4.6490428441203324E-2</v>
      </c>
    </row>
    <row r="10" spans="1:9" x14ac:dyDescent="0.2">
      <c r="A10" s="5" t="s">
        <v>8</v>
      </c>
      <c r="B10" s="5">
        <f>COUNTIF($A$15:$A$18,A10)</f>
        <v>1</v>
      </c>
      <c r="C10" s="8">
        <f>_xlfn.MINIFS($B$15:$B$18,$A$15:$A$18,A10)</f>
        <v>11.48</v>
      </c>
      <c r="D10" s="8">
        <f>AVERAGEIF($A$15:$A$18,A10,$B$15:$B$18)</f>
        <v>11.48</v>
      </c>
      <c r="E10" s="8">
        <f>_xlfn.MAXIFS($B$15:$B$18,$A$15:$A$18,A10)</f>
        <v>11.48</v>
      </c>
      <c r="F10" s="16">
        <f>D10/D9-1</f>
        <v>0</v>
      </c>
      <c r="G10" s="16">
        <f>D10/$D$7-1</f>
        <v>4.6490428441203324E-2</v>
      </c>
    </row>
    <row r="11" spans="1:9" x14ac:dyDescent="0.2">
      <c r="F11" s="22" t="s">
        <v>416</v>
      </c>
      <c r="G11" s="23">
        <f>D10/D7-1</f>
        <v>4.6490428441203324E-2</v>
      </c>
    </row>
    <row r="13" spans="1:9" x14ac:dyDescent="0.2">
      <c r="A13" s="22" t="s">
        <v>417</v>
      </c>
    </row>
    <row r="14" spans="1:9" ht="30" x14ac:dyDescent="0.2">
      <c r="A14" s="4" t="s">
        <v>409</v>
      </c>
      <c r="B14" s="4" t="s">
        <v>418</v>
      </c>
      <c r="C14" s="4" t="s">
        <v>419</v>
      </c>
      <c r="D14" s="4" t="s">
        <v>420</v>
      </c>
      <c r="E14" s="4" t="s">
        <v>421</v>
      </c>
    </row>
    <row r="15" spans="1:9" x14ac:dyDescent="0.2">
      <c r="A15" s="5" t="s">
        <v>4</v>
      </c>
      <c r="B15" s="8">
        <v>10.97</v>
      </c>
      <c r="C15" s="5">
        <v>14</v>
      </c>
      <c r="D15" s="5" t="s">
        <v>66</v>
      </c>
      <c r="E15" s="5" t="s">
        <v>422</v>
      </c>
    </row>
    <row r="16" spans="1:9" x14ac:dyDescent="0.2">
      <c r="A16" s="5" t="s">
        <v>5</v>
      </c>
      <c r="B16" s="8">
        <v>10.97</v>
      </c>
      <c r="C16" s="5">
        <v>14</v>
      </c>
      <c r="D16" s="5" t="s">
        <v>66</v>
      </c>
      <c r="E16" s="5" t="s">
        <v>422</v>
      </c>
    </row>
    <row r="17" spans="1:5" x14ac:dyDescent="0.2">
      <c r="A17" s="5" t="s">
        <v>7</v>
      </c>
      <c r="B17" s="8">
        <v>11.48</v>
      </c>
      <c r="C17" s="5">
        <v>17</v>
      </c>
      <c r="D17" s="5" t="s">
        <v>66</v>
      </c>
      <c r="E17" s="5" t="s">
        <v>422</v>
      </c>
    </row>
    <row r="18" spans="1:5" x14ac:dyDescent="0.2">
      <c r="A18" s="5" t="s">
        <v>8</v>
      </c>
      <c r="B18" s="8">
        <v>11.48</v>
      </c>
      <c r="C18" s="5">
        <v>16</v>
      </c>
      <c r="D18" s="5" t="s">
        <v>66</v>
      </c>
      <c r="E18" s="5" t="s">
        <v>422</v>
      </c>
    </row>
  </sheetData>
  <mergeCells count="1">
    <mergeCell ref="A4:G4"/>
  </mergeCells>
  <hyperlinks>
    <hyperlink ref="I1" r:id="rId1" location="'RESUMEN%20SUBIDAS'!A1" xr:uid="{00000000-0004-0000-14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2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68</v>
      </c>
      <c r="I1" s="21" t="s">
        <v>405</v>
      </c>
    </row>
    <row r="2" spans="1:9" x14ac:dyDescent="0.2">
      <c r="A2" s="22" t="s">
        <v>428</v>
      </c>
    </row>
    <row r="3" spans="1:9" x14ac:dyDescent="0.2">
      <c r="A3" s="3" t="s">
        <v>476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 t="shared" ref="B7:B12" si="0">COUNTIF($A$17:$A$22,A7)</f>
        <v>1</v>
      </c>
      <c r="C7" s="8">
        <f t="shared" ref="C7:C12" si="1">_xlfn.MINIFS($B$17:$B$22,$A$17:$A$22,A7)</f>
        <v>27.46</v>
      </c>
      <c r="D7" s="8">
        <f t="shared" ref="D7:D12" si="2">AVERAGEIF($A$17:$A$22,A7,$B$17:$B$22)</f>
        <v>27.46</v>
      </c>
      <c r="E7" s="8">
        <f t="shared" ref="E7:E12" si="3">_xlfn.MAXIFS($B$17:$B$22,$A$17:$A$22,A7)</f>
        <v>27.46</v>
      </c>
      <c r="F7" s="16"/>
      <c r="G7" s="16"/>
    </row>
    <row r="8" spans="1:9" x14ac:dyDescent="0.2">
      <c r="A8" s="5" t="s">
        <v>5</v>
      </c>
      <c r="B8" s="5">
        <f t="shared" si="0"/>
        <v>1</v>
      </c>
      <c r="C8" s="8">
        <f t="shared" si="1"/>
        <v>27.46</v>
      </c>
      <c r="D8" s="8">
        <f t="shared" si="2"/>
        <v>27.46</v>
      </c>
      <c r="E8" s="8">
        <f t="shared" si="3"/>
        <v>27.46</v>
      </c>
      <c r="F8" s="16">
        <f>D8/D7-1</f>
        <v>0</v>
      </c>
      <c r="G8" s="16">
        <f>D8/$D$7-1</f>
        <v>0</v>
      </c>
    </row>
    <row r="9" spans="1:9" x14ac:dyDescent="0.2">
      <c r="A9" s="5" t="s">
        <v>7</v>
      </c>
      <c r="B9" s="5">
        <f t="shared" si="0"/>
        <v>1</v>
      </c>
      <c r="C9" s="8">
        <f t="shared" si="1"/>
        <v>28.66</v>
      </c>
      <c r="D9" s="8">
        <f t="shared" si="2"/>
        <v>28.66</v>
      </c>
      <c r="E9" s="8">
        <f t="shared" si="3"/>
        <v>28.66</v>
      </c>
      <c r="F9" s="16">
        <f>D9/D8-1</f>
        <v>4.3699927166787944E-2</v>
      </c>
      <c r="G9" s="16">
        <f>D9/$D$7-1</f>
        <v>4.3699927166787944E-2</v>
      </c>
    </row>
    <row r="10" spans="1:9" x14ac:dyDescent="0.2">
      <c r="A10" s="5" t="s">
        <v>8</v>
      </c>
      <c r="B10" s="5">
        <f t="shared" si="0"/>
        <v>1</v>
      </c>
      <c r="C10" s="8">
        <f t="shared" si="1"/>
        <v>28.66</v>
      </c>
      <c r="D10" s="8">
        <f t="shared" si="2"/>
        <v>28.66</v>
      </c>
      <c r="E10" s="8">
        <f t="shared" si="3"/>
        <v>28.66</v>
      </c>
      <c r="F10" s="16">
        <f>D10/D9-1</f>
        <v>0</v>
      </c>
      <c r="G10" s="16">
        <f>D10/$D$7-1</f>
        <v>4.3699927166787944E-2</v>
      </c>
    </row>
    <row r="11" spans="1:9" x14ac:dyDescent="0.2">
      <c r="A11" s="5" t="s">
        <v>10</v>
      </c>
      <c r="B11" s="5">
        <f t="shared" si="0"/>
        <v>1</v>
      </c>
      <c r="C11" s="8">
        <f t="shared" si="1"/>
        <v>28.66</v>
      </c>
      <c r="D11" s="8">
        <f t="shared" si="2"/>
        <v>28.66</v>
      </c>
      <c r="E11" s="8">
        <f t="shared" si="3"/>
        <v>28.66</v>
      </c>
      <c r="F11" s="16">
        <f>D11/D10-1</f>
        <v>0</v>
      </c>
      <c r="G11" s="16">
        <f>D11/$D$7-1</f>
        <v>4.3699927166787944E-2</v>
      </c>
    </row>
    <row r="12" spans="1:9" x14ac:dyDescent="0.2">
      <c r="A12" s="5" t="s">
        <v>11</v>
      </c>
      <c r="B12" s="5">
        <f t="shared" si="0"/>
        <v>1</v>
      </c>
      <c r="C12" s="8">
        <f t="shared" si="1"/>
        <v>28.66</v>
      </c>
      <c r="D12" s="8">
        <f t="shared" si="2"/>
        <v>28.66</v>
      </c>
      <c r="E12" s="8">
        <f t="shared" si="3"/>
        <v>28.66</v>
      </c>
      <c r="F12" s="16">
        <f>D12/D11-1</f>
        <v>0</v>
      </c>
      <c r="G12" s="16">
        <f>D12/$D$7-1</f>
        <v>4.3699927166787944E-2</v>
      </c>
    </row>
    <row r="13" spans="1:9" x14ac:dyDescent="0.2">
      <c r="F13" s="22" t="s">
        <v>416</v>
      </c>
      <c r="G13" s="23">
        <f>D12/D7-1</f>
        <v>4.3699927166787944E-2</v>
      </c>
    </row>
    <row r="15" spans="1:9" x14ac:dyDescent="0.2">
      <c r="A15" s="22" t="s">
        <v>417</v>
      </c>
    </row>
    <row r="16" spans="1:9" ht="30" x14ac:dyDescent="0.2">
      <c r="A16" s="4" t="s">
        <v>409</v>
      </c>
      <c r="B16" s="4" t="s">
        <v>418</v>
      </c>
      <c r="C16" s="4" t="s">
        <v>419</v>
      </c>
      <c r="D16" s="4" t="s">
        <v>420</v>
      </c>
      <c r="E16" s="4" t="s">
        <v>421</v>
      </c>
    </row>
    <row r="17" spans="1:5" x14ac:dyDescent="0.2">
      <c r="A17" s="5" t="s">
        <v>4</v>
      </c>
      <c r="B17" s="8">
        <v>27.46</v>
      </c>
      <c r="C17" s="5">
        <v>80</v>
      </c>
      <c r="D17" s="5" t="s">
        <v>477</v>
      </c>
      <c r="E17" s="5" t="s">
        <v>422</v>
      </c>
    </row>
    <row r="18" spans="1:5" x14ac:dyDescent="0.2">
      <c r="A18" s="5" t="s">
        <v>5</v>
      </c>
      <c r="B18" s="8">
        <v>27.46</v>
      </c>
      <c r="C18" s="5">
        <v>48</v>
      </c>
      <c r="D18" s="5" t="s">
        <v>477</v>
      </c>
      <c r="E18" s="5" t="s">
        <v>422</v>
      </c>
    </row>
    <row r="19" spans="1:5" x14ac:dyDescent="0.2">
      <c r="A19" s="5" t="s">
        <v>7</v>
      </c>
      <c r="B19" s="8">
        <v>28.66</v>
      </c>
      <c r="C19" s="5">
        <v>64</v>
      </c>
      <c r="D19" s="5" t="s">
        <v>477</v>
      </c>
      <c r="E19" s="5" t="s">
        <v>422</v>
      </c>
    </row>
    <row r="20" spans="1:5" x14ac:dyDescent="0.2">
      <c r="A20" s="5" t="s">
        <v>8</v>
      </c>
      <c r="B20" s="8">
        <v>28.66</v>
      </c>
      <c r="C20" s="5">
        <v>48</v>
      </c>
      <c r="D20" s="5" t="s">
        <v>477</v>
      </c>
      <c r="E20" s="5" t="s">
        <v>422</v>
      </c>
    </row>
    <row r="21" spans="1:5" x14ac:dyDescent="0.2">
      <c r="A21" s="5" t="s">
        <v>10</v>
      </c>
      <c r="B21" s="8">
        <v>28.66</v>
      </c>
      <c r="C21" s="5"/>
      <c r="D21" s="5" t="s">
        <v>478</v>
      </c>
      <c r="E21" s="5" t="s">
        <v>427</v>
      </c>
    </row>
    <row r="22" spans="1:5" x14ac:dyDescent="0.2">
      <c r="A22" s="5" t="s">
        <v>11</v>
      </c>
      <c r="B22" s="8">
        <v>28.66</v>
      </c>
      <c r="C22" s="5">
        <v>16</v>
      </c>
      <c r="D22" s="5" t="s">
        <v>478</v>
      </c>
      <c r="E22" s="5" t="s">
        <v>423</v>
      </c>
    </row>
  </sheetData>
  <mergeCells count="1">
    <mergeCell ref="A4:G4"/>
  </mergeCells>
  <hyperlinks>
    <hyperlink ref="I1" r:id="rId1" location="'RESUMEN%20SUBIDAS'!A1" xr:uid="{00000000-0004-0000-15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16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70</v>
      </c>
      <c r="I1" s="21" t="s">
        <v>405</v>
      </c>
    </row>
    <row r="2" spans="1:9" x14ac:dyDescent="0.2">
      <c r="A2" s="22" t="s">
        <v>439</v>
      </c>
    </row>
    <row r="3" spans="1:9" x14ac:dyDescent="0.2">
      <c r="A3" s="3" t="s">
        <v>479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COUNTIF($A$14:$A$16,A7)</f>
        <v>1</v>
      </c>
      <c r="C7" s="8">
        <f>_xlfn.MINIFS($B$14:$B$16,$A$14:$A$16,A7)</f>
        <v>7.15</v>
      </c>
      <c r="D7" s="8">
        <f>AVERAGEIF($A$14:$A$16,A7,$B$14:$B$16)</f>
        <v>7.15</v>
      </c>
      <c r="E7" s="8">
        <f>_xlfn.MAXIFS($B$14:$B$16,$A$14:$A$16,A7)</f>
        <v>7.15</v>
      </c>
      <c r="F7" s="16"/>
      <c r="G7" s="16"/>
    </row>
    <row r="8" spans="1:9" x14ac:dyDescent="0.2">
      <c r="A8" s="5" t="s">
        <v>5</v>
      </c>
      <c r="B8" s="5">
        <f>COUNTIF($A$14:$A$16,A8)</f>
        <v>1</v>
      </c>
      <c r="C8" s="8">
        <f>_xlfn.MINIFS($B$14:$B$16,$A$14:$A$16,A8)</f>
        <v>7.46</v>
      </c>
      <c r="D8" s="8">
        <f>AVERAGEIF($A$14:$A$16,A8,$B$14:$B$16)</f>
        <v>7.46</v>
      </c>
      <c r="E8" s="8">
        <f>_xlfn.MAXIFS($B$14:$B$16,$A$14:$A$16,A8)</f>
        <v>7.46</v>
      </c>
      <c r="F8" s="16">
        <f>D8/D7-1</f>
        <v>4.3356643356643243E-2</v>
      </c>
      <c r="G8" s="16">
        <f>D8/$D$7-1</f>
        <v>4.3356643356643243E-2</v>
      </c>
    </row>
    <row r="9" spans="1:9" x14ac:dyDescent="0.2">
      <c r="A9" s="5" t="s">
        <v>8</v>
      </c>
      <c r="B9" s="5">
        <f>COUNTIF($A$14:$A$16,A9)</f>
        <v>1</v>
      </c>
      <c r="C9" s="8">
        <f>_xlfn.MINIFS($B$14:$B$16,$A$14:$A$16,A9)</f>
        <v>7.46</v>
      </c>
      <c r="D9" s="8">
        <f>AVERAGEIF($A$14:$A$16,A9,$B$14:$B$16)</f>
        <v>7.46</v>
      </c>
      <c r="E9" s="8">
        <f>_xlfn.MAXIFS($B$14:$B$16,$A$14:$A$16,A9)</f>
        <v>7.46</v>
      </c>
      <c r="F9" s="16">
        <f>D9/D8-1</f>
        <v>0</v>
      </c>
      <c r="G9" s="16">
        <f>D9/$D$7-1</f>
        <v>4.3356643356643243E-2</v>
      </c>
    </row>
    <row r="10" spans="1:9" x14ac:dyDescent="0.2">
      <c r="F10" s="22" t="s">
        <v>416</v>
      </c>
      <c r="G10" s="23">
        <f>D9/D7-1</f>
        <v>4.3356643356643243E-2</v>
      </c>
    </row>
    <row r="12" spans="1:9" x14ac:dyDescent="0.2">
      <c r="A12" s="22" t="s">
        <v>417</v>
      </c>
    </row>
    <row r="13" spans="1:9" ht="30" x14ac:dyDescent="0.2">
      <c r="A13" s="4" t="s">
        <v>409</v>
      </c>
      <c r="B13" s="4" t="s">
        <v>418</v>
      </c>
      <c r="C13" s="4" t="s">
        <v>419</v>
      </c>
      <c r="D13" s="4" t="s">
        <v>420</v>
      </c>
      <c r="E13" s="4" t="s">
        <v>421</v>
      </c>
    </row>
    <row r="14" spans="1:9" x14ac:dyDescent="0.2">
      <c r="A14" s="5" t="s">
        <v>4</v>
      </c>
      <c r="B14" s="8">
        <v>7.15</v>
      </c>
      <c r="C14" s="5">
        <v>36</v>
      </c>
      <c r="D14" s="5" t="s">
        <v>70</v>
      </c>
      <c r="E14" s="5" t="s">
        <v>422</v>
      </c>
    </row>
    <row r="15" spans="1:9" x14ac:dyDescent="0.2">
      <c r="A15" s="5" t="s">
        <v>5</v>
      </c>
      <c r="B15" s="8">
        <v>7.46</v>
      </c>
      <c r="C15" s="5">
        <v>132</v>
      </c>
      <c r="D15" s="5" t="s">
        <v>70</v>
      </c>
      <c r="E15" s="5" t="s">
        <v>422</v>
      </c>
    </row>
    <row r="16" spans="1:9" x14ac:dyDescent="0.2">
      <c r="A16" s="5" t="s">
        <v>8</v>
      </c>
      <c r="B16" s="8">
        <v>7.46</v>
      </c>
      <c r="C16" s="5">
        <v>0</v>
      </c>
      <c r="D16" s="5" t="s">
        <v>70</v>
      </c>
      <c r="E16" s="5" t="s">
        <v>422</v>
      </c>
    </row>
  </sheetData>
  <mergeCells count="1">
    <mergeCell ref="A4:G4"/>
  </mergeCells>
  <hyperlinks>
    <hyperlink ref="I1" r:id="rId1" location="'RESUMEN%20SUBIDAS'!A1" xr:uid="{00000000-0004-0000-16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15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72</v>
      </c>
      <c r="I1" s="21" t="s">
        <v>405</v>
      </c>
    </row>
    <row r="2" spans="1:9" x14ac:dyDescent="0.2">
      <c r="A2" s="22" t="s">
        <v>448</v>
      </c>
    </row>
    <row r="3" spans="1:9" x14ac:dyDescent="0.2">
      <c r="A3" s="3" t="s">
        <v>480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COUNTIF($A$13:$A$15,A7)</f>
        <v>2</v>
      </c>
      <c r="C7" s="8">
        <f>_xlfn.MINIFS($B$13:$B$15,$A$13:$A$15,A7)</f>
        <v>23.84</v>
      </c>
      <c r="D7" s="8">
        <f>AVERAGEIF($A$13:$A$15,A7,$B$13:$B$15)</f>
        <v>23.84</v>
      </c>
      <c r="E7" s="8">
        <f>_xlfn.MAXIFS($B$13:$B$15,$A$13:$A$15,A7)</f>
        <v>23.84</v>
      </c>
      <c r="F7" s="16"/>
      <c r="G7" s="16"/>
    </row>
    <row r="8" spans="1:9" x14ac:dyDescent="0.2">
      <c r="A8" s="5" t="s">
        <v>11</v>
      </c>
      <c r="B8" s="5">
        <f>COUNTIF($A$13:$A$15,A8)</f>
        <v>1</v>
      </c>
      <c r="C8" s="8">
        <f>_xlfn.MINIFS($B$13:$B$15,$A$13:$A$15,A8)</f>
        <v>24.84</v>
      </c>
      <c r="D8" s="8">
        <f>AVERAGEIF($A$13:$A$15,A8,$B$13:$B$15)</f>
        <v>24.84</v>
      </c>
      <c r="E8" s="8">
        <f>_xlfn.MAXIFS($B$13:$B$15,$A$13:$A$15,A8)</f>
        <v>24.84</v>
      </c>
      <c r="F8" s="16">
        <f>D8/D7-1</f>
        <v>4.1946308724832182E-2</v>
      </c>
      <c r="G8" s="16">
        <f>D8/$D$7-1</f>
        <v>4.1946308724832182E-2</v>
      </c>
    </row>
    <row r="9" spans="1:9" x14ac:dyDescent="0.2">
      <c r="F9" s="22" t="s">
        <v>416</v>
      </c>
      <c r="G9" s="23">
        <f>D8/D7-1</f>
        <v>4.1946308724832182E-2</v>
      </c>
    </row>
    <row r="11" spans="1:9" x14ac:dyDescent="0.2">
      <c r="A11" s="22" t="s">
        <v>417</v>
      </c>
    </row>
    <row r="12" spans="1:9" ht="30" x14ac:dyDescent="0.2">
      <c r="A12" s="4" t="s">
        <v>409</v>
      </c>
      <c r="B12" s="4" t="s">
        <v>418</v>
      </c>
      <c r="C12" s="4" t="s">
        <v>419</v>
      </c>
      <c r="D12" s="4" t="s">
        <v>420</v>
      </c>
      <c r="E12" s="4" t="s">
        <v>421</v>
      </c>
    </row>
    <row r="13" spans="1:9" x14ac:dyDescent="0.2">
      <c r="A13" s="5" t="s">
        <v>4</v>
      </c>
      <c r="B13" s="8">
        <v>23.84</v>
      </c>
      <c r="C13" s="5">
        <v>3</v>
      </c>
      <c r="D13" s="5" t="s">
        <v>481</v>
      </c>
      <c r="E13" s="5" t="s">
        <v>422</v>
      </c>
    </row>
    <row r="14" spans="1:9" x14ac:dyDescent="0.2">
      <c r="A14" s="5" t="s">
        <v>4</v>
      </c>
      <c r="B14" s="8">
        <v>23.84</v>
      </c>
      <c r="C14" s="5">
        <v>5</v>
      </c>
      <c r="D14" s="5" t="s">
        <v>481</v>
      </c>
      <c r="E14" s="5" t="s">
        <v>422</v>
      </c>
    </row>
    <row r="15" spans="1:9" x14ac:dyDescent="0.2">
      <c r="A15" s="5" t="s">
        <v>11</v>
      </c>
      <c r="B15" s="8">
        <v>24.84</v>
      </c>
      <c r="C15" s="5">
        <v>5</v>
      </c>
      <c r="D15" s="5" t="s">
        <v>482</v>
      </c>
      <c r="E15" s="5" t="s">
        <v>423</v>
      </c>
    </row>
  </sheetData>
  <mergeCells count="1">
    <mergeCell ref="A4:G4"/>
  </mergeCells>
  <hyperlinks>
    <hyperlink ref="I1" r:id="rId1" location="'RESUMEN%20SUBIDAS'!A1" xr:uid="{00000000-0004-0000-17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18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74</v>
      </c>
      <c r="I1" s="21" t="s">
        <v>405</v>
      </c>
    </row>
    <row r="2" spans="1:9" x14ac:dyDescent="0.2">
      <c r="A2" s="22" t="s">
        <v>441</v>
      </c>
    </row>
    <row r="3" spans="1:9" x14ac:dyDescent="0.2">
      <c r="A3" s="3" t="s">
        <v>483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COUNTIF($A$15:$A$18,A7)</f>
        <v>1</v>
      </c>
      <c r="C7" s="8">
        <f>_xlfn.MINIFS($B$15:$B$18,$A$15:$A$18,A7)</f>
        <v>23.64</v>
      </c>
      <c r="D7" s="8">
        <f>AVERAGEIF($A$15:$A$18,A7,$B$15:$B$18)</f>
        <v>23.64</v>
      </c>
      <c r="E7" s="8">
        <f>_xlfn.MAXIFS($B$15:$B$18,$A$15:$A$18,A7)</f>
        <v>23.64</v>
      </c>
      <c r="F7" s="16"/>
      <c r="G7" s="16"/>
    </row>
    <row r="8" spans="1:9" x14ac:dyDescent="0.2">
      <c r="A8" s="5" t="s">
        <v>5</v>
      </c>
      <c r="B8" s="5">
        <f>COUNTIF($A$15:$A$18,A8)</f>
        <v>1</v>
      </c>
      <c r="C8" s="8">
        <f>_xlfn.MINIFS($B$15:$B$18,$A$15:$A$18,A8)</f>
        <v>24.61</v>
      </c>
      <c r="D8" s="8">
        <f>AVERAGEIF($A$15:$A$18,A8,$B$15:$B$18)</f>
        <v>24.61</v>
      </c>
      <c r="E8" s="8">
        <f>_xlfn.MAXIFS($B$15:$B$18,$A$15:$A$18,A8)</f>
        <v>24.61</v>
      </c>
      <c r="F8" s="16">
        <f>D8/D7-1</f>
        <v>4.1032148900169263E-2</v>
      </c>
      <c r="G8" s="16">
        <f>D8/$D$7-1</f>
        <v>4.1032148900169263E-2</v>
      </c>
    </row>
    <row r="9" spans="1:9" x14ac:dyDescent="0.2">
      <c r="A9" s="5" t="s">
        <v>8</v>
      </c>
      <c r="B9" s="5">
        <f>COUNTIF($A$15:$A$18,A9)</f>
        <v>1</v>
      </c>
      <c r="C9" s="8">
        <f>_xlfn.MINIFS($B$15:$B$18,$A$15:$A$18,A9)</f>
        <v>24.61</v>
      </c>
      <c r="D9" s="8">
        <f>AVERAGEIF($A$15:$A$18,A9,$B$15:$B$18)</f>
        <v>24.61</v>
      </c>
      <c r="E9" s="8">
        <f>_xlfn.MAXIFS($B$15:$B$18,$A$15:$A$18,A9)</f>
        <v>24.61</v>
      </c>
      <c r="F9" s="16">
        <f>D9/D8-1</f>
        <v>0</v>
      </c>
      <c r="G9" s="16">
        <f>D9/$D$7-1</f>
        <v>4.1032148900169263E-2</v>
      </c>
    </row>
    <row r="10" spans="1:9" x14ac:dyDescent="0.2">
      <c r="A10" s="5" t="s">
        <v>10</v>
      </c>
      <c r="B10" s="5">
        <f>COUNTIF($A$15:$A$18,A10)</f>
        <v>1</v>
      </c>
      <c r="C10" s="8">
        <f>_xlfn.MINIFS($B$15:$B$18,$A$15:$A$18,A10)</f>
        <v>24.61</v>
      </c>
      <c r="D10" s="8">
        <f>AVERAGEIF($A$15:$A$18,A10,$B$15:$B$18)</f>
        <v>24.61</v>
      </c>
      <c r="E10" s="8">
        <f>_xlfn.MAXIFS($B$15:$B$18,$A$15:$A$18,A10)</f>
        <v>24.61</v>
      </c>
      <c r="F10" s="16">
        <f>D10/D9-1</f>
        <v>0</v>
      </c>
      <c r="G10" s="16">
        <f>D10/$D$7-1</f>
        <v>4.1032148900169263E-2</v>
      </c>
    </row>
    <row r="11" spans="1:9" x14ac:dyDescent="0.2">
      <c r="F11" s="22" t="s">
        <v>416</v>
      </c>
      <c r="G11" s="23">
        <f>D10/D7-1</f>
        <v>4.1032148900169263E-2</v>
      </c>
    </row>
    <row r="13" spans="1:9" x14ac:dyDescent="0.2">
      <c r="A13" s="22" t="s">
        <v>417</v>
      </c>
    </row>
    <row r="14" spans="1:9" ht="30" x14ac:dyDescent="0.2">
      <c r="A14" s="4" t="s">
        <v>409</v>
      </c>
      <c r="B14" s="4" t="s">
        <v>418</v>
      </c>
      <c r="C14" s="4" t="s">
        <v>419</v>
      </c>
      <c r="D14" s="4" t="s">
        <v>420</v>
      </c>
      <c r="E14" s="4" t="s">
        <v>421</v>
      </c>
    </row>
    <row r="15" spans="1:9" x14ac:dyDescent="0.2">
      <c r="A15" s="5" t="s">
        <v>4</v>
      </c>
      <c r="B15" s="8">
        <v>23.64</v>
      </c>
      <c r="C15" s="5">
        <v>8</v>
      </c>
      <c r="D15" s="5" t="s">
        <v>484</v>
      </c>
      <c r="E15" s="5" t="s">
        <v>422</v>
      </c>
    </row>
    <row r="16" spans="1:9" x14ac:dyDescent="0.2">
      <c r="A16" s="5" t="s">
        <v>5</v>
      </c>
      <c r="B16" s="8">
        <v>24.61</v>
      </c>
      <c r="C16" s="5">
        <v>7</v>
      </c>
      <c r="D16" s="5" t="s">
        <v>484</v>
      </c>
      <c r="E16" s="5" t="s">
        <v>422</v>
      </c>
    </row>
    <row r="17" spans="1:5" x14ac:dyDescent="0.2">
      <c r="A17" s="5" t="s">
        <v>8</v>
      </c>
      <c r="B17" s="8">
        <v>24.61</v>
      </c>
      <c r="C17" s="5">
        <v>19</v>
      </c>
      <c r="D17" s="5" t="s">
        <v>484</v>
      </c>
      <c r="E17" s="5" t="s">
        <v>422</v>
      </c>
    </row>
    <row r="18" spans="1:5" x14ac:dyDescent="0.2">
      <c r="A18" s="5" t="s">
        <v>10</v>
      </c>
      <c r="B18" s="8">
        <v>24.61</v>
      </c>
      <c r="C18" s="5">
        <v>17</v>
      </c>
      <c r="D18" s="5" t="s">
        <v>484</v>
      </c>
      <c r="E18" s="5" t="s">
        <v>427</v>
      </c>
    </row>
  </sheetData>
  <mergeCells count="1">
    <mergeCell ref="A4:G4"/>
  </mergeCells>
  <hyperlinks>
    <hyperlink ref="I1" r:id="rId1" location="'RESUMEN%20SUBIDAS'!A1" xr:uid="{00000000-0004-0000-18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18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76</v>
      </c>
      <c r="I1" s="21" t="s">
        <v>405</v>
      </c>
    </row>
    <row r="2" spans="1:9" x14ac:dyDescent="0.2">
      <c r="A2" s="22" t="s">
        <v>441</v>
      </c>
    </row>
    <row r="3" spans="1:9" x14ac:dyDescent="0.2">
      <c r="A3" s="3" t="s">
        <v>485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COUNTIF($A$15:$A$18,A7)</f>
        <v>1</v>
      </c>
      <c r="C7" s="8">
        <f>_xlfn.MINIFS($B$15:$B$18,$A$15:$A$18,A7)</f>
        <v>20.64</v>
      </c>
      <c r="D7" s="8">
        <f>AVERAGEIF($A$15:$A$18,A7,$B$15:$B$18)</f>
        <v>20.64</v>
      </c>
      <c r="E7" s="8">
        <f>_xlfn.MAXIFS($B$15:$B$18,$A$15:$A$18,A7)</f>
        <v>20.64</v>
      </c>
      <c r="F7" s="16"/>
      <c r="G7" s="16"/>
    </row>
    <row r="8" spans="1:9" x14ac:dyDescent="0.2">
      <c r="A8" s="5" t="s">
        <v>5</v>
      </c>
      <c r="B8" s="5">
        <f>COUNTIF($A$15:$A$18,A8)</f>
        <v>1</v>
      </c>
      <c r="C8" s="8">
        <f>_xlfn.MINIFS($B$15:$B$18,$A$15:$A$18,A8)</f>
        <v>21.48</v>
      </c>
      <c r="D8" s="8">
        <f>AVERAGEIF($A$15:$A$18,A8,$B$15:$B$18)</f>
        <v>21.48</v>
      </c>
      <c r="E8" s="8">
        <f>_xlfn.MAXIFS($B$15:$B$18,$A$15:$A$18,A8)</f>
        <v>21.48</v>
      </c>
      <c r="F8" s="16">
        <f>D8/D7-1</f>
        <v>4.0697674418604723E-2</v>
      </c>
      <c r="G8" s="16">
        <f>D8/$D$7-1</f>
        <v>4.0697674418604723E-2</v>
      </c>
    </row>
    <row r="9" spans="1:9" x14ac:dyDescent="0.2">
      <c r="A9" s="5" t="s">
        <v>8</v>
      </c>
      <c r="B9" s="5">
        <f>COUNTIF($A$15:$A$18,A9)</f>
        <v>1</v>
      </c>
      <c r="C9" s="8">
        <f>_xlfn.MINIFS($B$15:$B$18,$A$15:$A$18,A9)</f>
        <v>21.48</v>
      </c>
      <c r="D9" s="8">
        <f>AVERAGEIF($A$15:$A$18,A9,$B$15:$B$18)</f>
        <v>21.48</v>
      </c>
      <c r="E9" s="8">
        <f>_xlfn.MAXIFS($B$15:$B$18,$A$15:$A$18,A9)</f>
        <v>21.48</v>
      </c>
      <c r="F9" s="16">
        <f>D9/D8-1</f>
        <v>0</v>
      </c>
      <c r="G9" s="16">
        <f>D9/$D$7-1</f>
        <v>4.0697674418604723E-2</v>
      </c>
    </row>
    <row r="10" spans="1:9" x14ac:dyDescent="0.2">
      <c r="A10" s="5" t="s">
        <v>10</v>
      </c>
      <c r="B10" s="5">
        <f>COUNTIF($A$15:$A$18,A10)</f>
        <v>1</v>
      </c>
      <c r="C10" s="8">
        <f>_xlfn.MINIFS($B$15:$B$18,$A$15:$A$18,A10)</f>
        <v>21.48</v>
      </c>
      <c r="D10" s="8">
        <f>AVERAGEIF($A$15:$A$18,A10,$B$15:$B$18)</f>
        <v>21.48</v>
      </c>
      <c r="E10" s="8">
        <f>_xlfn.MAXIFS($B$15:$B$18,$A$15:$A$18,A10)</f>
        <v>21.48</v>
      </c>
      <c r="F10" s="16">
        <f>D10/D9-1</f>
        <v>0</v>
      </c>
      <c r="G10" s="16">
        <f>D10/$D$7-1</f>
        <v>4.0697674418604723E-2</v>
      </c>
    </row>
    <row r="11" spans="1:9" x14ac:dyDescent="0.2">
      <c r="F11" s="22" t="s">
        <v>416</v>
      </c>
      <c r="G11" s="23">
        <f>D10/D7-1</f>
        <v>4.0697674418604723E-2</v>
      </c>
    </row>
    <row r="13" spans="1:9" x14ac:dyDescent="0.2">
      <c r="A13" s="22" t="s">
        <v>417</v>
      </c>
    </row>
    <row r="14" spans="1:9" ht="30" x14ac:dyDescent="0.2">
      <c r="A14" s="4" t="s">
        <v>409</v>
      </c>
      <c r="B14" s="4" t="s">
        <v>418</v>
      </c>
      <c r="C14" s="4" t="s">
        <v>419</v>
      </c>
      <c r="D14" s="4" t="s">
        <v>420</v>
      </c>
      <c r="E14" s="4" t="s">
        <v>421</v>
      </c>
    </row>
    <row r="15" spans="1:9" x14ac:dyDescent="0.2">
      <c r="A15" s="5" t="s">
        <v>4</v>
      </c>
      <c r="B15" s="8">
        <v>20.64</v>
      </c>
      <c r="C15" s="5">
        <v>3</v>
      </c>
      <c r="D15" s="5" t="s">
        <v>486</v>
      </c>
      <c r="E15" s="5" t="s">
        <v>422</v>
      </c>
    </row>
    <row r="16" spans="1:9" x14ac:dyDescent="0.2">
      <c r="A16" s="5" t="s">
        <v>5</v>
      </c>
      <c r="B16" s="8">
        <v>21.48</v>
      </c>
      <c r="C16" s="5">
        <v>1</v>
      </c>
      <c r="D16" s="5" t="s">
        <v>486</v>
      </c>
      <c r="E16" s="5" t="s">
        <v>422</v>
      </c>
    </row>
    <row r="17" spans="1:5" x14ac:dyDescent="0.2">
      <c r="A17" s="5" t="s">
        <v>8</v>
      </c>
      <c r="B17" s="8">
        <v>21.48</v>
      </c>
      <c r="C17" s="5">
        <v>6</v>
      </c>
      <c r="D17" s="5" t="s">
        <v>486</v>
      </c>
      <c r="E17" s="5" t="s">
        <v>422</v>
      </c>
    </row>
    <row r="18" spans="1:5" x14ac:dyDescent="0.2">
      <c r="A18" s="5" t="s">
        <v>10</v>
      </c>
      <c r="B18" s="8">
        <v>21.48</v>
      </c>
      <c r="C18" s="5">
        <v>3</v>
      </c>
      <c r="D18" s="5" t="s">
        <v>486</v>
      </c>
      <c r="E18" s="5" t="s">
        <v>427</v>
      </c>
    </row>
  </sheetData>
  <mergeCells count="1">
    <mergeCell ref="A4:G4"/>
  </mergeCells>
  <hyperlinks>
    <hyperlink ref="I1" r:id="rId1" location="'RESUMEN%20SUBIDAS'!A1" xr:uid="{00000000-0004-0000-19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22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78</v>
      </c>
      <c r="I1" s="21" t="s">
        <v>405</v>
      </c>
    </row>
    <row r="2" spans="1:9" x14ac:dyDescent="0.2">
      <c r="A2" s="22" t="s">
        <v>474</v>
      </c>
    </row>
    <row r="3" spans="1:9" x14ac:dyDescent="0.2">
      <c r="A3" s="3" t="s">
        <v>487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 t="shared" ref="B7:B12" si="0">COUNTIF($A$17:$A$22,A7)</f>
        <v>1</v>
      </c>
      <c r="C7" s="8">
        <f t="shared" ref="C7:C12" si="1">_xlfn.MINIFS($B$17:$B$22,$A$17:$A$22,A7)</f>
        <v>84.7</v>
      </c>
      <c r="D7" s="8">
        <f t="shared" ref="D7:D12" si="2">AVERAGEIF($A$17:$A$22,A7,$B$17:$B$22)</f>
        <v>84.7</v>
      </c>
      <c r="E7" s="8">
        <f t="shared" ref="E7:E12" si="3">_xlfn.MAXIFS($B$17:$B$22,$A$17:$A$22,A7)</f>
        <v>84.7</v>
      </c>
      <c r="F7" s="16"/>
      <c r="G7" s="16"/>
    </row>
    <row r="8" spans="1:9" x14ac:dyDescent="0.2">
      <c r="A8" s="5" t="s">
        <v>5</v>
      </c>
      <c r="B8" s="5">
        <f t="shared" si="0"/>
        <v>1</v>
      </c>
      <c r="C8" s="8">
        <f t="shared" si="1"/>
        <v>84.7</v>
      </c>
      <c r="D8" s="8">
        <f t="shared" si="2"/>
        <v>84.7</v>
      </c>
      <c r="E8" s="8">
        <f t="shared" si="3"/>
        <v>84.7</v>
      </c>
      <c r="F8" s="16">
        <f>D8/D7-1</f>
        <v>0</v>
      </c>
      <c r="G8" s="16">
        <f>D8/$D$7-1</f>
        <v>0</v>
      </c>
    </row>
    <row r="9" spans="1:9" x14ac:dyDescent="0.2">
      <c r="A9" s="5" t="s">
        <v>7</v>
      </c>
      <c r="B9" s="5">
        <f t="shared" si="0"/>
        <v>1</v>
      </c>
      <c r="C9" s="8">
        <f t="shared" si="1"/>
        <v>88.09</v>
      </c>
      <c r="D9" s="8">
        <f t="shared" si="2"/>
        <v>88.09</v>
      </c>
      <c r="E9" s="8">
        <f t="shared" si="3"/>
        <v>88.09</v>
      </c>
      <c r="F9" s="16">
        <f>D9/D8-1</f>
        <v>4.0023612750885507E-2</v>
      </c>
      <c r="G9" s="16">
        <f>D9/$D$7-1</f>
        <v>4.0023612750885507E-2</v>
      </c>
    </row>
    <row r="10" spans="1:9" x14ac:dyDescent="0.2">
      <c r="A10" s="5" t="s">
        <v>8</v>
      </c>
      <c r="B10" s="5">
        <f t="shared" si="0"/>
        <v>1</v>
      </c>
      <c r="C10" s="8">
        <f t="shared" si="1"/>
        <v>88.09</v>
      </c>
      <c r="D10" s="8">
        <f t="shared" si="2"/>
        <v>88.09</v>
      </c>
      <c r="E10" s="8">
        <f t="shared" si="3"/>
        <v>88.09</v>
      </c>
      <c r="F10" s="16">
        <f>D10/D9-1</f>
        <v>0</v>
      </c>
      <c r="G10" s="16">
        <f>D10/$D$7-1</f>
        <v>4.0023612750885507E-2</v>
      </c>
    </row>
    <row r="11" spans="1:9" x14ac:dyDescent="0.2">
      <c r="A11" s="5" t="s">
        <v>10</v>
      </c>
      <c r="B11" s="5">
        <f t="shared" si="0"/>
        <v>1</v>
      </c>
      <c r="C11" s="8">
        <f t="shared" si="1"/>
        <v>88.09</v>
      </c>
      <c r="D11" s="8">
        <f t="shared" si="2"/>
        <v>88.09</v>
      </c>
      <c r="E11" s="8">
        <f t="shared" si="3"/>
        <v>88.09</v>
      </c>
      <c r="F11" s="16">
        <f>D11/D10-1</f>
        <v>0</v>
      </c>
      <c r="G11" s="16">
        <f>D11/$D$7-1</f>
        <v>4.0023612750885507E-2</v>
      </c>
    </row>
    <row r="12" spans="1:9" x14ac:dyDescent="0.2">
      <c r="A12" s="5" t="s">
        <v>11</v>
      </c>
      <c r="B12" s="5">
        <f t="shared" si="0"/>
        <v>1</v>
      </c>
      <c r="C12" s="8">
        <f t="shared" si="1"/>
        <v>88.09</v>
      </c>
      <c r="D12" s="8">
        <f t="shared" si="2"/>
        <v>88.09</v>
      </c>
      <c r="E12" s="8">
        <f t="shared" si="3"/>
        <v>88.09</v>
      </c>
      <c r="F12" s="16">
        <f>D12/D11-1</f>
        <v>0</v>
      </c>
      <c r="G12" s="16">
        <f>D12/$D$7-1</f>
        <v>4.0023612750885507E-2</v>
      </c>
    </row>
    <row r="13" spans="1:9" x14ac:dyDescent="0.2">
      <c r="F13" s="22" t="s">
        <v>416</v>
      </c>
      <c r="G13" s="23">
        <f>D12/D7-1</f>
        <v>4.0023612750885507E-2</v>
      </c>
    </row>
    <row r="15" spans="1:9" x14ac:dyDescent="0.2">
      <c r="A15" s="22" t="s">
        <v>417</v>
      </c>
    </row>
    <row r="16" spans="1:9" ht="30" x14ac:dyDescent="0.2">
      <c r="A16" s="4" t="s">
        <v>409</v>
      </c>
      <c r="B16" s="4" t="s">
        <v>418</v>
      </c>
      <c r="C16" s="4" t="s">
        <v>419</v>
      </c>
      <c r="D16" s="4" t="s">
        <v>420</v>
      </c>
      <c r="E16" s="4" t="s">
        <v>421</v>
      </c>
    </row>
    <row r="17" spans="1:5" x14ac:dyDescent="0.2">
      <c r="A17" s="5" t="s">
        <v>4</v>
      </c>
      <c r="B17" s="8">
        <v>84.7</v>
      </c>
      <c r="C17" s="5">
        <v>4</v>
      </c>
      <c r="D17" s="5" t="s">
        <v>488</v>
      </c>
      <c r="E17" s="5" t="s">
        <v>422</v>
      </c>
    </row>
    <row r="18" spans="1:5" x14ac:dyDescent="0.2">
      <c r="A18" s="5" t="s">
        <v>5</v>
      </c>
      <c r="B18" s="8">
        <v>84.7</v>
      </c>
      <c r="C18" s="5">
        <v>5</v>
      </c>
      <c r="D18" s="5" t="s">
        <v>488</v>
      </c>
      <c r="E18" s="5" t="s">
        <v>422</v>
      </c>
    </row>
    <row r="19" spans="1:5" x14ac:dyDescent="0.2">
      <c r="A19" s="5" t="s">
        <v>7</v>
      </c>
      <c r="B19" s="8">
        <v>88.09</v>
      </c>
      <c r="C19" s="5">
        <v>6</v>
      </c>
      <c r="D19" s="5" t="s">
        <v>488</v>
      </c>
      <c r="E19" s="5" t="s">
        <v>422</v>
      </c>
    </row>
    <row r="20" spans="1:5" x14ac:dyDescent="0.2">
      <c r="A20" s="5" t="s">
        <v>8</v>
      </c>
      <c r="B20" s="8">
        <v>88.09</v>
      </c>
      <c r="C20" s="5">
        <v>4</v>
      </c>
      <c r="D20" s="5" t="s">
        <v>488</v>
      </c>
      <c r="E20" s="5" t="s">
        <v>422</v>
      </c>
    </row>
    <row r="21" spans="1:5" x14ac:dyDescent="0.2">
      <c r="A21" s="5" t="s">
        <v>10</v>
      </c>
      <c r="B21" s="8">
        <v>88.09</v>
      </c>
      <c r="C21" s="5"/>
      <c r="D21" s="5" t="s">
        <v>489</v>
      </c>
      <c r="E21" s="5" t="s">
        <v>427</v>
      </c>
    </row>
    <row r="22" spans="1:5" x14ac:dyDescent="0.2">
      <c r="A22" s="5" t="s">
        <v>11</v>
      </c>
      <c r="B22" s="8">
        <v>88.09</v>
      </c>
      <c r="C22" s="5">
        <v>1</v>
      </c>
      <c r="D22" s="5" t="s">
        <v>489</v>
      </c>
      <c r="E22" s="5" t="s">
        <v>423</v>
      </c>
    </row>
  </sheetData>
  <mergeCells count="1">
    <mergeCell ref="A4:G4"/>
  </mergeCells>
  <hyperlinks>
    <hyperlink ref="I1" r:id="rId1" location="'RESUMEN%20SUBIDAS'!A1" xr:uid="{00000000-0004-0000-1A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18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80</v>
      </c>
      <c r="I1" s="21" t="s">
        <v>405</v>
      </c>
    </row>
    <row r="2" spans="1:9" x14ac:dyDescent="0.2">
      <c r="A2" s="22" t="s">
        <v>472</v>
      </c>
    </row>
    <row r="3" spans="1:9" x14ac:dyDescent="0.2">
      <c r="A3" s="3" t="s">
        <v>490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COUNTIF($A$15:$A$18,A7)</f>
        <v>1</v>
      </c>
      <c r="C7" s="8">
        <f>_xlfn.MINIFS($B$15:$B$18,$A$15:$A$18,A7)</f>
        <v>5.0999999999999996</v>
      </c>
      <c r="D7" s="8">
        <f>AVERAGEIF($A$15:$A$18,A7,$B$15:$B$18)</f>
        <v>5.0999999999999996</v>
      </c>
      <c r="E7" s="8">
        <f>_xlfn.MAXIFS($B$15:$B$18,$A$15:$A$18,A7)</f>
        <v>5.0999999999999996</v>
      </c>
      <c r="F7" s="16"/>
      <c r="G7" s="16"/>
    </row>
    <row r="8" spans="1:9" x14ac:dyDescent="0.2">
      <c r="A8" s="5" t="s">
        <v>5</v>
      </c>
      <c r="B8" s="5">
        <f>COUNTIF($A$15:$A$18,A8)</f>
        <v>1</v>
      </c>
      <c r="C8" s="8">
        <f>_xlfn.MINIFS($B$15:$B$18,$A$15:$A$18,A8)</f>
        <v>5.0999999999999996</v>
      </c>
      <c r="D8" s="8">
        <f>AVERAGEIF($A$15:$A$18,A8,$B$15:$B$18)</f>
        <v>5.0999999999999996</v>
      </c>
      <c r="E8" s="8">
        <f>_xlfn.MAXIFS($B$15:$B$18,$A$15:$A$18,A8)</f>
        <v>5.0999999999999996</v>
      </c>
      <c r="F8" s="16">
        <f>D8/D7-1</f>
        <v>0</v>
      </c>
      <c r="G8" s="16">
        <f>D8/$D$7-1</f>
        <v>0</v>
      </c>
    </row>
    <row r="9" spans="1:9" x14ac:dyDescent="0.2">
      <c r="A9" s="5" t="s">
        <v>8</v>
      </c>
      <c r="B9" s="5">
        <f>COUNTIF($A$15:$A$18,A9)</f>
        <v>1</v>
      </c>
      <c r="C9" s="8">
        <f>_xlfn.MINIFS($B$15:$B$18,$A$15:$A$18,A9)</f>
        <v>5.3</v>
      </c>
      <c r="D9" s="8">
        <f>AVERAGEIF($A$15:$A$18,A9,$B$15:$B$18)</f>
        <v>5.3</v>
      </c>
      <c r="E9" s="8">
        <f>_xlfn.MAXIFS($B$15:$B$18,$A$15:$A$18,A9)</f>
        <v>5.3</v>
      </c>
      <c r="F9" s="16">
        <f>D9/D8-1</f>
        <v>3.9215686274509887E-2</v>
      </c>
      <c r="G9" s="16">
        <f>D9/$D$7-1</f>
        <v>3.9215686274509887E-2</v>
      </c>
    </row>
    <row r="10" spans="1:9" x14ac:dyDescent="0.2">
      <c r="A10" s="5" t="s">
        <v>11</v>
      </c>
      <c r="B10" s="5">
        <f>COUNTIF($A$15:$A$18,A10)</f>
        <v>1</v>
      </c>
      <c r="C10" s="8">
        <f>_xlfn.MINIFS($B$15:$B$18,$A$15:$A$18,A10)</f>
        <v>5.3</v>
      </c>
      <c r="D10" s="8">
        <f>AVERAGEIF($A$15:$A$18,A10,$B$15:$B$18)</f>
        <v>5.3</v>
      </c>
      <c r="E10" s="8">
        <f>_xlfn.MAXIFS($B$15:$B$18,$A$15:$A$18,A10)</f>
        <v>5.3</v>
      </c>
      <c r="F10" s="16">
        <f>D10/D9-1</f>
        <v>0</v>
      </c>
      <c r="G10" s="16">
        <f>D10/$D$7-1</f>
        <v>3.9215686274509887E-2</v>
      </c>
    </row>
    <row r="11" spans="1:9" x14ac:dyDescent="0.2">
      <c r="F11" s="22" t="s">
        <v>416</v>
      </c>
      <c r="G11" s="23">
        <f>D10/D7-1</f>
        <v>3.9215686274509887E-2</v>
      </c>
    </row>
    <row r="13" spans="1:9" x14ac:dyDescent="0.2">
      <c r="A13" s="22" t="s">
        <v>417</v>
      </c>
    </row>
    <row r="14" spans="1:9" ht="30" x14ac:dyDescent="0.2">
      <c r="A14" s="4" t="s">
        <v>409</v>
      </c>
      <c r="B14" s="4" t="s">
        <v>418</v>
      </c>
      <c r="C14" s="4" t="s">
        <v>419</v>
      </c>
      <c r="D14" s="4" t="s">
        <v>420</v>
      </c>
      <c r="E14" s="4" t="s">
        <v>421</v>
      </c>
    </row>
    <row r="15" spans="1:9" x14ac:dyDescent="0.2">
      <c r="A15" s="5" t="s">
        <v>4</v>
      </c>
      <c r="B15" s="8">
        <v>5.0999999999999996</v>
      </c>
      <c r="C15" s="5">
        <v>72</v>
      </c>
      <c r="D15" s="5" t="s">
        <v>80</v>
      </c>
      <c r="E15" s="5" t="s">
        <v>422</v>
      </c>
    </row>
    <row r="16" spans="1:9" x14ac:dyDescent="0.2">
      <c r="A16" s="5" t="s">
        <v>5</v>
      </c>
      <c r="B16" s="8">
        <v>5.0999999999999996</v>
      </c>
      <c r="C16" s="5">
        <v>84</v>
      </c>
      <c r="D16" s="5" t="s">
        <v>80</v>
      </c>
      <c r="E16" s="5" t="s">
        <v>422</v>
      </c>
    </row>
    <row r="17" spans="1:5" x14ac:dyDescent="0.2">
      <c r="A17" s="5" t="s">
        <v>8</v>
      </c>
      <c r="B17" s="8">
        <v>5.3</v>
      </c>
      <c r="C17" s="5">
        <v>60</v>
      </c>
      <c r="D17" s="5" t="s">
        <v>80</v>
      </c>
      <c r="E17" s="5" t="s">
        <v>422</v>
      </c>
    </row>
    <row r="18" spans="1:5" x14ac:dyDescent="0.2">
      <c r="A18" s="5" t="s">
        <v>11</v>
      </c>
      <c r="B18" s="8">
        <v>5.3</v>
      </c>
      <c r="C18" s="5"/>
      <c r="D18" s="5" t="s">
        <v>80</v>
      </c>
      <c r="E18" s="5" t="s">
        <v>423</v>
      </c>
    </row>
  </sheetData>
  <mergeCells count="1">
    <mergeCell ref="A4:G4"/>
  </mergeCells>
  <hyperlinks>
    <hyperlink ref="I1" r:id="rId1" location="'RESUMEN%20SUBIDAS'!A1" xr:uid="{00000000-0004-0000-1B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20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82</v>
      </c>
      <c r="I1" s="21" t="s">
        <v>405</v>
      </c>
    </row>
    <row r="2" spans="1:9" x14ac:dyDescent="0.2">
      <c r="A2" s="22" t="s">
        <v>472</v>
      </c>
    </row>
    <row r="3" spans="1:9" x14ac:dyDescent="0.2">
      <c r="A3" s="3" t="s">
        <v>491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COUNTIF($A$16:$A$20,A7)</f>
        <v>1</v>
      </c>
      <c r="C7" s="8">
        <f>_xlfn.MINIFS($B$16:$B$20,$A$16:$A$20,A7)</f>
        <v>4.5</v>
      </c>
      <c r="D7" s="8">
        <f>AVERAGEIF($A$16:$A$20,A7,$B$16:$B$20)</f>
        <v>4.5</v>
      </c>
      <c r="E7" s="8">
        <f>_xlfn.MAXIFS($B$16:$B$20,$A$16:$A$20,A7)</f>
        <v>4.5</v>
      </c>
      <c r="F7" s="16"/>
      <c r="G7" s="16"/>
    </row>
    <row r="8" spans="1:9" x14ac:dyDescent="0.2">
      <c r="A8" s="5" t="s">
        <v>5</v>
      </c>
      <c r="B8" s="5">
        <f>COUNTIF($A$16:$A$20,A8)</f>
        <v>1</v>
      </c>
      <c r="C8" s="8">
        <f>_xlfn.MINIFS($B$16:$B$20,$A$16:$A$20,A8)</f>
        <v>4.5</v>
      </c>
      <c r="D8" s="8">
        <f>AVERAGEIF($A$16:$A$20,A8,$B$16:$B$20)</f>
        <v>4.5</v>
      </c>
      <c r="E8" s="8">
        <f>_xlfn.MAXIFS($B$16:$B$20,$A$16:$A$20,A8)</f>
        <v>4.5</v>
      </c>
      <c r="F8" s="16">
        <f>D8/D7-1</f>
        <v>0</v>
      </c>
      <c r="G8" s="16">
        <f>D8/$D$7-1</f>
        <v>0</v>
      </c>
    </row>
    <row r="9" spans="1:9" x14ac:dyDescent="0.2">
      <c r="A9" s="5" t="s">
        <v>8</v>
      </c>
      <c r="B9" s="5">
        <f>COUNTIF($A$16:$A$20,A9)</f>
        <v>1</v>
      </c>
      <c r="C9" s="8">
        <f>_xlfn.MINIFS($B$16:$B$20,$A$16:$A$20,A9)</f>
        <v>4.67</v>
      </c>
      <c r="D9" s="8">
        <f>AVERAGEIF($A$16:$A$20,A9,$B$16:$B$20)</f>
        <v>4.67</v>
      </c>
      <c r="E9" s="8">
        <f>_xlfn.MAXIFS($B$16:$B$20,$A$16:$A$20,A9)</f>
        <v>4.67</v>
      </c>
      <c r="F9" s="16">
        <f>D9/D8-1</f>
        <v>3.7777777777777688E-2</v>
      </c>
      <c r="G9" s="16">
        <f>D9/$D$7-1</f>
        <v>3.7777777777777688E-2</v>
      </c>
    </row>
    <row r="10" spans="1:9" x14ac:dyDescent="0.2">
      <c r="A10" s="5" t="s">
        <v>10</v>
      </c>
      <c r="B10" s="5">
        <f>COUNTIF($A$16:$A$20,A10)</f>
        <v>1</v>
      </c>
      <c r="C10" s="8">
        <f>_xlfn.MINIFS($B$16:$B$20,$A$16:$A$20,A10)</f>
        <v>4.67</v>
      </c>
      <c r="D10" s="8">
        <f>AVERAGEIF($A$16:$A$20,A10,$B$16:$B$20)</f>
        <v>4.67</v>
      </c>
      <c r="E10" s="8">
        <f>_xlfn.MAXIFS($B$16:$B$20,$A$16:$A$20,A10)</f>
        <v>4.67</v>
      </c>
      <c r="F10" s="16">
        <f>D10/D9-1</f>
        <v>0</v>
      </c>
      <c r="G10" s="16">
        <f>D10/$D$7-1</f>
        <v>3.7777777777777688E-2</v>
      </c>
    </row>
    <row r="11" spans="1:9" x14ac:dyDescent="0.2">
      <c r="A11" s="5" t="s">
        <v>11</v>
      </c>
      <c r="B11" s="5">
        <f>COUNTIF($A$16:$A$20,A11)</f>
        <v>1</v>
      </c>
      <c r="C11" s="8">
        <f>_xlfn.MINIFS($B$16:$B$20,$A$16:$A$20,A11)</f>
        <v>4.67</v>
      </c>
      <c r="D11" s="8">
        <f>AVERAGEIF($A$16:$A$20,A11,$B$16:$B$20)</f>
        <v>4.67</v>
      </c>
      <c r="E11" s="8">
        <f>_xlfn.MAXIFS($B$16:$B$20,$A$16:$A$20,A11)</f>
        <v>4.67</v>
      </c>
      <c r="F11" s="16">
        <f>D11/D10-1</f>
        <v>0</v>
      </c>
      <c r="G11" s="16">
        <f>D11/$D$7-1</f>
        <v>3.7777777777777688E-2</v>
      </c>
    </row>
    <row r="12" spans="1:9" x14ac:dyDescent="0.2">
      <c r="F12" s="22" t="s">
        <v>416</v>
      </c>
      <c r="G12" s="23">
        <f>D11/D7-1</f>
        <v>3.7777777777777688E-2</v>
      </c>
    </row>
    <row r="14" spans="1:9" x14ac:dyDescent="0.2">
      <c r="A14" s="22" t="s">
        <v>417</v>
      </c>
    </row>
    <row r="15" spans="1:9" ht="30" x14ac:dyDescent="0.2">
      <c r="A15" s="4" t="s">
        <v>409</v>
      </c>
      <c r="B15" s="4" t="s">
        <v>418</v>
      </c>
      <c r="C15" s="4" t="s">
        <v>419</v>
      </c>
      <c r="D15" s="4" t="s">
        <v>420</v>
      </c>
      <c r="E15" s="4" t="s">
        <v>421</v>
      </c>
    </row>
    <row r="16" spans="1:9" x14ac:dyDescent="0.2">
      <c r="A16" s="5" t="s">
        <v>4</v>
      </c>
      <c r="B16" s="8">
        <v>4.5</v>
      </c>
      <c r="C16" s="5">
        <v>84</v>
      </c>
      <c r="D16" s="5" t="s">
        <v>492</v>
      </c>
      <c r="E16" s="5" t="s">
        <v>422</v>
      </c>
    </row>
    <row r="17" spans="1:5" x14ac:dyDescent="0.2">
      <c r="A17" s="5" t="s">
        <v>5</v>
      </c>
      <c r="B17" s="8">
        <v>4.5</v>
      </c>
      <c r="C17" s="5">
        <v>12</v>
      </c>
      <c r="D17" s="5" t="s">
        <v>492</v>
      </c>
      <c r="E17" s="5" t="s">
        <v>422</v>
      </c>
    </row>
    <row r="18" spans="1:5" x14ac:dyDescent="0.2">
      <c r="A18" s="5" t="s">
        <v>8</v>
      </c>
      <c r="B18" s="8">
        <v>4.67</v>
      </c>
      <c r="C18" s="5">
        <v>96</v>
      </c>
      <c r="D18" s="5" t="s">
        <v>492</v>
      </c>
      <c r="E18" s="5" t="s">
        <v>422</v>
      </c>
    </row>
    <row r="19" spans="1:5" x14ac:dyDescent="0.2">
      <c r="A19" s="5" t="s">
        <v>10</v>
      </c>
      <c r="B19" s="8">
        <v>4.67</v>
      </c>
      <c r="C19" s="5"/>
      <c r="D19" s="5" t="s">
        <v>82</v>
      </c>
      <c r="E19" s="5" t="s">
        <v>427</v>
      </c>
    </row>
    <row r="20" spans="1:5" x14ac:dyDescent="0.2">
      <c r="A20" s="5" t="s">
        <v>11</v>
      </c>
      <c r="B20" s="8">
        <v>4.67</v>
      </c>
      <c r="C20" s="5"/>
      <c r="D20" s="5" t="s">
        <v>82</v>
      </c>
      <c r="E20" s="5" t="s">
        <v>423</v>
      </c>
    </row>
  </sheetData>
  <mergeCells count="1">
    <mergeCell ref="A4:G4"/>
  </mergeCells>
  <hyperlinks>
    <hyperlink ref="I1" r:id="rId1" location="'RESUMEN%20SUBIDAS'!A1" xr:uid="{00000000-0004-0000-1C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20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84</v>
      </c>
      <c r="I1" s="21" t="s">
        <v>405</v>
      </c>
    </row>
    <row r="2" spans="1:9" x14ac:dyDescent="0.2">
      <c r="A2" s="22" t="s">
        <v>439</v>
      </c>
    </row>
    <row r="3" spans="1:9" x14ac:dyDescent="0.2">
      <c r="A3" s="3" t="s">
        <v>493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COUNTIF($A$16:$A$20,A7)</f>
        <v>1</v>
      </c>
      <c r="C7" s="8">
        <f>_xlfn.MINIFS($B$16:$B$20,$A$16:$A$20,A7)</f>
        <v>6.78</v>
      </c>
      <c r="D7" s="8">
        <f>AVERAGEIF($A$16:$A$20,A7,$B$16:$B$20)</f>
        <v>6.78</v>
      </c>
      <c r="E7" s="8">
        <f>_xlfn.MAXIFS($B$16:$B$20,$A$16:$A$20,A7)</f>
        <v>6.78</v>
      </c>
      <c r="F7" s="16"/>
      <c r="G7" s="16"/>
    </row>
    <row r="8" spans="1:9" x14ac:dyDescent="0.2">
      <c r="A8" s="5" t="s">
        <v>5</v>
      </c>
      <c r="B8" s="5">
        <f>COUNTIF($A$16:$A$20,A8)</f>
        <v>1</v>
      </c>
      <c r="C8" s="8">
        <f>_xlfn.MINIFS($B$16:$B$20,$A$16:$A$20,A8)</f>
        <v>6.78</v>
      </c>
      <c r="D8" s="8">
        <f>AVERAGEIF($A$16:$A$20,A8,$B$16:$B$20)</f>
        <v>6.78</v>
      </c>
      <c r="E8" s="8">
        <f>_xlfn.MAXIFS($B$16:$B$20,$A$16:$A$20,A8)</f>
        <v>6.78</v>
      </c>
      <c r="F8" s="16">
        <f>D8/D7-1</f>
        <v>0</v>
      </c>
      <c r="G8" s="16">
        <f>D8/$D$7-1</f>
        <v>0</v>
      </c>
    </row>
    <row r="9" spans="1:9" x14ac:dyDescent="0.2">
      <c r="A9" s="5" t="s">
        <v>8</v>
      </c>
      <c r="B9" s="5">
        <f>COUNTIF($A$16:$A$20,A9)</f>
        <v>1</v>
      </c>
      <c r="C9" s="8">
        <f>_xlfn.MINIFS($B$16:$B$20,$A$16:$A$20,A9)</f>
        <v>7.03</v>
      </c>
      <c r="D9" s="8">
        <f>AVERAGEIF($A$16:$A$20,A9,$B$16:$B$20)</f>
        <v>7.03</v>
      </c>
      <c r="E9" s="8">
        <f>_xlfn.MAXIFS($B$16:$B$20,$A$16:$A$20,A9)</f>
        <v>7.03</v>
      </c>
      <c r="F9" s="16">
        <f>D9/D8-1</f>
        <v>3.6873156342182911E-2</v>
      </c>
      <c r="G9" s="16">
        <f>D9/$D$7-1</f>
        <v>3.6873156342182911E-2</v>
      </c>
    </row>
    <row r="10" spans="1:9" x14ac:dyDescent="0.2">
      <c r="A10" s="5" t="s">
        <v>10</v>
      </c>
      <c r="B10" s="5">
        <f>COUNTIF($A$16:$A$20,A10)</f>
        <v>1</v>
      </c>
      <c r="C10" s="8">
        <f>_xlfn.MINIFS($B$16:$B$20,$A$16:$A$20,A10)</f>
        <v>7.03</v>
      </c>
      <c r="D10" s="8">
        <f>AVERAGEIF($A$16:$A$20,A10,$B$16:$B$20)</f>
        <v>7.03</v>
      </c>
      <c r="E10" s="8">
        <f>_xlfn.MAXIFS($B$16:$B$20,$A$16:$A$20,A10)</f>
        <v>7.03</v>
      </c>
      <c r="F10" s="16">
        <f>D10/D9-1</f>
        <v>0</v>
      </c>
      <c r="G10" s="16">
        <f>D10/$D$7-1</f>
        <v>3.6873156342182911E-2</v>
      </c>
    </row>
    <row r="11" spans="1:9" x14ac:dyDescent="0.2">
      <c r="A11" s="5" t="s">
        <v>11</v>
      </c>
      <c r="B11" s="5">
        <f>COUNTIF($A$16:$A$20,A11)</f>
        <v>1</v>
      </c>
      <c r="C11" s="8">
        <f>_xlfn.MINIFS($B$16:$B$20,$A$16:$A$20,A11)</f>
        <v>7.03</v>
      </c>
      <c r="D11" s="8">
        <f>AVERAGEIF($A$16:$A$20,A11,$B$16:$B$20)</f>
        <v>7.03</v>
      </c>
      <c r="E11" s="8">
        <f>_xlfn.MAXIFS($B$16:$B$20,$A$16:$A$20,A11)</f>
        <v>7.03</v>
      </c>
      <c r="F11" s="16">
        <f>D11/D10-1</f>
        <v>0</v>
      </c>
      <c r="G11" s="16">
        <f>D11/$D$7-1</f>
        <v>3.6873156342182911E-2</v>
      </c>
    </row>
    <row r="12" spans="1:9" x14ac:dyDescent="0.2">
      <c r="F12" s="22" t="s">
        <v>416</v>
      </c>
      <c r="G12" s="23">
        <f>D11/D7-1</f>
        <v>3.6873156342182911E-2</v>
      </c>
    </row>
    <row r="14" spans="1:9" x14ac:dyDescent="0.2">
      <c r="A14" s="22" t="s">
        <v>417</v>
      </c>
    </row>
    <row r="15" spans="1:9" ht="30" x14ac:dyDescent="0.2">
      <c r="A15" s="4" t="s">
        <v>409</v>
      </c>
      <c r="B15" s="4" t="s">
        <v>418</v>
      </c>
      <c r="C15" s="4" t="s">
        <v>419</v>
      </c>
      <c r="D15" s="4" t="s">
        <v>420</v>
      </c>
      <c r="E15" s="4" t="s">
        <v>421</v>
      </c>
    </row>
    <row r="16" spans="1:9" x14ac:dyDescent="0.2">
      <c r="A16" s="5" t="s">
        <v>4</v>
      </c>
      <c r="B16" s="8">
        <v>6.78</v>
      </c>
      <c r="C16" s="5">
        <v>30</v>
      </c>
      <c r="D16" s="5" t="s">
        <v>494</v>
      </c>
      <c r="E16" s="5" t="s">
        <v>422</v>
      </c>
    </row>
    <row r="17" spans="1:5" x14ac:dyDescent="0.2">
      <c r="A17" s="5" t="s">
        <v>5</v>
      </c>
      <c r="B17" s="8">
        <v>6.78</v>
      </c>
      <c r="C17" s="5">
        <v>48</v>
      </c>
      <c r="D17" s="5" t="s">
        <v>494</v>
      </c>
      <c r="E17" s="5" t="s">
        <v>422</v>
      </c>
    </row>
    <row r="18" spans="1:5" x14ac:dyDescent="0.2">
      <c r="A18" s="5" t="s">
        <v>8</v>
      </c>
      <c r="B18" s="8">
        <v>7.03</v>
      </c>
      <c r="C18" s="5">
        <v>108</v>
      </c>
      <c r="D18" s="5" t="s">
        <v>494</v>
      </c>
      <c r="E18" s="5" t="s">
        <v>422</v>
      </c>
    </row>
    <row r="19" spans="1:5" x14ac:dyDescent="0.2">
      <c r="A19" s="5" t="s">
        <v>10</v>
      </c>
      <c r="B19" s="8">
        <v>7.03</v>
      </c>
      <c r="C19" s="5"/>
      <c r="D19" s="5" t="s">
        <v>494</v>
      </c>
      <c r="E19" s="5" t="s">
        <v>427</v>
      </c>
    </row>
    <row r="20" spans="1:5" x14ac:dyDescent="0.2">
      <c r="A20" s="5" t="s">
        <v>11</v>
      </c>
      <c r="B20" s="8">
        <v>7.03</v>
      </c>
      <c r="C20" s="5"/>
      <c r="D20" s="5" t="s">
        <v>494</v>
      </c>
      <c r="E20" s="5" t="s">
        <v>423</v>
      </c>
    </row>
  </sheetData>
  <mergeCells count="1">
    <mergeCell ref="A4:G4"/>
  </mergeCells>
  <hyperlinks>
    <hyperlink ref="I1" r:id="rId1" location="'RESUMEN%20SUBIDAS'!A1" xr:uid="{00000000-0004-0000-1D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20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86</v>
      </c>
      <c r="I1" s="21" t="s">
        <v>405</v>
      </c>
    </row>
    <row r="2" spans="1:9" x14ac:dyDescent="0.2">
      <c r="A2" s="22" t="s">
        <v>439</v>
      </c>
    </row>
    <row r="3" spans="1:9" x14ac:dyDescent="0.2">
      <c r="A3" s="3" t="s">
        <v>495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COUNTIF($A$16:$A$20,A7)</f>
        <v>1</v>
      </c>
      <c r="C7" s="8">
        <f>_xlfn.MINIFS($B$16:$B$20,$A$16:$A$20,A7)</f>
        <v>2.72</v>
      </c>
      <c r="D7" s="8">
        <f>AVERAGEIF($A$16:$A$20,A7,$B$16:$B$20)</f>
        <v>2.72</v>
      </c>
      <c r="E7" s="8">
        <f>_xlfn.MAXIFS($B$16:$B$20,$A$16:$A$20,A7)</f>
        <v>2.72</v>
      </c>
      <c r="F7" s="16"/>
      <c r="G7" s="16"/>
    </row>
    <row r="8" spans="1:9" x14ac:dyDescent="0.2">
      <c r="A8" s="5" t="s">
        <v>5</v>
      </c>
      <c r="B8" s="5">
        <f>COUNTIF($A$16:$A$20,A8)</f>
        <v>1</v>
      </c>
      <c r="C8" s="8">
        <f>_xlfn.MINIFS($B$16:$B$20,$A$16:$A$20,A8)</f>
        <v>2.72</v>
      </c>
      <c r="D8" s="8">
        <f>AVERAGEIF($A$16:$A$20,A8,$B$16:$B$20)</f>
        <v>2.72</v>
      </c>
      <c r="E8" s="8">
        <f>_xlfn.MAXIFS($B$16:$B$20,$A$16:$A$20,A8)</f>
        <v>2.72</v>
      </c>
      <c r="F8" s="16">
        <f>D8/D7-1</f>
        <v>0</v>
      </c>
      <c r="G8" s="16">
        <f>D8/$D$7-1</f>
        <v>0</v>
      </c>
    </row>
    <row r="9" spans="1:9" x14ac:dyDescent="0.2">
      <c r="A9" s="5" t="s">
        <v>8</v>
      </c>
      <c r="B9" s="5">
        <f>COUNTIF($A$16:$A$20,A9)</f>
        <v>1</v>
      </c>
      <c r="C9" s="8">
        <f>_xlfn.MINIFS($B$16:$B$20,$A$16:$A$20,A9)</f>
        <v>2.82</v>
      </c>
      <c r="D9" s="8">
        <f>AVERAGEIF($A$16:$A$20,A9,$B$16:$B$20)</f>
        <v>2.82</v>
      </c>
      <c r="E9" s="8">
        <f>_xlfn.MAXIFS($B$16:$B$20,$A$16:$A$20,A9)</f>
        <v>2.82</v>
      </c>
      <c r="F9" s="16">
        <f>D9/D8-1</f>
        <v>3.6764705882352811E-2</v>
      </c>
      <c r="G9" s="16">
        <f>D9/$D$7-1</f>
        <v>3.6764705882352811E-2</v>
      </c>
    </row>
    <row r="10" spans="1:9" x14ac:dyDescent="0.2">
      <c r="A10" s="5" t="s">
        <v>10</v>
      </c>
      <c r="B10" s="5">
        <f>COUNTIF($A$16:$A$20,A10)</f>
        <v>1</v>
      </c>
      <c r="C10" s="8">
        <f>_xlfn.MINIFS($B$16:$B$20,$A$16:$A$20,A10)</f>
        <v>2.82</v>
      </c>
      <c r="D10" s="8">
        <f>AVERAGEIF($A$16:$A$20,A10,$B$16:$B$20)</f>
        <v>2.82</v>
      </c>
      <c r="E10" s="8">
        <f>_xlfn.MAXIFS($B$16:$B$20,$A$16:$A$20,A10)</f>
        <v>2.82</v>
      </c>
      <c r="F10" s="16">
        <f>D10/D9-1</f>
        <v>0</v>
      </c>
      <c r="G10" s="16">
        <f>D10/$D$7-1</f>
        <v>3.6764705882352811E-2</v>
      </c>
    </row>
    <row r="11" spans="1:9" x14ac:dyDescent="0.2">
      <c r="A11" s="5" t="s">
        <v>11</v>
      </c>
      <c r="B11" s="5">
        <f>COUNTIF($A$16:$A$20,A11)</f>
        <v>1</v>
      </c>
      <c r="C11" s="8">
        <f>_xlfn.MINIFS($B$16:$B$20,$A$16:$A$20,A11)</f>
        <v>2.82</v>
      </c>
      <c r="D11" s="8">
        <f>AVERAGEIF($A$16:$A$20,A11,$B$16:$B$20)</f>
        <v>2.82</v>
      </c>
      <c r="E11" s="8">
        <f>_xlfn.MAXIFS($B$16:$B$20,$A$16:$A$20,A11)</f>
        <v>2.82</v>
      </c>
      <c r="F11" s="16">
        <f>D11/D10-1</f>
        <v>0</v>
      </c>
      <c r="G11" s="16">
        <f>D11/$D$7-1</f>
        <v>3.6764705882352811E-2</v>
      </c>
    </row>
    <row r="12" spans="1:9" x14ac:dyDescent="0.2">
      <c r="F12" s="22" t="s">
        <v>416</v>
      </c>
      <c r="G12" s="23">
        <f>D11/D7-1</f>
        <v>3.6764705882352811E-2</v>
      </c>
    </row>
    <row r="14" spans="1:9" x14ac:dyDescent="0.2">
      <c r="A14" s="22" t="s">
        <v>417</v>
      </c>
    </row>
    <row r="15" spans="1:9" ht="30" x14ac:dyDescent="0.2">
      <c r="A15" s="4" t="s">
        <v>409</v>
      </c>
      <c r="B15" s="4" t="s">
        <v>418</v>
      </c>
      <c r="C15" s="4" t="s">
        <v>419</v>
      </c>
      <c r="D15" s="4" t="s">
        <v>420</v>
      </c>
      <c r="E15" s="4" t="s">
        <v>421</v>
      </c>
    </row>
    <row r="16" spans="1:9" x14ac:dyDescent="0.2">
      <c r="A16" s="5" t="s">
        <v>4</v>
      </c>
      <c r="B16" s="8">
        <v>2.72</v>
      </c>
      <c r="C16" s="5">
        <v>36</v>
      </c>
      <c r="D16" s="5" t="s">
        <v>496</v>
      </c>
      <c r="E16" s="5" t="s">
        <v>422</v>
      </c>
    </row>
    <row r="17" spans="1:5" x14ac:dyDescent="0.2">
      <c r="A17" s="5" t="s">
        <v>5</v>
      </c>
      <c r="B17" s="8">
        <v>2.72</v>
      </c>
      <c r="C17" s="5">
        <v>30</v>
      </c>
      <c r="D17" s="5" t="s">
        <v>496</v>
      </c>
      <c r="E17" s="5" t="s">
        <v>422</v>
      </c>
    </row>
    <row r="18" spans="1:5" x14ac:dyDescent="0.2">
      <c r="A18" s="5" t="s">
        <v>8</v>
      </c>
      <c r="B18" s="8">
        <v>2.82</v>
      </c>
      <c r="C18" s="5">
        <v>132</v>
      </c>
      <c r="D18" s="5" t="s">
        <v>496</v>
      </c>
      <c r="E18" s="5" t="s">
        <v>422</v>
      </c>
    </row>
    <row r="19" spans="1:5" x14ac:dyDescent="0.2">
      <c r="A19" s="5" t="s">
        <v>10</v>
      </c>
      <c r="B19" s="8">
        <v>2.82</v>
      </c>
      <c r="C19" s="5"/>
      <c r="D19" s="5" t="s">
        <v>496</v>
      </c>
      <c r="E19" s="5" t="s">
        <v>427</v>
      </c>
    </row>
    <row r="20" spans="1:5" x14ac:dyDescent="0.2">
      <c r="A20" s="5" t="s">
        <v>11</v>
      </c>
      <c r="B20" s="8">
        <v>2.82</v>
      </c>
      <c r="C20" s="5"/>
      <c r="D20" s="5" t="s">
        <v>496</v>
      </c>
      <c r="E20" s="5" t="s">
        <v>423</v>
      </c>
    </row>
  </sheetData>
  <mergeCells count="1">
    <mergeCell ref="A4:G4"/>
  </mergeCells>
  <hyperlinks>
    <hyperlink ref="I1" r:id="rId1" location="'RESUMEN%20SUBIDAS'!A1" xr:uid="{00000000-0004-0000-1E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20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88</v>
      </c>
      <c r="I1" s="21" t="s">
        <v>405</v>
      </c>
    </row>
    <row r="2" spans="1:9" x14ac:dyDescent="0.2">
      <c r="A2" s="22" t="s">
        <v>472</v>
      </c>
    </row>
    <row r="3" spans="1:9" x14ac:dyDescent="0.2">
      <c r="A3" s="3" t="s">
        <v>497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COUNTIF($A$16:$A$20,A7)</f>
        <v>1</v>
      </c>
      <c r="C7" s="8">
        <f>_xlfn.MINIFS($B$16:$B$20,$A$16:$A$20,A7)</f>
        <v>13.42</v>
      </c>
      <c r="D7" s="8">
        <f>AVERAGEIF($A$16:$A$20,A7,$B$16:$B$20)</f>
        <v>13.42</v>
      </c>
      <c r="E7" s="8">
        <f>_xlfn.MAXIFS($B$16:$B$20,$A$16:$A$20,A7)</f>
        <v>13.42</v>
      </c>
      <c r="F7" s="16"/>
      <c r="G7" s="16"/>
    </row>
    <row r="8" spans="1:9" x14ac:dyDescent="0.2">
      <c r="A8" s="5" t="s">
        <v>5</v>
      </c>
      <c r="B8" s="5">
        <f>COUNTIF($A$16:$A$20,A8)</f>
        <v>1</v>
      </c>
      <c r="C8" s="8">
        <f>_xlfn.MINIFS($B$16:$B$20,$A$16:$A$20,A8)</f>
        <v>13.42</v>
      </c>
      <c r="D8" s="8">
        <f>AVERAGEIF($A$16:$A$20,A8,$B$16:$B$20)</f>
        <v>13.42</v>
      </c>
      <c r="E8" s="8">
        <f>_xlfn.MAXIFS($B$16:$B$20,$A$16:$A$20,A8)</f>
        <v>13.42</v>
      </c>
      <c r="F8" s="16">
        <f>D8/D7-1</f>
        <v>0</v>
      </c>
      <c r="G8" s="16">
        <f>D8/$D$7-1</f>
        <v>0</v>
      </c>
    </row>
    <row r="9" spans="1:9" x14ac:dyDescent="0.2">
      <c r="A9" s="5" t="s">
        <v>8</v>
      </c>
      <c r="B9" s="5">
        <f>COUNTIF($A$16:$A$20,A9)</f>
        <v>1</v>
      </c>
      <c r="C9" s="8">
        <f>_xlfn.MINIFS($B$16:$B$20,$A$16:$A$20,A9)</f>
        <v>13.91</v>
      </c>
      <c r="D9" s="8">
        <f>AVERAGEIF($A$16:$A$20,A9,$B$16:$B$20)</f>
        <v>13.91</v>
      </c>
      <c r="E9" s="8">
        <f>_xlfn.MAXIFS($B$16:$B$20,$A$16:$A$20,A9)</f>
        <v>13.91</v>
      </c>
      <c r="F9" s="16">
        <f>D9/D8-1</f>
        <v>3.6512667660208553E-2</v>
      </c>
      <c r="G9" s="16">
        <f>D9/$D$7-1</f>
        <v>3.6512667660208553E-2</v>
      </c>
    </row>
    <row r="10" spans="1:9" x14ac:dyDescent="0.2">
      <c r="A10" s="5" t="s">
        <v>10</v>
      </c>
      <c r="B10" s="5">
        <f>COUNTIF($A$16:$A$20,A10)</f>
        <v>1</v>
      </c>
      <c r="C10" s="8">
        <f>_xlfn.MINIFS($B$16:$B$20,$A$16:$A$20,A10)</f>
        <v>13.91</v>
      </c>
      <c r="D10" s="8">
        <f>AVERAGEIF($A$16:$A$20,A10,$B$16:$B$20)</f>
        <v>13.91</v>
      </c>
      <c r="E10" s="8">
        <f>_xlfn.MAXIFS($B$16:$B$20,$A$16:$A$20,A10)</f>
        <v>13.91</v>
      </c>
      <c r="F10" s="16">
        <f>D10/D9-1</f>
        <v>0</v>
      </c>
      <c r="G10" s="16">
        <f>D10/$D$7-1</f>
        <v>3.6512667660208553E-2</v>
      </c>
    </row>
    <row r="11" spans="1:9" x14ac:dyDescent="0.2">
      <c r="A11" s="5" t="s">
        <v>11</v>
      </c>
      <c r="B11" s="5">
        <f>COUNTIF($A$16:$A$20,A11)</f>
        <v>1</v>
      </c>
      <c r="C11" s="8">
        <f>_xlfn.MINIFS($B$16:$B$20,$A$16:$A$20,A11)</f>
        <v>13.91</v>
      </c>
      <c r="D11" s="8">
        <f>AVERAGEIF($A$16:$A$20,A11,$B$16:$B$20)</f>
        <v>13.91</v>
      </c>
      <c r="E11" s="8">
        <f>_xlfn.MAXIFS($B$16:$B$20,$A$16:$A$20,A11)</f>
        <v>13.91</v>
      </c>
      <c r="F11" s="16">
        <f>D11/D10-1</f>
        <v>0</v>
      </c>
      <c r="G11" s="16">
        <f>D11/$D$7-1</f>
        <v>3.6512667660208553E-2</v>
      </c>
    </row>
    <row r="12" spans="1:9" x14ac:dyDescent="0.2">
      <c r="F12" s="22" t="s">
        <v>416</v>
      </c>
      <c r="G12" s="23">
        <f>D11/D7-1</f>
        <v>3.6512667660208553E-2</v>
      </c>
    </row>
    <row r="14" spans="1:9" x14ac:dyDescent="0.2">
      <c r="A14" s="22" t="s">
        <v>417</v>
      </c>
    </row>
    <row r="15" spans="1:9" ht="30" x14ac:dyDescent="0.2">
      <c r="A15" s="4" t="s">
        <v>409</v>
      </c>
      <c r="B15" s="4" t="s">
        <v>418</v>
      </c>
      <c r="C15" s="4" t="s">
        <v>419</v>
      </c>
      <c r="D15" s="4" t="s">
        <v>420</v>
      </c>
      <c r="E15" s="4" t="s">
        <v>421</v>
      </c>
    </row>
    <row r="16" spans="1:9" x14ac:dyDescent="0.2">
      <c r="A16" s="5" t="s">
        <v>4</v>
      </c>
      <c r="B16" s="8">
        <v>13.42</v>
      </c>
      <c r="C16" s="5">
        <v>78</v>
      </c>
      <c r="D16" s="5" t="s">
        <v>88</v>
      </c>
      <c r="E16" s="5" t="s">
        <v>422</v>
      </c>
    </row>
    <row r="17" spans="1:5" x14ac:dyDescent="0.2">
      <c r="A17" s="5" t="s">
        <v>5</v>
      </c>
      <c r="B17" s="8">
        <v>13.42</v>
      </c>
      <c r="C17" s="5">
        <v>78</v>
      </c>
      <c r="D17" s="5" t="s">
        <v>88</v>
      </c>
      <c r="E17" s="5" t="s">
        <v>422</v>
      </c>
    </row>
    <row r="18" spans="1:5" x14ac:dyDescent="0.2">
      <c r="A18" s="5" t="s">
        <v>8</v>
      </c>
      <c r="B18" s="8">
        <v>13.91</v>
      </c>
      <c r="C18" s="5">
        <v>66</v>
      </c>
      <c r="D18" s="5" t="s">
        <v>88</v>
      </c>
      <c r="E18" s="5" t="s">
        <v>422</v>
      </c>
    </row>
    <row r="19" spans="1:5" x14ac:dyDescent="0.2">
      <c r="A19" s="5" t="s">
        <v>10</v>
      </c>
      <c r="B19" s="8">
        <v>13.91</v>
      </c>
      <c r="C19" s="5"/>
      <c r="D19" s="5" t="s">
        <v>88</v>
      </c>
      <c r="E19" s="5" t="s">
        <v>427</v>
      </c>
    </row>
    <row r="20" spans="1:5" x14ac:dyDescent="0.2">
      <c r="A20" s="5" t="s">
        <v>11</v>
      </c>
      <c r="B20" s="8">
        <v>13.91</v>
      </c>
      <c r="C20" s="5"/>
      <c r="D20" s="5" t="s">
        <v>88</v>
      </c>
      <c r="E20" s="5" t="s">
        <v>423</v>
      </c>
    </row>
  </sheetData>
  <mergeCells count="1">
    <mergeCell ref="A4:G4"/>
  </mergeCells>
  <hyperlinks>
    <hyperlink ref="I1" r:id="rId1" location="'RESUMEN%20SUBIDAS'!A1" xr:uid="{00000000-0004-0000-1F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18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90</v>
      </c>
      <c r="I1" s="21" t="s">
        <v>405</v>
      </c>
    </row>
    <row r="2" spans="1:9" x14ac:dyDescent="0.2">
      <c r="A2" s="22" t="s">
        <v>441</v>
      </c>
    </row>
    <row r="3" spans="1:9" x14ac:dyDescent="0.2">
      <c r="A3" s="3" t="s">
        <v>498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COUNTIF($A$15:$A$18,A7)</f>
        <v>1</v>
      </c>
      <c r="C7" s="8">
        <f>_xlfn.MINIFS($B$15:$B$18,$A$15:$A$18,A7)</f>
        <v>30.8</v>
      </c>
      <c r="D7" s="8">
        <f>AVERAGEIF($A$15:$A$18,A7,$B$15:$B$18)</f>
        <v>30.8</v>
      </c>
      <c r="E7" s="8">
        <f>_xlfn.MAXIFS($B$15:$B$18,$A$15:$A$18,A7)</f>
        <v>30.8</v>
      </c>
      <c r="F7" s="16"/>
      <c r="G7" s="16"/>
    </row>
    <row r="8" spans="1:9" x14ac:dyDescent="0.2">
      <c r="A8" s="5" t="s">
        <v>5</v>
      </c>
      <c r="B8" s="5">
        <f>COUNTIF($A$15:$A$18,A8)</f>
        <v>1</v>
      </c>
      <c r="C8" s="8">
        <f>_xlfn.MINIFS($B$15:$B$18,$A$15:$A$18,A8)</f>
        <v>31.92</v>
      </c>
      <c r="D8" s="8">
        <f>AVERAGEIF($A$15:$A$18,A8,$B$15:$B$18)</f>
        <v>31.92</v>
      </c>
      <c r="E8" s="8">
        <f>_xlfn.MAXIFS($B$15:$B$18,$A$15:$A$18,A8)</f>
        <v>31.92</v>
      </c>
      <c r="F8" s="16">
        <f>D8/D7-1</f>
        <v>3.6363636363636376E-2</v>
      </c>
      <c r="G8" s="16">
        <f>D8/$D$7-1</f>
        <v>3.6363636363636376E-2</v>
      </c>
    </row>
    <row r="9" spans="1:9" x14ac:dyDescent="0.2">
      <c r="A9" s="5" t="s">
        <v>8</v>
      </c>
      <c r="B9" s="5">
        <f>COUNTIF($A$15:$A$18,A9)</f>
        <v>1</v>
      </c>
      <c r="C9" s="8">
        <f>_xlfn.MINIFS($B$15:$B$18,$A$15:$A$18,A9)</f>
        <v>31.92</v>
      </c>
      <c r="D9" s="8">
        <f>AVERAGEIF($A$15:$A$18,A9,$B$15:$B$18)</f>
        <v>31.92</v>
      </c>
      <c r="E9" s="8">
        <f>_xlfn.MAXIFS($B$15:$B$18,$A$15:$A$18,A9)</f>
        <v>31.92</v>
      </c>
      <c r="F9" s="16">
        <f>D9/D8-1</f>
        <v>0</v>
      </c>
      <c r="G9" s="16">
        <f>D9/$D$7-1</f>
        <v>3.6363636363636376E-2</v>
      </c>
    </row>
    <row r="10" spans="1:9" x14ac:dyDescent="0.2">
      <c r="A10" s="5" t="s">
        <v>10</v>
      </c>
      <c r="B10" s="5">
        <f>COUNTIF($A$15:$A$18,A10)</f>
        <v>1</v>
      </c>
      <c r="C10" s="8">
        <f>_xlfn.MINIFS($B$15:$B$18,$A$15:$A$18,A10)</f>
        <v>31.92</v>
      </c>
      <c r="D10" s="8">
        <f>AVERAGEIF($A$15:$A$18,A10,$B$15:$B$18)</f>
        <v>31.92</v>
      </c>
      <c r="E10" s="8">
        <f>_xlfn.MAXIFS($B$15:$B$18,$A$15:$A$18,A10)</f>
        <v>31.92</v>
      </c>
      <c r="F10" s="16">
        <f>D10/D9-1</f>
        <v>0</v>
      </c>
      <c r="G10" s="16">
        <f>D10/$D$7-1</f>
        <v>3.6363636363636376E-2</v>
      </c>
    </row>
    <row r="11" spans="1:9" x14ac:dyDescent="0.2">
      <c r="F11" s="22" t="s">
        <v>416</v>
      </c>
      <c r="G11" s="23">
        <f>D10/D7-1</f>
        <v>3.6363636363636376E-2</v>
      </c>
    </row>
    <row r="13" spans="1:9" x14ac:dyDescent="0.2">
      <c r="A13" s="22" t="s">
        <v>417</v>
      </c>
    </row>
    <row r="14" spans="1:9" ht="30" x14ac:dyDescent="0.2">
      <c r="A14" s="4" t="s">
        <v>409</v>
      </c>
      <c r="B14" s="4" t="s">
        <v>418</v>
      </c>
      <c r="C14" s="4" t="s">
        <v>419</v>
      </c>
      <c r="D14" s="4" t="s">
        <v>420</v>
      </c>
      <c r="E14" s="4" t="s">
        <v>421</v>
      </c>
    </row>
    <row r="15" spans="1:9" x14ac:dyDescent="0.2">
      <c r="A15" s="5" t="s">
        <v>4</v>
      </c>
      <c r="B15" s="8">
        <v>30.8</v>
      </c>
      <c r="C15" s="5">
        <v>32</v>
      </c>
      <c r="D15" s="5" t="s">
        <v>499</v>
      </c>
      <c r="E15" s="5" t="s">
        <v>422</v>
      </c>
    </row>
    <row r="16" spans="1:9" x14ac:dyDescent="0.2">
      <c r="A16" s="5" t="s">
        <v>5</v>
      </c>
      <c r="B16" s="8">
        <v>31.92</v>
      </c>
      <c r="C16" s="5">
        <v>37</v>
      </c>
      <c r="D16" s="5" t="s">
        <v>499</v>
      </c>
      <c r="E16" s="5" t="s">
        <v>422</v>
      </c>
    </row>
    <row r="17" spans="1:5" x14ac:dyDescent="0.2">
      <c r="A17" s="5" t="s">
        <v>8</v>
      </c>
      <c r="B17" s="8">
        <v>31.92</v>
      </c>
      <c r="C17" s="5">
        <v>34</v>
      </c>
      <c r="D17" s="5" t="s">
        <v>499</v>
      </c>
      <c r="E17" s="5" t="s">
        <v>422</v>
      </c>
    </row>
    <row r="18" spans="1:5" x14ac:dyDescent="0.2">
      <c r="A18" s="5" t="s">
        <v>10</v>
      </c>
      <c r="B18" s="8">
        <v>31.92</v>
      </c>
      <c r="C18" s="5">
        <v>31</v>
      </c>
      <c r="D18" s="5" t="s">
        <v>500</v>
      </c>
      <c r="E18" s="5" t="s">
        <v>427</v>
      </c>
    </row>
  </sheetData>
  <mergeCells count="1">
    <mergeCell ref="A4:G4"/>
  </mergeCells>
  <hyperlinks>
    <hyperlink ref="I1" r:id="rId1" location="'RESUMEN%20SUBIDAS'!A1" xr:uid="{00000000-0004-0000-20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18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92</v>
      </c>
      <c r="I1" s="21" t="s">
        <v>405</v>
      </c>
    </row>
    <row r="2" spans="1:9" x14ac:dyDescent="0.2">
      <c r="A2" s="22" t="s">
        <v>472</v>
      </c>
    </row>
    <row r="3" spans="1:9" x14ac:dyDescent="0.2">
      <c r="A3" s="3" t="s">
        <v>501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COUNTIF($A$15:$A$18,A7)</f>
        <v>1</v>
      </c>
      <c r="C7" s="8">
        <f>_xlfn.MINIFS($B$15:$B$18,$A$15:$A$18,A7)</f>
        <v>20.63</v>
      </c>
      <c r="D7" s="8">
        <f>AVERAGEIF($A$15:$A$18,A7,$B$15:$B$18)</f>
        <v>20.63</v>
      </c>
      <c r="E7" s="8">
        <f>_xlfn.MAXIFS($B$15:$B$18,$A$15:$A$18,A7)</f>
        <v>20.63</v>
      </c>
      <c r="F7" s="16"/>
      <c r="G7" s="16"/>
    </row>
    <row r="8" spans="1:9" x14ac:dyDescent="0.2">
      <c r="A8" s="5" t="s">
        <v>5</v>
      </c>
      <c r="B8" s="5">
        <f>COUNTIF($A$15:$A$18,A8)</f>
        <v>1</v>
      </c>
      <c r="C8" s="8">
        <f>_xlfn.MINIFS($B$15:$B$18,$A$15:$A$18,A8)</f>
        <v>20.63</v>
      </c>
      <c r="D8" s="8">
        <f>AVERAGEIF($A$15:$A$18,A8,$B$15:$B$18)</f>
        <v>20.63</v>
      </c>
      <c r="E8" s="8">
        <f>_xlfn.MAXIFS($B$15:$B$18,$A$15:$A$18,A8)</f>
        <v>20.63</v>
      </c>
      <c r="F8" s="16">
        <f>D8/D7-1</f>
        <v>0</v>
      </c>
      <c r="G8" s="16">
        <f>D8/$D$7-1</f>
        <v>0</v>
      </c>
    </row>
    <row r="9" spans="1:9" x14ac:dyDescent="0.2">
      <c r="A9" s="5" t="s">
        <v>8</v>
      </c>
      <c r="B9" s="5">
        <f>COUNTIF($A$15:$A$18,A9)</f>
        <v>1</v>
      </c>
      <c r="C9" s="8">
        <f>_xlfn.MINIFS($B$15:$B$18,$A$15:$A$18,A9)</f>
        <v>21.38</v>
      </c>
      <c r="D9" s="8">
        <f>AVERAGEIF($A$15:$A$18,A9,$B$15:$B$18)</f>
        <v>21.38</v>
      </c>
      <c r="E9" s="8">
        <f>_xlfn.MAXIFS($B$15:$B$18,$A$15:$A$18,A9)</f>
        <v>21.38</v>
      </c>
      <c r="F9" s="16">
        <f>D9/D8-1</f>
        <v>3.6354823073194487E-2</v>
      </c>
      <c r="G9" s="16">
        <f>D9/$D$7-1</f>
        <v>3.6354823073194487E-2</v>
      </c>
    </row>
    <row r="10" spans="1:9" x14ac:dyDescent="0.2">
      <c r="A10" s="5" t="s">
        <v>10</v>
      </c>
      <c r="B10" s="5">
        <f>COUNTIF($A$15:$A$18,A10)</f>
        <v>1</v>
      </c>
      <c r="C10" s="8">
        <f>_xlfn.MINIFS($B$15:$B$18,$A$15:$A$18,A10)</f>
        <v>21.38</v>
      </c>
      <c r="D10" s="8">
        <f>AVERAGEIF($A$15:$A$18,A10,$B$15:$B$18)</f>
        <v>21.38</v>
      </c>
      <c r="E10" s="8">
        <f>_xlfn.MAXIFS($B$15:$B$18,$A$15:$A$18,A10)</f>
        <v>21.38</v>
      </c>
      <c r="F10" s="16">
        <f>D10/D9-1</f>
        <v>0</v>
      </c>
      <c r="G10" s="16">
        <f>D10/$D$7-1</f>
        <v>3.6354823073194487E-2</v>
      </c>
    </row>
    <row r="11" spans="1:9" x14ac:dyDescent="0.2">
      <c r="F11" s="22" t="s">
        <v>416</v>
      </c>
      <c r="G11" s="23">
        <f>D10/D7-1</f>
        <v>3.6354823073194487E-2</v>
      </c>
    </row>
    <row r="13" spans="1:9" x14ac:dyDescent="0.2">
      <c r="A13" s="22" t="s">
        <v>417</v>
      </c>
    </row>
    <row r="14" spans="1:9" ht="30" x14ac:dyDescent="0.2">
      <c r="A14" s="4" t="s">
        <v>409</v>
      </c>
      <c r="B14" s="4" t="s">
        <v>418</v>
      </c>
      <c r="C14" s="4" t="s">
        <v>419</v>
      </c>
      <c r="D14" s="4" t="s">
        <v>420</v>
      </c>
      <c r="E14" s="4" t="s">
        <v>421</v>
      </c>
    </row>
    <row r="15" spans="1:9" x14ac:dyDescent="0.2">
      <c r="A15" s="5" t="s">
        <v>4</v>
      </c>
      <c r="B15" s="8">
        <v>20.63</v>
      </c>
      <c r="C15" s="5">
        <v>36</v>
      </c>
      <c r="D15" s="5" t="s">
        <v>92</v>
      </c>
      <c r="E15" s="5" t="s">
        <v>422</v>
      </c>
    </row>
    <row r="16" spans="1:9" x14ac:dyDescent="0.2">
      <c r="A16" s="5" t="s">
        <v>5</v>
      </c>
      <c r="B16" s="8">
        <v>20.63</v>
      </c>
      <c r="C16" s="5">
        <v>12</v>
      </c>
      <c r="D16" s="5" t="s">
        <v>92</v>
      </c>
      <c r="E16" s="5" t="s">
        <v>422</v>
      </c>
    </row>
    <row r="17" spans="1:5" x14ac:dyDescent="0.2">
      <c r="A17" s="5" t="s">
        <v>8</v>
      </c>
      <c r="B17" s="8">
        <v>21.38</v>
      </c>
      <c r="C17" s="5">
        <v>12</v>
      </c>
      <c r="D17" s="5" t="s">
        <v>92</v>
      </c>
      <c r="E17" s="5" t="s">
        <v>422</v>
      </c>
    </row>
    <row r="18" spans="1:5" x14ac:dyDescent="0.2">
      <c r="A18" s="5" t="s">
        <v>10</v>
      </c>
      <c r="B18" s="8">
        <v>21.38</v>
      </c>
      <c r="C18" s="5"/>
      <c r="D18" s="5" t="s">
        <v>92</v>
      </c>
      <c r="E18" s="5" t="s">
        <v>427</v>
      </c>
    </row>
  </sheetData>
  <mergeCells count="1">
    <mergeCell ref="A4:G4"/>
  </mergeCells>
  <hyperlinks>
    <hyperlink ref="I1" r:id="rId1" location="'RESUMEN%20SUBIDAS'!A1" xr:uid="{00000000-0004-0000-21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20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94</v>
      </c>
      <c r="I1" s="21" t="s">
        <v>405</v>
      </c>
    </row>
    <row r="2" spans="1:9" x14ac:dyDescent="0.2">
      <c r="A2" s="22" t="s">
        <v>439</v>
      </c>
    </row>
    <row r="3" spans="1:9" x14ac:dyDescent="0.2">
      <c r="A3" s="3" t="s">
        <v>502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COUNTIF($A$16:$A$20,A7)</f>
        <v>1</v>
      </c>
      <c r="C7" s="8">
        <f>_xlfn.MINIFS($B$16:$B$20,$A$16:$A$20,A7)</f>
        <v>11.02</v>
      </c>
      <c r="D7" s="8">
        <f>AVERAGEIF($A$16:$A$20,A7,$B$16:$B$20)</f>
        <v>11.02</v>
      </c>
      <c r="E7" s="8">
        <f>_xlfn.MAXIFS($B$16:$B$20,$A$16:$A$20,A7)</f>
        <v>11.02</v>
      </c>
      <c r="F7" s="16"/>
      <c r="G7" s="16"/>
    </row>
    <row r="8" spans="1:9" x14ac:dyDescent="0.2">
      <c r="A8" s="5" t="s">
        <v>5</v>
      </c>
      <c r="B8" s="5">
        <f>COUNTIF($A$16:$A$20,A8)</f>
        <v>1</v>
      </c>
      <c r="C8" s="8">
        <f>_xlfn.MINIFS($B$16:$B$20,$A$16:$A$20,A8)</f>
        <v>11.02</v>
      </c>
      <c r="D8" s="8">
        <f>AVERAGEIF($A$16:$A$20,A8,$B$16:$B$20)</f>
        <v>11.02</v>
      </c>
      <c r="E8" s="8">
        <f>_xlfn.MAXIFS($B$16:$B$20,$A$16:$A$20,A8)</f>
        <v>11.02</v>
      </c>
      <c r="F8" s="16">
        <f>D8/D7-1</f>
        <v>0</v>
      </c>
      <c r="G8" s="16">
        <f>D8/$D$7-1</f>
        <v>0</v>
      </c>
    </row>
    <row r="9" spans="1:9" x14ac:dyDescent="0.2">
      <c r="A9" s="5" t="s">
        <v>8</v>
      </c>
      <c r="B9" s="5">
        <f>COUNTIF($A$16:$A$20,A9)</f>
        <v>1</v>
      </c>
      <c r="C9" s="8">
        <f>_xlfn.MINIFS($B$16:$B$20,$A$16:$A$20,A9)</f>
        <v>11.42</v>
      </c>
      <c r="D9" s="8">
        <f>AVERAGEIF($A$16:$A$20,A9,$B$16:$B$20)</f>
        <v>11.42</v>
      </c>
      <c r="E9" s="8">
        <f>_xlfn.MAXIFS($B$16:$B$20,$A$16:$A$20,A9)</f>
        <v>11.42</v>
      </c>
      <c r="F9" s="16">
        <f>D9/D8-1</f>
        <v>3.6297640653357499E-2</v>
      </c>
      <c r="G9" s="16">
        <f>D9/$D$7-1</f>
        <v>3.6297640653357499E-2</v>
      </c>
    </row>
    <row r="10" spans="1:9" x14ac:dyDescent="0.2">
      <c r="A10" s="5" t="s">
        <v>10</v>
      </c>
      <c r="B10" s="5">
        <f>COUNTIF($A$16:$A$20,A10)</f>
        <v>1</v>
      </c>
      <c r="C10" s="8">
        <f>_xlfn.MINIFS($B$16:$B$20,$A$16:$A$20,A10)</f>
        <v>11.42</v>
      </c>
      <c r="D10" s="8">
        <f>AVERAGEIF($A$16:$A$20,A10,$B$16:$B$20)</f>
        <v>11.42</v>
      </c>
      <c r="E10" s="8">
        <f>_xlfn.MAXIFS($B$16:$B$20,$A$16:$A$20,A10)</f>
        <v>11.42</v>
      </c>
      <c r="F10" s="16">
        <f>D10/D9-1</f>
        <v>0</v>
      </c>
      <c r="G10" s="16">
        <f>D10/$D$7-1</f>
        <v>3.6297640653357499E-2</v>
      </c>
    </row>
    <row r="11" spans="1:9" x14ac:dyDescent="0.2">
      <c r="A11" s="5" t="s">
        <v>11</v>
      </c>
      <c r="B11" s="5">
        <f>COUNTIF($A$16:$A$20,A11)</f>
        <v>1</v>
      </c>
      <c r="C11" s="8">
        <f>_xlfn.MINIFS($B$16:$B$20,$A$16:$A$20,A11)</f>
        <v>11.42</v>
      </c>
      <c r="D11" s="8">
        <f>AVERAGEIF($A$16:$A$20,A11,$B$16:$B$20)</f>
        <v>11.42</v>
      </c>
      <c r="E11" s="8">
        <f>_xlfn.MAXIFS($B$16:$B$20,$A$16:$A$20,A11)</f>
        <v>11.42</v>
      </c>
      <c r="F11" s="16">
        <f>D11/D10-1</f>
        <v>0</v>
      </c>
      <c r="G11" s="16">
        <f>D11/$D$7-1</f>
        <v>3.6297640653357499E-2</v>
      </c>
    </row>
    <row r="12" spans="1:9" x14ac:dyDescent="0.2">
      <c r="F12" s="22" t="s">
        <v>416</v>
      </c>
      <c r="G12" s="23">
        <f>D11/D7-1</f>
        <v>3.6297640653357499E-2</v>
      </c>
    </row>
    <row r="14" spans="1:9" x14ac:dyDescent="0.2">
      <c r="A14" s="22" t="s">
        <v>417</v>
      </c>
    </row>
    <row r="15" spans="1:9" ht="30" x14ac:dyDescent="0.2">
      <c r="A15" s="4" t="s">
        <v>409</v>
      </c>
      <c r="B15" s="4" t="s">
        <v>418</v>
      </c>
      <c r="C15" s="4" t="s">
        <v>419</v>
      </c>
      <c r="D15" s="4" t="s">
        <v>420</v>
      </c>
      <c r="E15" s="4" t="s">
        <v>421</v>
      </c>
    </row>
    <row r="16" spans="1:9" x14ac:dyDescent="0.2">
      <c r="A16" s="5" t="s">
        <v>4</v>
      </c>
      <c r="B16" s="8">
        <v>11.02</v>
      </c>
      <c r="C16" s="5">
        <v>108</v>
      </c>
      <c r="D16" s="5" t="s">
        <v>503</v>
      </c>
      <c r="E16" s="5" t="s">
        <v>422</v>
      </c>
    </row>
    <row r="17" spans="1:5" x14ac:dyDescent="0.2">
      <c r="A17" s="5" t="s">
        <v>5</v>
      </c>
      <c r="B17" s="8">
        <v>11.02</v>
      </c>
      <c r="C17" s="5">
        <v>126</v>
      </c>
      <c r="D17" s="5" t="s">
        <v>503</v>
      </c>
      <c r="E17" s="5" t="s">
        <v>422</v>
      </c>
    </row>
    <row r="18" spans="1:5" x14ac:dyDescent="0.2">
      <c r="A18" s="5" t="s">
        <v>8</v>
      </c>
      <c r="B18" s="8">
        <v>11.42</v>
      </c>
      <c r="C18" s="5">
        <v>192</v>
      </c>
      <c r="D18" s="5" t="s">
        <v>503</v>
      </c>
      <c r="E18" s="5" t="s">
        <v>422</v>
      </c>
    </row>
    <row r="19" spans="1:5" x14ac:dyDescent="0.2">
      <c r="A19" s="5" t="s">
        <v>10</v>
      </c>
      <c r="B19" s="8">
        <v>11.42</v>
      </c>
      <c r="C19" s="5"/>
      <c r="D19" s="5" t="s">
        <v>503</v>
      </c>
      <c r="E19" s="5" t="s">
        <v>427</v>
      </c>
    </row>
    <row r="20" spans="1:5" x14ac:dyDescent="0.2">
      <c r="A20" s="5" t="s">
        <v>11</v>
      </c>
      <c r="B20" s="8">
        <v>11.42</v>
      </c>
      <c r="C20" s="5"/>
      <c r="D20" s="5" t="s">
        <v>503</v>
      </c>
      <c r="E20" s="5" t="s">
        <v>423</v>
      </c>
    </row>
  </sheetData>
  <mergeCells count="1">
    <mergeCell ref="A4:G4"/>
  </mergeCells>
  <hyperlinks>
    <hyperlink ref="I1" r:id="rId1" location="'RESUMEN%20SUBIDAS'!A1" xr:uid="{00000000-0004-0000-22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16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96</v>
      </c>
      <c r="I1" s="21" t="s">
        <v>405</v>
      </c>
    </row>
    <row r="2" spans="1:9" x14ac:dyDescent="0.2">
      <c r="A2" s="22" t="s">
        <v>472</v>
      </c>
    </row>
    <row r="3" spans="1:9" x14ac:dyDescent="0.2">
      <c r="A3" s="3" t="s">
        <v>504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COUNTIF($A$14:$A$16,A7)</f>
        <v>1</v>
      </c>
      <c r="C7" s="8">
        <f>_xlfn.MINIFS($B$14:$B$16,$A$14:$A$16,A7)</f>
        <v>5.88</v>
      </c>
      <c r="D7" s="8">
        <f>AVERAGEIF($A$14:$A$16,A7,$B$14:$B$16)</f>
        <v>5.88</v>
      </c>
      <c r="E7" s="8">
        <f>_xlfn.MAXIFS($B$14:$B$16,$A$14:$A$16,A7)</f>
        <v>5.88</v>
      </c>
      <c r="F7" s="16"/>
      <c r="G7" s="16"/>
    </row>
    <row r="8" spans="1:9" x14ac:dyDescent="0.2">
      <c r="A8" s="5" t="s">
        <v>5</v>
      </c>
      <c r="B8" s="5">
        <f>COUNTIF($A$14:$A$16,A8)</f>
        <v>1</v>
      </c>
      <c r="C8" s="8">
        <f>_xlfn.MINIFS($B$14:$B$16,$A$14:$A$16,A8)</f>
        <v>5.88</v>
      </c>
      <c r="D8" s="8">
        <f>AVERAGEIF($A$14:$A$16,A8,$B$14:$B$16)</f>
        <v>5.88</v>
      </c>
      <c r="E8" s="8">
        <f>_xlfn.MAXIFS($B$14:$B$16,$A$14:$A$16,A8)</f>
        <v>5.88</v>
      </c>
      <c r="F8" s="16">
        <f>D8/D7-1</f>
        <v>0</v>
      </c>
      <c r="G8" s="16">
        <f>D8/$D$7-1</f>
        <v>0</v>
      </c>
    </row>
    <row r="9" spans="1:9" x14ac:dyDescent="0.2">
      <c r="A9" s="5" t="s">
        <v>8</v>
      </c>
      <c r="B9" s="5">
        <f>COUNTIF($A$14:$A$16,A9)</f>
        <v>1</v>
      </c>
      <c r="C9" s="8">
        <f>_xlfn.MINIFS($B$14:$B$16,$A$14:$A$16,A9)</f>
        <v>6.08</v>
      </c>
      <c r="D9" s="8">
        <f>AVERAGEIF($A$14:$A$16,A9,$B$14:$B$16)</f>
        <v>6.08</v>
      </c>
      <c r="E9" s="8">
        <f>_xlfn.MAXIFS($B$14:$B$16,$A$14:$A$16,A9)</f>
        <v>6.08</v>
      </c>
      <c r="F9" s="16">
        <f>D9/D8-1</f>
        <v>3.4013605442176909E-2</v>
      </c>
      <c r="G9" s="16">
        <f>D9/$D$7-1</f>
        <v>3.4013605442176909E-2</v>
      </c>
    </row>
    <row r="10" spans="1:9" x14ac:dyDescent="0.2">
      <c r="F10" s="22" t="s">
        <v>416</v>
      </c>
      <c r="G10" s="23">
        <f>D9/D7-1</f>
        <v>3.4013605442176909E-2</v>
      </c>
    </row>
    <row r="12" spans="1:9" x14ac:dyDescent="0.2">
      <c r="A12" s="22" t="s">
        <v>417</v>
      </c>
    </row>
    <row r="13" spans="1:9" ht="30" x14ac:dyDescent="0.2">
      <c r="A13" s="4" t="s">
        <v>409</v>
      </c>
      <c r="B13" s="4" t="s">
        <v>418</v>
      </c>
      <c r="C13" s="4" t="s">
        <v>419</v>
      </c>
      <c r="D13" s="4" t="s">
        <v>420</v>
      </c>
      <c r="E13" s="4" t="s">
        <v>421</v>
      </c>
    </row>
    <row r="14" spans="1:9" x14ac:dyDescent="0.2">
      <c r="A14" s="5" t="s">
        <v>4</v>
      </c>
      <c r="B14" s="8">
        <v>5.88</v>
      </c>
      <c r="C14" s="5">
        <v>72</v>
      </c>
      <c r="D14" s="5" t="s">
        <v>505</v>
      </c>
      <c r="E14" s="5" t="s">
        <v>422</v>
      </c>
    </row>
    <row r="15" spans="1:9" x14ac:dyDescent="0.2">
      <c r="A15" s="5" t="s">
        <v>5</v>
      </c>
      <c r="B15" s="8">
        <v>5.88</v>
      </c>
      <c r="C15" s="5">
        <v>72</v>
      </c>
      <c r="D15" s="5" t="s">
        <v>505</v>
      </c>
      <c r="E15" s="5" t="s">
        <v>422</v>
      </c>
    </row>
    <row r="16" spans="1:9" x14ac:dyDescent="0.2">
      <c r="A16" s="5" t="s">
        <v>8</v>
      </c>
      <c r="B16" s="8">
        <v>6.08</v>
      </c>
      <c r="C16" s="5">
        <v>48</v>
      </c>
      <c r="D16" s="5" t="s">
        <v>505</v>
      </c>
      <c r="E16" s="5" t="s">
        <v>422</v>
      </c>
    </row>
  </sheetData>
  <mergeCells count="1">
    <mergeCell ref="A4:G4"/>
  </mergeCells>
  <hyperlinks>
    <hyperlink ref="I1" r:id="rId1" location="'RESUMEN%20SUBIDAS'!A1" xr:uid="{00000000-0004-0000-23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16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98</v>
      </c>
      <c r="I1" s="21" t="s">
        <v>405</v>
      </c>
    </row>
    <row r="2" spans="1:9" x14ac:dyDescent="0.2">
      <c r="A2" s="22" t="s">
        <v>441</v>
      </c>
    </row>
    <row r="3" spans="1:9" x14ac:dyDescent="0.2">
      <c r="A3" s="3" t="s">
        <v>506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COUNTIF($A$14:$A$16,A7)</f>
        <v>1</v>
      </c>
      <c r="C7" s="8">
        <f>_xlfn.MINIFS($B$14:$B$16,$A$14:$A$16,A7)</f>
        <v>22.56</v>
      </c>
      <c r="D7" s="8">
        <f>AVERAGEIF($A$14:$A$16,A7,$B$14:$B$16)</f>
        <v>22.56</v>
      </c>
      <c r="E7" s="8">
        <f>_xlfn.MAXIFS($B$14:$B$16,$A$14:$A$16,A7)</f>
        <v>22.56</v>
      </c>
      <c r="F7" s="16"/>
      <c r="G7" s="16"/>
    </row>
    <row r="8" spans="1:9" x14ac:dyDescent="0.2">
      <c r="A8" s="5" t="s">
        <v>5</v>
      </c>
      <c r="B8" s="5">
        <f>COUNTIF($A$14:$A$16,A8)</f>
        <v>1</v>
      </c>
      <c r="C8" s="8">
        <f>_xlfn.MINIFS($B$14:$B$16,$A$14:$A$16,A8)</f>
        <v>23.28</v>
      </c>
      <c r="D8" s="8">
        <f>AVERAGEIF($A$14:$A$16,A8,$B$14:$B$16)</f>
        <v>23.28</v>
      </c>
      <c r="E8" s="8">
        <f>_xlfn.MAXIFS($B$14:$B$16,$A$14:$A$16,A8)</f>
        <v>23.28</v>
      </c>
      <c r="F8" s="16">
        <f>D8/D7-1</f>
        <v>3.1914893617021489E-2</v>
      </c>
      <c r="G8" s="16">
        <f>D8/$D$7-1</f>
        <v>3.1914893617021489E-2</v>
      </c>
    </row>
    <row r="9" spans="1:9" x14ac:dyDescent="0.2">
      <c r="A9" s="5" t="s">
        <v>8</v>
      </c>
      <c r="B9" s="5">
        <f>COUNTIF($A$14:$A$16,A9)</f>
        <v>1</v>
      </c>
      <c r="C9" s="8">
        <f>_xlfn.MINIFS($B$14:$B$16,$A$14:$A$16,A9)</f>
        <v>23.28</v>
      </c>
      <c r="D9" s="8">
        <f>AVERAGEIF($A$14:$A$16,A9,$B$14:$B$16)</f>
        <v>23.28</v>
      </c>
      <c r="E9" s="8">
        <f>_xlfn.MAXIFS($B$14:$B$16,$A$14:$A$16,A9)</f>
        <v>23.28</v>
      </c>
      <c r="F9" s="16">
        <f>D9/D8-1</f>
        <v>0</v>
      </c>
      <c r="G9" s="16">
        <f>D9/$D$7-1</f>
        <v>3.1914893617021489E-2</v>
      </c>
    </row>
    <row r="10" spans="1:9" x14ac:dyDescent="0.2">
      <c r="F10" s="22" t="s">
        <v>416</v>
      </c>
      <c r="G10" s="23">
        <f>D9/D7-1</f>
        <v>3.1914893617021489E-2</v>
      </c>
    </row>
    <row r="12" spans="1:9" x14ac:dyDescent="0.2">
      <c r="A12" s="22" t="s">
        <v>417</v>
      </c>
    </row>
    <row r="13" spans="1:9" ht="30" x14ac:dyDescent="0.2">
      <c r="A13" s="4" t="s">
        <v>409</v>
      </c>
      <c r="B13" s="4" t="s">
        <v>418</v>
      </c>
      <c r="C13" s="4" t="s">
        <v>419</v>
      </c>
      <c r="D13" s="4" t="s">
        <v>420</v>
      </c>
      <c r="E13" s="4" t="s">
        <v>421</v>
      </c>
    </row>
    <row r="14" spans="1:9" x14ac:dyDescent="0.2">
      <c r="A14" s="5" t="s">
        <v>4</v>
      </c>
      <c r="B14" s="8">
        <v>22.56</v>
      </c>
      <c r="C14" s="5">
        <v>7</v>
      </c>
      <c r="D14" s="5" t="s">
        <v>507</v>
      </c>
      <c r="E14" s="5" t="s">
        <v>422</v>
      </c>
    </row>
    <row r="15" spans="1:9" x14ac:dyDescent="0.2">
      <c r="A15" s="5" t="s">
        <v>5</v>
      </c>
      <c r="B15" s="8">
        <v>23.28</v>
      </c>
      <c r="C15" s="5">
        <v>3</v>
      </c>
      <c r="D15" s="5" t="s">
        <v>507</v>
      </c>
      <c r="E15" s="5" t="s">
        <v>422</v>
      </c>
    </row>
    <row r="16" spans="1:9" x14ac:dyDescent="0.2">
      <c r="A16" s="5" t="s">
        <v>8</v>
      </c>
      <c r="B16" s="8">
        <v>23.28</v>
      </c>
      <c r="C16" s="5"/>
      <c r="D16" s="5" t="s">
        <v>507</v>
      </c>
      <c r="E16" s="5" t="s">
        <v>422</v>
      </c>
    </row>
  </sheetData>
  <mergeCells count="1">
    <mergeCell ref="A4:G4"/>
  </mergeCells>
  <hyperlinks>
    <hyperlink ref="I1" r:id="rId1" location="'RESUMEN%20SUBIDAS'!A1" xr:uid="{00000000-0004-0000-24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18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100</v>
      </c>
      <c r="I1" s="21" t="s">
        <v>405</v>
      </c>
    </row>
    <row r="2" spans="1:9" x14ac:dyDescent="0.2">
      <c r="A2" s="22" t="s">
        <v>441</v>
      </c>
    </row>
    <row r="3" spans="1:9" x14ac:dyDescent="0.2">
      <c r="A3" s="3" t="s">
        <v>508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COUNTIF($A$15:$A$18,A7)</f>
        <v>1</v>
      </c>
      <c r="C7" s="8">
        <f>_xlfn.MINIFS($B$15:$B$18,$A$15:$A$18,A7)</f>
        <v>31.92</v>
      </c>
      <c r="D7" s="8">
        <f>AVERAGEIF($A$15:$A$18,A7,$B$15:$B$18)</f>
        <v>31.92</v>
      </c>
      <c r="E7" s="8">
        <f>_xlfn.MAXIFS($B$15:$B$18,$A$15:$A$18,A7)</f>
        <v>31.92</v>
      </c>
      <c r="F7" s="16"/>
      <c r="G7" s="16"/>
    </row>
    <row r="8" spans="1:9" x14ac:dyDescent="0.2">
      <c r="A8" s="5" t="s">
        <v>5</v>
      </c>
      <c r="B8" s="5">
        <f>COUNTIF($A$15:$A$18,A8)</f>
        <v>1</v>
      </c>
      <c r="C8" s="8">
        <f>_xlfn.MINIFS($B$15:$B$18,$A$15:$A$18,A8)</f>
        <v>32.880000000000003</v>
      </c>
      <c r="D8" s="8">
        <f>AVERAGEIF($A$15:$A$18,A8,$B$15:$B$18)</f>
        <v>32.880000000000003</v>
      </c>
      <c r="E8" s="8">
        <f>_xlfn.MAXIFS($B$15:$B$18,$A$15:$A$18,A8)</f>
        <v>32.880000000000003</v>
      </c>
      <c r="F8" s="16">
        <f>D8/D7-1</f>
        <v>3.007518796992481E-2</v>
      </c>
      <c r="G8" s="16">
        <f>D8/$D$7-1</f>
        <v>3.007518796992481E-2</v>
      </c>
    </row>
    <row r="9" spans="1:9" x14ac:dyDescent="0.2">
      <c r="A9" s="5" t="s">
        <v>8</v>
      </c>
      <c r="B9" s="5">
        <f>COUNTIF($A$15:$A$18,A9)</f>
        <v>1</v>
      </c>
      <c r="C9" s="8">
        <f>_xlfn.MINIFS($B$15:$B$18,$A$15:$A$18,A9)</f>
        <v>32.880000000000003</v>
      </c>
      <c r="D9" s="8">
        <f>AVERAGEIF($A$15:$A$18,A9,$B$15:$B$18)</f>
        <v>32.880000000000003</v>
      </c>
      <c r="E9" s="8">
        <f>_xlfn.MAXIFS($B$15:$B$18,$A$15:$A$18,A9)</f>
        <v>32.880000000000003</v>
      </c>
      <c r="F9" s="16">
        <f>D9/D8-1</f>
        <v>0</v>
      </c>
      <c r="G9" s="16">
        <f>D9/$D$7-1</f>
        <v>3.007518796992481E-2</v>
      </c>
    </row>
    <row r="10" spans="1:9" x14ac:dyDescent="0.2">
      <c r="A10" s="5" t="s">
        <v>10</v>
      </c>
      <c r="B10" s="5">
        <f>COUNTIF($A$15:$A$18,A10)</f>
        <v>1</v>
      </c>
      <c r="C10" s="8">
        <f>_xlfn.MINIFS($B$15:$B$18,$A$15:$A$18,A10)</f>
        <v>32.880000000000003</v>
      </c>
      <c r="D10" s="8">
        <f>AVERAGEIF($A$15:$A$18,A10,$B$15:$B$18)</f>
        <v>32.880000000000003</v>
      </c>
      <c r="E10" s="8">
        <f>_xlfn.MAXIFS($B$15:$B$18,$A$15:$A$18,A10)</f>
        <v>32.880000000000003</v>
      </c>
      <c r="F10" s="16">
        <f>D10/D9-1</f>
        <v>0</v>
      </c>
      <c r="G10" s="16">
        <f>D10/$D$7-1</f>
        <v>3.007518796992481E-2</v>
      </c>
    </row>
    <row r="11" spans="1:9" x14ac:dyDescent="0.2">
      <c r="F11" s="22" t="s">
        <v>416</v>
      </c>
      <c r="G11" s="23">
        <f>D10/D7-1</f>
        <v>3.007518796992481E-2</v>
      </c>
    </row>
    <row r="13" spans="1:9" x14ac:dyDescent="0.2">
      <c r="A13" s="22" t="s">
        <v>417</v>
      </c>
    </row>
    <row r="14" spans="1:9" ht="30" x14ac:dyDescent="0.2">
      <c r="A14" s="4" t="s">
        <v>409</v>
      </c>
      <c r="B14" s="4" t="s">
        <v>418</v>
      </c>
      <c r="C14" s="4" t="s">
        <v>419</v>
      </c>
      <c r="D14" s="4" t="s">
        <v>420</v>
      </c>
      <c r="E14" s="4" t="s">
        <v>421</v>
      </c>
    </row>
    <row r="15" spans="1:9" x14ac:dyDescent="0.2">
      <c r="A15" s="5" t="s">
        <v>4</v>
      </c>
      <c r="B15" s="8">
        <v>31.92</v>
      </c>
      <c r="C15" s="5">
        <v>5</v>
      </c>
      <c r="D15" s="5" t="s">
        <v>509</v>
      </c>
      <c r="E15" s="5" t="s">
        <v>422</v>
      </c>
    </row>
    <row r="16" spans="1:9" x14ac:dyDescent="0.2">
      <c r="A16" s="5" t="s">
        <v>5</v>
      </c>
      <c r="B16" s="8">
        <v>32.880000000000003</v>
      </c>
      <c r="C16" s="5">
        <v>4</v>
      </c>
      <c r="D16" s="5" t="s">
        <v>509</v>
      </c>
      <c r="E16" s="5" t="s">
        <v>422</v>
      </c>
    </row>
    <row r="17" spans="1:5" x14ac:dyDescent="0.2">
      <c r="A17" s="5" t="s">
        <v>8</v>
      </c>
      <c r="B17" s="8">
        <v>32.880000000000003</v>
      </c>
      <c r="C17" s="5">
        <v>3</v>
      </c>
      <c r="D17" s="5" t="s">
        <v>509</v>
      </c>
      <c r="E17" s="5" t="s">
        <v>422</v>
      </c>
    </row>
    <row r="18" spans="1:5" x14ac:dyDescent="0.2">
      <c r="A18" s="5" t="s">
        <v>10</v>
      </c>
      <c r="B18" s="8">
        <v>32.880000000000003</v>
      </c>
      <c r="C18" s="5">
        <v>5</v>
      </c>
      <c r="D18" s="5" t="s">
        <v>509</v>
      </c>
      <c r="E18" s="5" t="s">
        <v>427</v>
      </c>
    </row>
  </sheetData>
  <mergeCells count="1">
    <mergeCell ref="A4:G4"/>
  </mergeCells>
  <hyperlinks>
    <hyperlink ref="I1" r:id="rId1" location="'RESUMEN%20SUBIDAS'!A1" xr:uid="{00000000-0004-0000-25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18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102</v>
      </c>
      <c r="I1" s="21" t="s">
        <v>405</v>
      </c>
    </row>
    <row r="2" spans="1:9" x14ac:dyDescent="0.2">
      <c r="A2" s="22" t="s">
        <v>472</v>
      </c>
    </row>
    <row r="3" spans="1:9" x14ac:dyDescent="0.2">
      <c r="A3" s="3" t="s">
        <v>510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COUNTIF($A$15:$A$18,A7)</f>
        <v>1</v>
      </c>
      <c r="C7" s="8">
        <f>_xlfn.MINIFS($B$15:$B$18,$A$15:$A$18,A7)</f>
        <v>7.69</v>
      </c>
      <c r="D7" s="8">
        <f>AVERAGEIF($A$15:$A$18,A7,$B$15:$B$18)</f>
        <v>7.69</v>
      </c>
      <c r="E7" s="8">
        <f>_xlfn.MAXIFS($B$15:$B$18,$A$15:$A$18,A7)</f>
        <v>7.69</v>
      </c>
      <c r="F7" s="16"/>
      <c r="G7" s="16"/>
    </row>
    <row r="8" spans="1:9" x14ac:dyDescent="0.2">
      <c r="A8" s="5" t="s">
        <v>5</v>
      </c>
      <c r="B8" s="5">
        <f>COUNTIF($A$15:$A$18,A8)</f>
        <v>1</v>
      </c>
      <c r="C8" s="8">
        <f>_xlfn.MINIFS($B$15:$B$18,$A$15:$A$18,A8)</f>
        <v>7.69</v>
      </c>
      <c r="D8" s="8">
        <f>AVERAGEIF($A$15:$A$18,A8,$B$15:$B$18)</f>
        <v>7.69</v>
      </c>
      <c r="E8" s="8">
        <f>_xlfn.MAXIFS($B$15:$B$18,$A$15:$A$18,A8)</f>
        <v>7.69</v>
      </c>
      <c r="F8" s="16">
        <f>D8/D7-1</f>
        <v>0</v>
      </c>
      <c r="G8" s="16">
        <f>D8/$D$7-1</f>
        <v>0</v>
      </c>
    </row>
    <row r="9" spans="1:9" x14ac:dyDescent="0.2">
      <c r="A9" s="5" t="s">
        <v>8</v>
      </c>
      <c r="B9" s="5">
        <f>COUNTIF($A$15:$A$18,A9)</f>
        <v>1</v>
      </c>
      <c r="C9" s="8">
        <f>_xlfn.MINIFS($B$15:$B$18,$A$15:$A$18,A9)</f>
        <v>7.88</v>
      </c>
      <c r="D9" s="8">
        <f>AVERAGEIF($A$15:$A$18,A9,$B$15:$B$18)</f>
        <v>7.88</v>
      </c>
      <c r="E9" s="8">
        <f>_xlfn.MAXIFS($B$15:$B$18,$A$15:$A$18,A9)</f>
        <v>7.88</v>
      </c>
      <c r="F9" s="16">
        <f>D9/D8-1</f>
        <v>2.4707412223667014E-2</v>
      </c>
      <c r="G9" s="16">
        <f>D9/$D$7-1</f>
        <v>2.4707412223667014E-2</v>
      </c>
    </row>
    <row r="10" spans="1:9" x14ac:dyDescent="0.2">
      <c r="A10" s="5" t="s">
        <v>10</v>
      </c>
      <c r="B10" s="5">
        <f>COUNTIF($A$15:$A$18,A10)</f>
        <v>1</v>
      </c>
      <c r="C10" s="8">
        <f>_xlfn.MINIFS($B$15:$B$18,$A$15:$A$18,A10)</f>
        <v>7.88</v>
      </c>
      <c r="D10" s="8">
        <f>AVERAGEIF($A$15:$A$18,A10,$B$15:$B$18)</f>
        <v>7.88</v>
      </c>
      <c r="E10" s="8">
        <f>_xlfn.MAXIFS($B$15:$B$18,$A$15:$A$18,A10)</f>
        <v>7.88</v>
      </c>
      <c r="F10" s="16">
        <f>D10/D9-1</f>
        <v>0</v>
      </c>
      <c r="G10" s="16">
        <f>D10/$D$7-1</f>
        <v>2.4707412223667014E-2</v>
      </c>
    </row>
    <row r="11" spans="1:9" x14ac:dyDescent="0.2">
      <c r="F11" s="22" t="s">
        <v>416</v>
      </c>
      <c r="G11" s="23">
        <f>D10/D7-1</f>
        <v>2.4707412223667014E-2</v>
      </c>
    </row>
    <row r="13" spans="1:9" x14ac:dyDescent="0.2">
      <c r="A13" s="22" t="s">
        <v>417</v>
      </c>
    </row>
    <row r="14" spans="1:9" ht="30" x14ac:dyDescent="0.2">
      <c r="A14" s="4" t="s">
        <v>409</v>
      </c>
      <c r="B14" s="4" t="s">
        <v>418</v>
      </c>
      <c r="C14" s="4" t="s">
        <v>419</v>
      </c>
      <c r="D14" s="4" t="s">
        <v>420</v>
      </c>
      <c r="E14" s="4" t="s">
        <v>421</v>
      </c>
    </row>
    <row r="15" spans="1:9" x14ac:dyDescent="0.2">
      <c r="A15" s="5" t="s">
        <v>4</v>
      </c>
      <c r="B15" s="8">
        <v>7.69</v>
      </c>
      <c r="C15" s="5">
        <v>24</v>
      </c>
      <c r="D15" s="5" t="s">
        <v>511</v>
      </c>
      <c r="E15" s="5" t="s">
        <v>422</v>
      </c>
    </row>
    <row r="16" spans="1:9" x14ac:dyDescent="0.2">
      <c r="A16" s="5" t="s">
        <v>5</v>
      </c>
      <c r="B16" s="8">
        <v>7.69</v>
      </c>
      <c r="C16" s="5">
        <v>48</v>
      </c>
      <c r="D16" s="5" t="s">
        <v>511</v>
      </c>
      <c r="E16" s="5" t="s">
        <v>422</v>
      </c>
    </row>
    <row r="17" spans="1:5" x14ac:dyDescent="0.2">
      <c r="A17" s="5" t="s">
        <v>8</v>
      </c>
      <c r="B17" s="8">
        <v>7.88</v>
      </c>
      <c r="C17" s="5">
        <v>12</v>
      </c>
      <c r="D17" s="5" t="s">
        <v>511</v>
      </c>
      <c r="E17" s="5" t="s">
        <v>422</v>
      </c>
    </row>
    <row r="18" spans="1:5" x14ac:dyDescent="0.2">
      <c r="A18" s="5" t="s">
        <v>10</v>
      </c>
      <c r="B18" s="8">
        <v>7.88</v>
      </c>
      <c r="C18" s="5"/>
      <c r="D18" s="5" t="s">
        <v>512</v>
      </c>
      <c r="E18" s="5" t="s">
        <v>427</v>
      </c>
    </row>
  </sheetData>
  <mergeCells count="1">
    <mergeCell ref="A4:G4"/>
  </mergeCells>
  <hyperlinks>
    <hyperlink ref="I1" r:id="rId1" location="'RESUMEN%20SUBIDAS'!A1" xr:uid="{00000000-0004-0000-26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16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104</v>
      </c>
      <c r="I1" s="21" t="s">
        <v>405</v>
      </c>
    </row>
    <row r="2" spans="1:9" x14ac:dyDescent="0.2">
      <c r="A2" s="22" t="s">
        <v>439</v>
      </c>
    </row>
    <row r="3" spans="1:9" x14ac:dyDescent="0.2">
      <c r="A3" s="3" t="s">
        <v>513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COUNTIF($A$14:$A$16,A7)</f>
        <v>1</v>
      </c>
      <c r="C7" s="8">
        <f>_xlfn.MINIFS($B$14:$B$16,$A$14:$A$16,A7)</f>
        <v>35.49</v>
      </c>
      <c r="D7" s="8">
        <f>AVERAGEIF($A$14:$A$16,A7,$B$14:$B$16)</f>
        <v>35.49</v>
      </c>
      <c r="E7" s="8">
        <f>_xlfn.MAXIFS($B$14:$B$16,$A$14:$A$16,A7)</f>
        <v>35.49</v>
      </c>
      <c r="F7" s="16"/>
      <c r="G7" s="16"/>
    </row>
    <row r="8" spans="1:9" x14ac:dyDescent="0.2">
      <c r="A8" s="5" t="s">
        <v>5</v>
      </c>
      <c r="B8" s="5">
        <f>COUNTIF($A$14:$A$16,A8)</f>
        <v>1</v>
      </c>
      <c r="C8" s="8">
        <f>_xlfn.MINIFS($B$14:$B$16,$A$14:$A$16,A8)</f>
        <v>35.49</v>
      </c>
      <c r="D8" s="8">
        <f>AVERAGEIF($A$14:$A$16,A8,$B$14:$B$16)</f>
        <v>35.49</v>
      </c>
      <c r="E8" s="8">
        <f>_xlfn.MAXIFS($B$14:$B$16,$A$14:$A$16,A8)</f>
        <v>35.49</v>
      </c>
      <c r="F8" s="16">
        <f>D8/D7-1</f>
        <v>0</v>
      </c>
      <c r="G8" s="16">
        <f>D8/$D$7-1</f>
        <v>0</v>
      </c>
    </row>
    <row r="9" spans="1:9" x14ac:dyDescent="0.2">
      <c r="A9" s="5" t="s">
        <v>8</v>
      </c>
      <c r="B9" s="5">
        <f>COUNTIF($A$14:$A$16,A9)</f>
        <v>1</v>
      </c>
      <c r="C9" s="8">
        <f>_xlfn.MINIFS($B$14:$B$16,$A$14:$A$16,A9)</f>
        <v>36.35</v>
      </c>
      <c r="D9" s="8">
        <f>AVERAGEIF($A$14:$A$16,A9,$B$14:$B$16)</f>
        <v>36.35</v>
      </c>
      <c r="E9" s="8">
        <f>_xlfn.MAXIFS($B$14:$B$16,$A$14:$A$16,A9)</f>
        <v>36.35</v>
      </c>
      <c r="F9" s="16">
        <f>D9/D8-1</f>
        <v>2.423217807833189E-2</v>
      </c>
      <c r="G9" s="16">
        <f>D9/$D$7-1</f>
        <v>2.423217807833189E-2</v>
      </c>
    </row>
    <row r="10" spans="1:9" x14ac:dyDescent="0.2">
      <c r="F10" s="22" t="s">
        <v>416</v>
      </c>
      <c r="G10" s="23">
        <f>D9/D7-1</f>
        <v>2.423217807833189E-2</v>
      </c>
    </row>
    <row r="12" spans="1:9" x14ac:dyDescent="0.2">
      <c r="A12" s="22" t="s">
        <v>417</v>
      </c>
    </row>
    <row r="13" spans="1:9" ht="30" x14ac:dyDescent="0.2">
      <c r="A13" s="4" t="s">
        <v>409</v>
      </c>
      <c r="B13" s="4" t="s">
        <v>418</v>
      </c>
      <c r="C13" s="4" t="s">
        <v>419</v>
      </c>
      <c r="D13" s="4" t="s">
        <v>420</v>
      </c>
      <c r="E13" s="4" t="s">
        <v>421</v>
      </c>
    </row>
    <row r="14" spans="1:9" x14ac:dyDescent="0.2">
      <c r="A14" s="5" t="s">
        <v>4</v>
      </c>
      <c r="B14" s="8">
        <v>35.49</v>
      </c>
      <c r="C14" s="5">
        <v>18</v>
      </c>
      <c r="D14" s="5" t="s">
        <v>104</v>
      </c>
      <c r="E14" s="5" t="s">
        <v>422</v>
      </c>
    </row>
    <row r="15" spans="1:9" x14ac:dyDescent="0.2">
      <c r="A15" s="5" t="s">
        <v>5</v>
      </c>
      <c r="B15" s="8">
        <v>35.49</v>
      </c>
      <c r="C15" s="5">
        <v>12</v>
      </c>
      <c r="D15" s="5" t="s">
        <v>104</v>
      </c>
      <c r="E15" s="5" t="s">
        <v>422</v>
      </c>
    </row>
    <row r="16" spans="1:9" x14ac:dyDescent="0.2">
      <c r="A16" s="5" t="s">
        <v>8</v>
      </c>
      <c r="B16" s="8">
        <v>36.35</v>
      </c>
      <c r="C16" s="5">
        <v>12</v>
      </c>
      <c r="D16" s="5" t="s">
        <v>104</v>
      </c>
      <c r="E16" s="5" t="s">
        <v>422</v>
      </c>
    </row>
  </sheetData>
  <mergeCells count="1">
    <mergeCell ref="A4:G4"/>
  </mergeCells>
  <hyperlinks>
    <hyperlink ref="I1" r:id="rId1" location="'RESUMEN%20SUBIDAS'!A1" xr:uid="{00000000-0004-0000-27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14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106</v>
      </c>
      <c r="I1" s="21" t="s">
        <v>405</v>
      </c>
    </row>
    <row r="2" spans="1:9" x14ac:dyDescent="0.2">
      <c r="A2" s="22" t="s">
        <v>439</v>
      </c>
    </row>
    <row r="3" spans="1:9" x14ac:dyDescent="0.2">
      <c r="A3" s="3" t="s">
        <v>514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5</v>
      </c>
      <c r="B7" s="5">
        <f>COUNTIF($A$13:$A$14,A7)</f>
        <v>1</v>
      </c>
      <c r="C7" s="8">
        <f>_xlfn.MINIFS($B$13:$B$14,$A$13:$A$14,A7)</f>
        <v>17.63</v>
      </c>
      <c r="D7" s="8">
        <f>AVERAGEIF($A$13:$A$14,A7,$B$13:$B$14)</f>
        <v>17.63</v>
      </c>
      <c r="E7" s="8">
        <f>_xlfn.MAXIFS($B$13:$B$14,$A$13:$A$14,A7)</f>
        <v>17.63</v>
      </c>
      <c r="F7" s="16"/>
      <c r="G7" s="16"/>
    </row>
    <row r="8" spans="1:9" x14ac:dyDescent="0.2">
      <c r="A8" s="5" t="s">
        <v>8</v>
      </c>
      <c r="B8" s="5">
        <f>COUNTIF($A$13:$A$14,A8)</f>
        <v>1</v>
      </c>
      <c r="C8" s="8">
        <f>_xlfn.MINIFS($B$13:$B$14,$A$13:$A$14,A8)</f>
        <v>18.03</v>
      </c>
      <c r="D8" s="8">
        <f>AVERAGEIF($A$13:$A$14,A8,$B$13:$B$14)</f>
        <v>18.03</v>
      </c>
      <c r="E8" s="8">
        <f>_xlfn.MAXIFS($B$13:$B$14,$A$13:$A$14,A8)</f>
        <v>18.03</v>
      </c>
      <c r="F8" s="16">
        <f>D8/D7-1</f>
        <v>2.2688598979013097E-2</v>
      </c>
      <c r="G8" s="16">
        <f>D8/$D$7-1</f>
        <v>2.2688598979013097E-2</v>
      </c>
    </row>
    <row r="9" spans="1:9" x14ac:dyDescent="0.2">
      <c r="F9" s="22" t="s">
        <v>416</v>
      </c>
      <c r="G9" s="23">
        <f>D8/D7-1</f>
        <v>2.2688598979013097E-2</v>
      </c>
    </row>
    <row r="11" spans="1:9" x14ac:dyDescent="0.2">
      <c r="A11" s="22" t="s">
        <v>417</v>
      </c>
    </row>
    <row r="12" spans="1:9" ht="30" x14ac:dyDescent="0.2">
      <c r="A12" s="4" t="s">
        <v>409</v>
      </c>
      <c r="B12" s="4" t="s">
        <v>418</v>
      </c>
      <c r="C12" s="4" t="s">
        <v>419</v>
      </c>
      <c r="D12" s="4" t="s">
        <v>420</v>
      </c>
      <c r="E12" s="4" t="s">
        <v>421</v>
      </c>
    </row>
    <row r="13" spans="1:9" x14ac:dyDescent="0.2">
      <c r="A13" s="5" t="s">
        <v>5</v>
      </c>
      <c r="B13" s="8">
        <v>17.63</v>
      </c>
      <c r="C13" s="5">
        <v>12</v>
      </c>
      <c r="D13" s="5" t="s">
        <v>515</v>
      </c>
      <c r="E13" s="5" t="s">
        <v>422</v>
      </c>
    </row>
    <row r="14" spans="1:9" x14ac:dyDescent="0.2">
      <c r="A14" s="5" t="s">
        <v>8</v>
      </c>
      <c r="B14" s="8">
        <v>18.03</v>
      </c>
      <c r="C14" s="5">
        <v>18</v>
      </c>
      <c r="D14" s="5" t="s">
        <v>515</v>
      </c>
      <c r="E14" s="5" t="s">
        <v>422</v>
      </c>
    </row>
  </sheetData>
  <mergeCells count="1">
    <mergeCell ref="A4:G4"/>
  </mergeCells>
  <hyperlinks>
    <hyperlink ref="I1" r:id="rId1" location="'RESUMEN%20SUBIDAS'!A1" xr:uid="{00000000-0004-0000-28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18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108</v>
      </c>
      <c r="I1" s="21" t="s">
        <v>405</v>
      </c>
    </row>
    <row r="2" spans="1:9" x14ac:dyDescent="0.2">
      <c r="A2" s="22" t="s">
        <v>441</v>
      </c>
    </row>
    <row r="3" spans="1:9" x14ac:dyDescent="0.2">
      <c r="A3" s="3" t="s">
        <v>516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COUNTIF($A$15:$A$18,A7)</f>
        <v>1</v>
      </c>
      <c r="C7" s="8">
        <f>_xlfn.MINIFS($B$15:$B$18,$A$15:$A$18,A7)</f>
        <v>25.48</v>
      </c>
      <c r="D7" s="8">
        <f>AVERAGEIF($A$15:$A$18,A7,$B$15:$B$18)</f>
        <v>25.48</v>
      </c>
      <c r="E7" s="8">
        <f>_xlfn.MAXIFS($B$15:$B$18,$A$15:$A$18,A7)</f>
        <v>25.48</v>
      </c>
      <c r="F7" s="16"/>
      <c r="G7" s="16"/>
    </row>
    <row r="8" spans="1:9" x14ac:dyDescent="0.2">
      <c r="A8" s="5" t="s">
        <v>5</v>
      </c>
      <c r="B8" s="5">
        <f>COUNTIF($A$15:$A$18,A8)</f>
        <v>1</v>
      </c>
      <c r="C8" s="8">
        <f>_xlfn.MINIFS($B$15:$B$18,$A$15:$A$18,A8)</f>
        <v>26.04</v>
      </c>
      <c r="D8" s="8">
        <f>AVERAGEIF($A$15:$A$18,A8,$B$15:$B$18)</f>
        <v>26.04</v>
      </c>
      <c r="E8" s="8">
        <f>_xlfn.MAXIFS($B$15:$B$18,$A$15:$A$18,A8)</f>
        <v>26.04</v>
      </c>
      <c r="F8" s="16">
        <f>D8/D7-1</f>
        <v>2.19780219780219E-2</v>
      </c>
      <c r="G8" s="16">
        <f>D8/$D$7-1</f>
        <v>2.19780219780219E-2</v>
      </c>
    </row>
    <row r="9" spans="1:9" x14ac:dyDescent="0.2">
      <c r="A9" s="5" t="s">
        <v>8</v>
      </c>
      <c r="B9" s="5">
        <f>COUNTIF($A$15:$A$18,A9)</f>
        <v>1</v>
      </c>
      <c r="C9" s="8">
        <f>_xlfn.MINIFS($B$15:$B$18,$A$15:$A$18,A9)</f>
        <v>26.04</v>
      </c>
      <c r="D9" s="8">
        <f>AVERAGEIF($A$15:$A$18,A9,$B$15:$B$18)</f>
        <v>26.04</v>
      </c>
      <c r="E9" s="8">
        <f>_xlfn.MAXIFS($B$15:$B$18,$A$15:$A$18,A9)</f>
        <v>26.04</v>
      </c>
      <c r="F9" s="16">
        <f>D9/D8-1</f>
        <v>0</v>
      </c>
      <c r="G9" s="16">
        <f>D9/$D$7-1</f>
        <v>2.19780219780219E-2</v>
      </c>
    </row>
    <row r="10" spans="1:9" x14ac:dyDescent="0.2">
      <c r="A10" s="5" t="s">
        <v>10</v>
      </c>
      <c r="B10" s="5">
        <f>COUNTIF($A$15:$A$18,A10)</f>
        <v>1</v>
      </c>
      <c r="C10" s="8">
        <f>_xlfn.MINIFS($B$15:$B$18,$A$15:$A$18,A10)</f>
        <v>26.04</v>
      </c>
      <c r="D10" s="8">
        <f>AVERAGEIF($A$15:$A$18,A10,$B$15:$B$18)</f>
        <v>26.04</v>
      </c>
      <c r="E10" s="8">
        <f>_xlfn.MAXIFS($B$15:$B$18,$A$15:$A$18,A10)</f>
        <v>26.04</v>
      </c>
      <c r="F10" s="16">
        <f>D10/D9-1</f>
        <v>0</v>
      </c>
      <c r="G10" s="16">
        <f>D10/$D$7-1</f>
        <v>2.19780219780219E-2</v>
      </c>
    </row>
    <row r="11" spans="1:9" x14ac:dyDescent="0.2">
      <c r="F11" s="22" t="s">
        <v>416</v>
      </c>
      <c r="G11" s="23">
        <f>D10/D7-1</f>
        <v>2.19780219780219E-2</v>
      </c>
    </row>
    <row r="13" spans="1:9" x14ac:dyDescent="0.2">
      <c r="A13" s="22" t="s">
        <v>417</v>
      </c>
    </row>
    <row r="14" spans="1:9" ht="30" x14ac:dyDescent="0.2">
      <c r="A14" s="4" t="s">
        <v>409</v>
      </c>
      <c r="B14" s="4" t="s">
        <v>418</v>
      </c>
      <c r="C14" s="4" t="s">
        <v>419</v>
      </c>
      <c r="D14" s="4" t="s">
        <v>420</v>
      </c>
      <c r="E14" s="4" t="s">
        <v>421</v>
      </c>
    </row>
    <row r="15" spans="1:9" x14ac:dyDescent="0.2">
      <c r="A15" s="5" t="s">
        <v>4</v>
      </c>
      <c r="B15" s="8">
        <v>25.48</v>
      </c>
      <c r="C15" s="5">
        <v>4</v>
      </c>
      <c r="D15" s="5" t="s">
        <v>517</v>
      </c>
      <c r="E15" s="5" t="s">
        <v>422</v>
      </c>
    </row>
    <row r="16" spans="1:9" x14ac:dyDescent="0.2">
      <c r="A16" s="5" t="s">
        <v>5</v>
      </c>
      <c r="B16" s="8">
        <v>26.04</v>
      </c>
      <c r="C16" s="5">
        <v>6</v>
      </c>
      <c r="D16" s="5" t="s">
        <v>517</v>
      </c>
      <c r="E16" s="5" t="s">
        <v>422</v>
      </c>
    </row>
    <row r="17" spans="1:5" x14ac:dyDescent="0.2">
      <c r="A17" s="5" t="s">
        <v>8</v>
      </c>
      <c r="B17" s="8">
        <v>26.04</v>
      </c>
      <c r="C17" s="5">
        <v>10</v>
      </c>
      <c r="D17" s="5" t="s">
        <v>517</v>
      </c>
      <c r="E17" s="5" t="s">
        <v>422</v>
      </c>
    </row>
    <row r="18" spans="1:5" x14ac:dyDescent="0.2">
      <c r="A18" s="5" t="s">
        <v>10</v>
      </c>
      <c r="B18" s="8">
        <v>26.04</v>
      </c>
      <c r="C18" s="5">
        <v>7</v>
      </c>
      <c r="D18" s="5" t="s">
        <v>518</v>
      </c>
      <c r="E18" s="5" t="s">
        <v>427</v>
      </c>
    </row>
  </sheetData>
  <mergeCells count="1">
    <mergeCell ref="A4:G4"/>
  </mergeCells>
  <hyperlinks>
    <hyperlink ref="I1" r:id="rId1" location="'RESUMEN%20SUBIDAS'!A1" xr:uid="{00000000-0004-0000-29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18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110</v>
      </c>
      <c r="I1" s="21" t="s">
        <v>405</v>
      </c>
    </row>
    <row r="2" spans="1:9" x14ac:dyDescent="0.2">
      <c r="A2" s="22" t="s">
        <v>441</v>
      </c>
    </row>
    <row r="3" spans="1:9" x14ac:dyDescent="0.2">
      <c r="A3" s="3" t="s">
        <v>519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COUNTIF($A$15:$A$18,A7)</f>
        <v>1</v>
      </c>
      <c r="C7" s="8">
        <f>_xlfn.MINIFS($B$15:$B$18,$A$15:$A$18,A7)</f>
        <v>25.48</v>
      </c>
      <c r="D7" s="8">
        <f>AVERAGEIF($A$15:$A$18,A7,$B$15:$B$18)</f>
        <v>25.48</v>
      </c>
      <c r="E7" s="8">
        <f>_xlfn.MAXIFS($B$15:$B$18,$A$15:$A$18,A7)</f>
        <v>25.48</v>
      </c>
      <c r="F7" s="16"/>
      <c r="G7" s="16"/>
    </row>
    <row r="8" spans="1:9" x14ac:dyDescent="0.2">
      <c r="A8" s="5" t="s">
        <v>5</v>
      </c>
      <c r="B8" s="5">
        <f>COUNTIF($A$15:$A$18,A8)</f>
        <v>1</v>
      </c>
      <c r="C8" s="8">
        <f>_xlfn.MINIFS($B$15:$B$18,$A$15:$A$18,A8)</f>
        <v>26.04</v>
      </c>
      <c r="D8" s="8">
        <f>AVERAGEIF($A$15:$A$18,A8,$B$15:$B$18)</f>
        <v>26.04</v>
      </c>
      <c r="E8" s="8">
        <f>_xlfn.MAXIFS($B$15:$B$18,$A$15:$A$18,A8)</f>
        <v>26.04</v>
      </c>
      <c r="F8" s="16">
        <f>D8/D7-1</f>
        <v>2.19780219780219E-2</v>
      </c>
      <c r="G8" s="16">
        <f>D8/$D$7-1</f>
        <v>2.19780219780219E-2</v>
      </c>
    </row>
    <row r="9" spans="1:9" x14ac:dyDescent="0.2">
      <c r="A9" s="5" t="s">
        <v>8</v>
      </c>
      <c r="B9" s="5">
        <f>COUNTIF($A$15:$A$18,A9)</f>
        <v>1</v>
      </c>
      <c r="C9" s="8">
        <f>_xlfn.MINIFS($B$15:$B$18,$A$15:$A$18,A9)</f>
        <v>26.04</v>
      </c>
      <c r="D9" s="8">
        <f>AVERAGEIF($A$15:$A$18,A9,$B$15:$B$18)</f>
        <v>26.04</v>
      </c>
      <c r="E9" s="8">
        <f>_xlfn.MAXIFS($B$15:$B$18,$A$15:$A$18,A9)</f>
        <v>26.04</v>
      </c>
      <c r="F9" s="16">
        <f>D9/D8-1</f>
        <v>0</v>
      </c>
      <c r="G9" s="16">
        <f>D9/$D$7-1</f>
        <v>2.19780219780219E-2</v>
      </c>
    </row>
    <row r="10" spans="1:9" x14ac:dyDescent="0.2">
      <c r="A10" s="5" t="s">
        <v>10</v>
      </c>
      <c r="B10" s="5">
        <f>COUNTIF($A$15:$A$18,A10)</f>
        <v>1</v>
      </c>
      <c r="C10" s="8">
        <f>_xlfn.MINIFS($B$15:$B$18,$A$15:$A$18,A10)</f>
        <v>26.04</v>
      </c>
      <c r="D10" s="8">
        <f>AVERAGEIF($A$15:$A$18,A10,$B$15:$B$18)</f>
        <v>26.04</v>
      </c>
      <c r="E10" s="8">
        <f>_xlfn.MAXIFS($B$15:$B$18,$A$15:$A$18,A10)</f>
        <v>26.04</v>
      </c>
      <c r="F10" s="16">
        <f>D10/D9-1</f>
        <v>0</v>
      </c>
      <c r="G10" s="16">
        <f>D10/$D$7-1</f>
        <v>2.19780219780219E-2</v>
      </c>
    </row>
    <row r="11" spans="1:9" x14ac:dyDescent="0.2">
      <c r="F11" s="22" t="s">
        <v>416</v>
      </c>
      <c r="G11" s="23">
        <f>D10/D7-1</f>
        <v>2.19780219780219E-2</v>
      </c>
    </row>
    <row r="13" spans="1:9" x14ac:dyDescent="0.2">
      <c r="A13" s="22" t="s">
        <v>417</v>
      </c>
    </row>
    <row r="14" spans="1:9" ht="30" x14ac:dyDescent="0.2">
      <c r="A14" s="4" t="s">
        <v>409</v>
      </c>
      <c r="B14" s="4" t="s">
        <v>418</v>
      </c>
      <c r="C14" s="4" t="s">
        <v>419</v>
      </c>
      <c r="D14" s="4" t="s">
        <v>420</v>
      </c>
      <c r="E14" s="4" t="s">
        <v>421</v>
      </c>
    </row>
    <row r="15" spans="1:9" x14ac:dyDescent="0.2">
      <c r="A15" s="5" t="s">
        <v>4</v>
      </c>
      <c r="B15" s="8">
        <v>25.48</v>
      </c>
      <c r="C15" s="5">
        <v>2</v>
      </c>
      <c r="D15" s="5" t="s">
        <v>520</v>
      </c>
      <c r="E15" s="5" t="s">
        <v>422</v>
      </c>
    </row>
    <row r="16" spans="1:9" x14ac:dyDescent="0.2">
      <c r="A16" s="5" t="s">
        <v>5</v>
      </c>
      <c r="B16" s="8">
        <v>26.04</v>
      </c>
      <c r="C16" s="5">
        <v>2</v>
      </c>
      <c r="D16" s="5" t="s">
        <v>520</v>
      </c>
      <c r="E16" s="5" t="s">
        <v>422</v>
      </c>
    </row>
    <row r="17" spans="1:5" x14ac:dyDescent="0.2">
      <c r="A17" s="5" t="s">
        <v>8</v>
      </c>
      <c r="B17" s="8">
        <v>26.04</v>
      </c>
      <c r="C17" s="5">
        <v>3</v>
      </c>
      <c r="D17" s="5" t="s">
        <v>520</v>
      </c>
      <c r="E17" s="5" t="s">
        <v>422</v>
      </c>
    </row>
    <row r="18" spans="1:5" x14ac:dyDescent="0.2">
      <c r="A18" s="5" t="s">
        <v>10</v>
      </c>
      <c r="B18" s="8">
        <v>26.04</v>
      </c>
      <c r="C18" s="5">
        <v>1</v>
      </c>
      <c r="D18" s="5" t="s">
        <v>520</v>
      </c>
      <c r="E18" s="5" t="s">
        <v>427</v>
      </c>
    </row>
  </sheetData>
  <mergeCells count="1">
    <mergeCell ref="A4:G4"/>
  </mergeCells>
  <hyperlinks>
    <hyperlink ref="I1" r:id="rId1" location="'RESUMEN%20SUBIDAS'!A1" xr:uid="{00000000-0004-0000-2A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25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112</v>
      </c>
      <c r="I1" s="21" t="s">
        <v>405</v>
      </c>
    </row>
    <row r="2" spans="1:9" x14ac:dyDescent="0.2">
      <c r="A2" s="22" t="s">
        <v>521</v>
      </c>
    </row>
    <row r="3" spans="1:9" x14ac:dyDescent="0.2">
      <c r="A3" s="3" t="s">
        <v>522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 t="shared" ref="B7:B12" si="0">COUNTIF($A$17:$A$25,A7)</f>
        <v>1</v>
      </c>
      <c r="C7" s="8">
        <f t="shared" ref="C7:C12" si="1">_xlfn.MINIFS($B$17:$B$25,$A$17:$A$25,A7)</f>
        <v>23.95</v>
      </c>
      <c r="D7" s="8">
        <f t="shared" ref="D7:D12" si="2">AVERAGEIF($A$17:$A$25,A7,$B$17:$B$25)</f>
        <v>23.95</v>
      </c>
      <c r="E7" s="8">
        <f t="shared" ref="E7:E12" si="3">_xlfn.MAXIFS($B$17:$B$25,$A$17:$A$25,A7)</f>
        <v>23.95</v>
      </c>
      <c r="F7" s="16"/>
      <c r="G7" s="16"/>
    </row>
    <row r="8" spans="1:9" x14ac:dyDescent="0.2">
      <c r="A8" s="5" t="s">
        <v>5</v>
      </c>
      <c r="B8" s="5">
        <f t="shared" si="0"/>
        <v>2</v>
      </c>
      <c r="C8" s="8">
        <f t="shared" si="1"/>
        <v>23.95</v>
      </c>
      <c r="D8" s="8">
        <f t="shared" si="2"/>
        <v>24.95</v>
      </c>
      <c r="E8" s="8">
        <f t="shared" si="3"/>
        <v>25.95</v>
      </c>
      <c r="F8" s="16">
        <f>D8/D7-1</f>
        <v>4.175365344467652E-2</v>
      </c>
      <c r="G8" s="16">
        <f>D8/$D$7-1</f>
        <v>4.175365344467652E-2</v>
      </c>
    </row>
    <row r="9" spans="1:9" x14ac:dyDescent="0.2">
      <c r="A9" s="5" t="s">
        <v>7</v>
      </c>
      <c r="B9" s="5">
        <f t="shared" si="0"/>
        <v>2</v>
      </c>
      <c r="C9" s="8">
        <f t="shared" si="1"/>
        <v>23.95</v>
      </c>
      <c r="D9" s="8">
        <f t="shared" si="2"/>
        <v>24.95</v>
      </c>
      <c r="E9" s="8">
        <f t="shared" si="3"/>
        <v>25.95</v>
      </c>
      <c r="F9" s="16">
        <f>D9/D8-1</f>
        <v>0</v>
      </c>
      <c r="G9" s="16">
        <f>D9/$D$7-1</f>
        <v>4.175365344467652E-2</v>
      </c>
    </row>
    <row r="10" spans="1:9" x14ac:dyDescent="0.2">
      <c r="A10" s="5" t="s">
        <v>8</v>
      </c>
      <c r="B10" s="5">
        <f t="shared" si="0"/>
        <v>1</v>
      </c>
      <c r="C10" s="8">
        <f t="shared" si="1"/>
        <v>23.95</v>
      </c>
      <c r="D10" s="8">
        <f t="shared" si="2"/>
        <v>23.95</v>
      </c>
      <c r="E10" s="8">
        <f t="shared" si="3"/>
        <v>23.95</v>
      </c>
      <c r="F10" s="16">
        <f>D10/D9-1</f>
        <v>-4.0080160320641323E-2</v>
      </c>
      <c r="G10" s="16">
        <f>D10/$D$7-1</f>
        <v>0</v>
      </c>
    </row>
    <row r="11" spans="1:9" x14ac:dyDescent="0.2">
      <c r="A11" s="5" t="s">
        <v>10</v>
      </c>
      <c r="B11" s="5">
        <f t="shared" si="0"/>
        <v>1</v>
      </c>
      <c r="C11" s="8">
        <f t="shared" si="1"/>
        <v>23.95</v>
      </c>
      <c r="D11" s="8">
        <f t="shared" si="2"/>
        <v>23.95</v>
      </c>
      <c r="E11" s="8">
        <f t="shared" si="3"/>
        <v>23.95</v>
      </c>
      <c r="F11" s="16">
        <f>D11/D10-1</f>
        <v>0</v>
      </c>
      <c r="G11" s="16">
        <f>D11/$D$7-1</f>
        <v>0</v>
      </c>
    </row>
    <row r="12" spans="1:9" x14ac:dyDescent="0.2">
      <c r="A12" s="5" t="s">
        <v>11</v>
      </c>
      <c r="B12" s="5">
        <f t="shared" si="0"/>
        <v>2</v>
      </c>
      <c r="C12" s="8">
        <f t="shared" si="1"/>
        <v>23.95</v>
      </c>
      <c r="D12" s="8">
        <f t="shared" si="2"/>
        <v>24.45</v>
      </c>
      <c r="E12" s="8">
        <f t="shared" si="3"/>
        <v>24.95</v>
      </c>
      <c r="F12" s="16">
        <f>D12/D11-1</f>
        <v>2.087682672233826E-2</v>
      </c>
      <c r="G12" s="16">
        <f>D12/$D$7-1</f>
        <v>2.087682672233826E-2</v>
      </c>
    </row>
    <row r="13" spans="1:9" x14ac:dyDescent="0.2">
      <c r="F13" s="22" t="s">
        <v>416</v>
      </c>
      <c r="G13" s="23">
        <f>D12/D7-1</f>
        <v>2.087682672233826E-2</v>
      </c>
    </row>
    <row r="15" spans="1:9" x14ac:dyDescent="0.2">
      <c r="A15" s="22" t="s">
        <v>417</v>
      </c>
    </row>
    <row r="16" spans="1:9" ht="30" x14ac:dyDescent="0.2">
      <c r="A16" s="4" t="s">
        <v>409</v>
      </c>
      <c r="B16" s="4" t="s">
        <v>418</v>
      </c>
      <c r="C16" s="4" t="s">
        <v>419</v>
      </c>
      <c r="D16" s="4" t="s">
        <v>420</v>
      </c>
      <c r="E16" s="4" t="s">
        <v>421</v>
      </c>
    </row>
    <row r="17" spans="1:5" x14ac:dyDescent="0.2">
      <c r="A17" s="5" t="s">
        <v>4</v>
      </c>
      <c r="B17" s="8">
        <v>23.95</v>
      </c>
      <c r="C17" s="5">
        <v>42</v>
      </c>
      <c r="D17" s="5" t="s">
        <v>523</v>
      </c>
      <c r="E17" s="5" t="s">
        <v>422</v>
      </c>
    </row>
    <row r="18" spans="1:5" x14ac:dyDescent="0.2">
      <c r="A18" s="5" t="s">
        <v>5</v>
      </c>
      <c r="B18" s="8">
        <v>23.95</v>
      </c>
      <c r="C18" s="5">
        <v>36</v>
      </c>
      <c r="D18" s="5" t="s">
        <v>523</v>
      </c>
      <c r="E18" s="5" t="s">
        <v>422</v>
      </c>
    </row>
    <row r="19" spans="1:5" x14ac:dyDescent="0.2">
      <c r="A19" s="5" t="s">
        <v>5</v>
      </c>
      <c r="B19" s="8">
        <v>25.95</v>
      </c>
      <c r="C19" s="5">
        <v>3</v>
      </c>
      <c r="D19" s="5" t="s">
        <v>523</v>
      </c>
      <c r="E19" s="5" t="s">
        <v>422</v>
      </c>
    </row>
    <row r="20" spans="1:5" x14ac:dyDescent="0.2">
      <c r="A20" s="5" t="s">
        <v>7</v>
      </c>
      <c r="B20" s="8">
        <v>23.95</v>
      </c>
      <c r="C20" s="5">
        <v>45</v>
      </c>
      <c r="D20" s="5" t="s">
        <v>523</v>
      </c>
      <c r="E20" s="5" t="s">
        <v>422</v>
      </c>
    </row>
    <row r="21" spans="1:5" x14ac:dyDescent="0.2">
      <c r="A21" s="5" t="s">
        <v>7</v>
      </c>
      <c r="B21" s="8">
        <v>25.95</v>
      </c>
      <c r="C21" s="5">
        <v>0</v>
      </c>
      <c r="D21" s="5" t="s">
        <v>523</v>
      </c>
      <c r="E21" s="5" t="s">
        <v>422</v>
      </c>
    </row>
    <row r="22" spans="1:5" x14ac:dyDescent="0.2">
      <c r="A22" s="5" t="s">
        <v>8</v>
      </c>
      <c r="B22" s="8">
        <v>23.95</v>
      </c>
      <c r="C22" s="5">
        <v>45</v>
      </c>
      <c r="D22" s="5" t="s">
        <v>523</v>
      </c>
      <c r="E22" s="5" t="s">
        <v>422</v>
      </c>
    </row>
    <row r="23" spans="1:5" x14ac:dyDescent="0.2">
      <c r="A23" s="5" t="s">
        <v>10</v>
      </c>
      <c r="B23" s="8">
        <v>23.95</v>
      </c>
      <c r="C23" s="5"/>
      <c r="D23" s="5" t="s">
        <v>523</v>
      </c>
      <c r="E23" s="5" t="s">
        <v>427</v>
      </c>
    </row>
    <row r="24" spans="1:5" x14ac:dyDescent="0.2">
      <c r="A24" s="5" t="s">
        <v>11</v>
      </c>
      <c r="B24" s="8">
        <v>23.95</v>
      </c>
      <c r="C24" s="5"/>
      <c r="D24" s="5" t="s">
        <v>523</v>
      </c>
      <c r="E24" s="5" t="s">
        <v>423</v>
      </c>
    </row>
    <row r="25" spans="1:5" x14ac:dyDescent="0.2">
      <c r="A25" s="5" t="s">
        <v>11</v>
      </c>
      <c r="B25" s="8">
        <v>24.95</v>
      </c>
      <c r="C25" s="5"/>
      <c r="D25" s="5" t="s">
        <v>523</v>
      </c>
      <c r="E25" s="5" t="s">
        <v>423</v>
      </c>
    </row>
  </sheetData>
  <mergeCells count="1">
    <mergeCell ref="A4:G4"/>
  </mergeCells>
  <hyperlinks>
    <hyperlink ref="I1" r:id="rId1" location="'RESUMEN%20SUBIDAS'!A1" xr:uid="{00000000-0004-0000-2B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20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114</v>
      </c>
      <c r="I1" s="21" t="s">
        <v>405</v>
      </c>
    </row>
    <row r="2" spans="1:9" x14ac:dyDescent="0.2">
      <c r="A2" s="22" t="s">
        <v>472</v>
      </c>
    </row>
    <row r="3" spans="1:9" x14ac:dyDescent="0.2">
      <c r="A3" s="3" t="s">
        <v>524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COUNTIF($A$16:$A$20,A7)</f>
        <v>1</v>
      </c>
      <c r="C7" s="8">
        <f>_xlfn.MINIFS($B$16:$B$20,$A$16:$A$20,A7)</f>
        <v>5.33</v>
      </c>
      <c r="D7" s="8">
        <f>AVERAGEIF($A$16:$A$20,A7,$B$16:$B$20)</f>
        <v>5.33</v>
      </c>
      <c r="E7" s="8">
        <f>_xlfn.MAXIFS($B$16:$B$20,$A$16:$A$20,A7)</f>
        <v>5.33</v>
      </c>
      <c r="F7" s="16"/>
      <c r="G7" s="16"/>
    </row>
    <row r="8" spans="1:9" x14ac:dyDescent="0.2">
      <c r="A8" s="5" t="s">
        <v>5</v>
      </c>
      <c r="B8" s="5">
        <f>COUNTIF($A$16:$A$20,A8)</f>
        <v>1</v>
      </c>
      <c r="C8" s="8">
        <f>_xlfn.MINIFS($B$16:$B$20,$A$16:$A$20,A8)</f>
        <v>5.33</v>
      </c>
      <c r="D8" s="8">
        <f>AVERAGEIF($A$16:$A$20,A8,$B$16:$B$20)</f>
        <v>5.33</v>
      </c>
      <c r="E8" s="8">
        <f>_xlfn.MAXIFS($B$16:$B$20,$A$16:$A$20,A8)</f>
        <v>5.33</v>
      </c>
      <c r="F8" s="16">
        <f>D8/D7-1</f>
        <v>0</v>
      </c>
      <c r="G8" s="16">
        <f>D8/$D$7-1</f>
        <v>0</v>
      </c>
    </row>
    <row r="9" spans="1:9" x14ac:dyDescent="0.2">
      <c r="A9" s="5" t="s">
        <v>8</v>
      </c>
      <c r="B9" s="5">
        <f>COUNTIF($A$16:$A$20,A9)</f>
        <v>1</v>
      </c>
      <c r="C9" s="8">
        <f>_xlfn.MINIFS($B$16:$B$20,$A$16:$A$20,A9)</f>
        <v>5.44</v>
      </c>
      <c r="D9" s="8">
        <f>AVERAGEIF($A$16:$A$20,A9,$B$16:$B$20)</f>
        <v>5.44</v>
      </c>
      <c r="E9" s="8">
        <f>_xlfn.MAXIFS($B$16:$B$20,$A$16:$A$20,A9)</f>
        <v>5.44</v>
      </c>
      <c r="F9" s="16">
        <f>D9/D8-1</f>
        <v>2.0637898686679312E-2</v>
      </c>
      <c r="G9" s="16">
        <f>D9/$D$7-1</f>
        <v>2.0637898686679312E-2</v>
      </c>
    </row>
    <row r="10" spans="1:9" x14ac:dyDescent="0.2">
      <c r="A10" s="5" t="s">
        <v>10</v>
      </c>
      <c r="B10" s="5">
        <f>COUNTIF($A$16:$A$20,A10)</f>
        <v>1</v>
      </c>
      <c r="C10" s="8">
        <f>_xlfn.MINIFS($B$16:$B$20,$A$16:$A$20,A10)</f>
        <v>5.44</v>
      </c>
      <c r="D10" s="8">
        <f>AVERAGEIF($A$16:$A$20,A10,$B$16:$B$20)</f>
        <v>5.44</v>
      </c>
      <c r="E10" s="8">
        <f>_xlfn.MAXIFS($B$16:$B$20,$A$16:$A$20,A10)</f>
        <v>5.44</v>
      </c>
      <c r="F10" s="16">
        <f>D10/D9-1</f>
        <v>0</v>
      </c>
      <c r="G10" s="16">
        <f>D10/$D$7-1</f>
        <v>2.0637898686679312E-2</v>
      </c>
    </row>
    <row r="11" spans="1:9" x14ac:dyDescent="0.2">
      <c r="A11" s="5" t="s">
        <v>11</v>
      </c>
      <c r="B11" s="5">
        <f>COUNTIF($A$16:$A$20,A11)</f>
        <v>1</v>
      </c>
      <c r="C11" s="8">
        <f>_xlfn.MINIFS($B$16:$B$20,$A$16:$A$20,A11)</f>
        <v>5.44</v>
      </c>
      <c r="D11" s="8">
        <f>AVERAGEIF($A$16:$A$20,A11,$B$16:$B$20)</f>
        <v>5.44</v>
      </c>
      <c r="E11" s="8">
        <f>_xlfn.MAXIFS($B$16:$B$20,$A$16:$A$20,A11)</f>
        <v>5.44</v>
      </c>
      <c r="F11" s="16">
        <f>D11/D10-1</f>
        <v>0</v>
      </c>
      <c r="G11" s="16">
        <f>D11/$D$7-1</f>
        <v>2.0637898686679312E-2</v>
      </c>
    </row>
    <row r="12" spans="1:9" x14ac:dyDescent="0.2">
      <c r="F12" s="22" t="s">
        <v>416</v>
      </c>
      <c r="G12" s="23">
        <f>D11/D7-1</f>
        <v>2.0637898686679312E-2</v>
      </c>
    </row>
    <row r="14" spans="1:9" x14ac:dyDescent="0.2">
      <c r="A14" s="22" t="s">
        <v>417</v>
      </c>
    </row>
    <row r="15" spans="1:9" ht="30" x14ac:dyDescent="0.2">
      <c r="A15" s="4" t="s">
        <v>409</v>
      </c>
      <c r="B15" s="4" t="s">
        <v>418</v>
      </c>
      <c r="C15" s="4" t="s">
        <v>419</v>
      </c>
      <c r="D15" s="4" t="s">
        <v>420</v>
      </c>
      <c r="E15" s="4" t="s">
        <v>421</v>
      </c>
    </row>
    <row r="16" spans="1:9" x14ac:dyDescent="0.2">
      <c r="A16" s="5" t="s">
        <v>4</v>
      </c>
      <c r="B16" s="8">
        <v>5.33</v>
      </c>
      <c r="C16" s="5">
        <v>6</v>
      </c>
      <c r="D16" s="5" t="s">
        <v>525</v>
      </c>
      <c r="E16" s="5" t="s">
        <v>422</v>
      </c>
    </row>
    <row r="17" spans="1:5" x14ac:dyDescent="0.2">
      <c r="A17" s="5" t="s">
        <v>5</v>
      </c>
      <c r="B17" s="8">
        <v>5.33</v>
      </c>
      <c r="C17" s="5">
        <v>12</v>
      </c>
      <c r="D17" s="5" t="s">
        <v>525</v>
      </c>
      <c r="E17" s="5" t="s">
        <v>422</v>
      </c>
    </row>
    <row r="18" spans="1:5" x14ac:dyDescent="0.2">
      <c r="A18" s="5" t="s">
        <v>8</v>
      </c>
      <c r="B18" s="8">
        <v>5.44</v>
      </c>
      <c r="C18" s="5">
        <v>12</v>
      </c>
      <c r="D18" s="5" t="s">
        <v>525</v>
      </c>
      <c r="E18" s="5" t="s">
        <v>422</v>
      </c>
    </row>
    <row r="19" spans="1:5" x14ac:dyDescent="0.2">
      <c r="A19" s="5" t="s">
        <v>10</v>
      </c>
      <c r="B19" s="8">
        <v>5.44</v>
      </c>
      <c r="C19" s="5"/>
      <c r="D19" s="5" t="s">
        <v>526</v>
      </c>
      <c r="E19" s="5" t="s">
        <v>427</v>
      </c>
    </row>
    <row r="20" spans="1:5" x14ac:dyDescent="0.2">
      <c r="A20" s="5" t="s">
        <v>11</v>
      </c>
      <c r="B20" s="8">
        <v>5.44</v>
      </c>
      <c r="C20" s="5"/>
      <c r="D20" s="5" t="s">
        <v>526</v>
      </c>
      <c r="E20" s="5" t="s">
        <v>423</v>
      </c>
    </row>
  </sheetData>
  <mergeCells count="1">
    <mergeCell ref="A4:G4"/>
  </mergeCells>
  <hyperlinks>
    <hyperlink ref="I1" r:id="rId1" location="'RESUMEN%20SUBIDAS'!A1" xr:uid="{00000000-0004-0000-2C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18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117</v>
      </c>
      <c r="I1" s="21" t="s">
        <v>405</v>
      </c>
    </row>
    <row r="2" spans="1:9" x14ac:dyDescent="0.2">
      <c r="A2" s="22" t="s">
        <v>527</v>
      </c>
    </row>
    <row r="3" spans="1:9" x14ac:dyDescent="0.2">
      <c r="A3" s="3" t="s">
        <v>528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COUNTIF($A$15:$A$18,A7)</f>
        <v>1</v>
      </c>
      <c r="C7" s="8">
        <f>_xlfn.MINIFS($B$15:$B$18,$A$15:$A$18,A7)</f>
        <v>22.45</v>
      </c>
      <c r="D7" s="8">
        <f>AVERAGEIF($A$15:$A$18,A7,$B$15:$B$18)</f>
        <v>22.45</v>
      </c>
      <c r="E7" s="8">
        <f>_xlfn.MAXIFS($B$15:$B$18,$A$15:$A$18,A7)</f>
        <v>22.45</v>
      </c>
      <c r="F7" s="16"/>
      <c r="G7" s="16"/>
    </row>
    <row r="8" spans="1:9" x14ac:dyDescent="0.2">
      <c r="A8" s="5" t="s">
        <v>5</v>
      </c>
      <c r="B8" s="5">
        <f>COUNTIF($A$15:$A$18,A8)</f>
        <v>1</v>
      </c>
      <c r="C8" s="8">
        <f>_xlfn.MINIFS($B$15:$B$18,$A$15:$A$18,A8)</f>
        <v>22.45</v>
      </c>
      <c r="D8" s="8">
        <f>AVERAGEIF($A$15:$A$18,A8,$B$15:$B$18)</f>
        <v>22.45</v>
      </c>
      <c r="E8" s="8">
        <f>_xlfn.MAXIFS($B$15:$B$18,$A$15:$A$18,A8)</f>
        <v>22.45</v>
      </c>
      <c r="F8" s="16">
        <f>D8/D7-1</f>
        <v>0</v>
      </c>
      <c r="G8" s="16">
        <f>D8/$D$7-1</f>
        <v>0</v>
      </c>
    </row>
    <row r="9" spans="1:9" x14ac:dyDescent="0.2">
      <c r="A9" s="5" t="s">
        <v>7</v>
      </c>
      <c r="B9" s="5">
        <f>COUNTIF($A$15:$A$18,A9)</f>
        <v>1</v>
      </c>
      <c r="C9" s="8">
        <f>_xlfn.MINIFS($B$15:$B$18,$A$15:$A$18,A9)</f>
        <v>22.9</v>
      </c>
      <c r="D9" s="8">
        <f>AVERAGEIF($A$15:$A$18,A9,$B$15:$B$18)</f>
        <v>22.9</v>
      </c>
      <c r="E9" s="8">
        <f>_xlfn.MAXIFS($B$15:$B$18,$A$15:$A$18,A9)</f>
        <v>22.9</v>
      </c>
      <c r="F9" s="16">
        <f>D9/D8-1</f>
        <v>2.0044543429843964E-2</v>
      </c>
      <c r="G9" s="16">
        <f>D9/$D$7-1</f>
        <v>2.0044543429843964E-2</v>
      </c>
    </row>
    <row r="10" spans="1:9" x14ac:dyDescent="0.2">
      <c r="A10" s="5" t="s">
        <v>8</v>
      </c>
      <c r="B10" s="5">
        <f>COUNTIF($A$15:$A$18,A10)</f>
        <v>1</v>
      </c>
      <c r="C10" s="8">
        <f>_xlfn.MINIFS($B$15:$B$18,$A$15:$A$18,A10)</f>
        <v>22.9</v>
      </c>
      <c r="D10" s="8">
        <f>AVERAGEIF($A$15:$A$18,A10,$B$15:$B$18)</f>
        <v>22.9</v>
      </c>
      <c r="E10" s="8">
        <f>_xlfn.MAXIFS($B$15:$B$18,$A$15:$A$18,A10)</f>
        <v>22.9</v>
      </c>
      <c r="F10" s="16">
        <f>D10/D9-1</f>
        <v>0</v>
      </c>
      <c r="G10" s="16">
        <f>D10/$D$7-1</f>
        <v>2.0044543429843964E-2</v>
      </c>
    </row>
    <row r="11" spans="1:9" x14ac:dyDescent="0.2">
      <c r="F11" s="22" t="s">
        <v>416</v>
      </c>
      <c r="G11" s="23">
        <f>D10/D7-1</f>
        <v>2.0044543429843964E-2</v>
      </c>
    </row>
    <row r="13" spans="1:9" x14ac:dyDescent="0.2">
      <c r="A13" s="22" t="s">
        <v>417</v>
      </c>
    </row>
    <row r="14" spans="1:9" ht="30" x14ac:dyDescent="0.2">
      <c r="A14" s="4" t="s">
        <v>409</v>
      </c>
      <c r="B14" s="4" t="s">
        <v>418</v>
      </c>
      <c r="C14" s="4" t="s">
        <v>419</v>
      </c>
      <c r="D14" s="4" t="s">
        <v>420</v>
      </c>
      <c r="E14" s="4" t="s">
        <v>421</v>
      </c>
    </row>
    <row r="15" spans="1:9" x14ac:dyDescent="0.2">
      <c r="A15" s="5" t="s">
        <v>4</v>
      </c>
      <c r="B15" s="8">
        <v>22.45</v>
      </c>
      <c r="C15" s="5">
        <v>4</v>
      </c>
      <c r="D15" s="5" t="s">
        <v>529</v>
      </c>
      <c r="E15" s="5" t="s">
        <v>422</v>
      </c>
    </row>
    <row r="16" spans="1:9" x14ac:dyDescent="0.2">
      <c r="A16" s="5" t="s">
        <v>5</v>
      </c>
      <c r="B16" s="8">
        <v>22.45</v>
      </c>
      <c r="C16" s="5">
        <v>12</v>
      </c>
      <c r="D16" s="5" t="s">
        <v>529</v>
      </c>
      <c r="E16" s="5" t="s">
        <v>422</v>
      </c>
    </row>
    <row r="17" spans="1:5" x14ac:dyDescent="0.2">
      <c r="A17" s="5" t="s">
        <v>7</v>
      </c>
      <c r="B17" s="8">
        <v>22.9</v>
      </c>
      <c r="C17" s="5">
        <v>24</v>
      </c>
      <c r="D17" s="5" t="s">
        <v>529</v>
      </c>
      <c r="E17" s="5" t="s">
        <v>422</v>
      </c>
    </row>
    <row r="18" spans="1:5" x14ac:dyDescent="0.2">
      <c r="A18" s="5" t="s">
        <v>8</v>
      </c>
      <c r="B18" s="8">
        <v>22.9</v>
      </c>
      <c r="C18" s="5">
        <v>8</v>
      </c>
      <c r="D18" s="5" t="s">
        <v>529</v>
      </c>
      <c r="E18" s="5" t="s">
        <v>422</v>
      </c>
    </row>
  </sheetData>
  <mergeCells count="1">
    <mergeCell ref="A4:G4"/>
  </mergeCells>
  <hyperlinks>
    <hyperlink ref="I1" r:id="rId1" location="'RESUMEN%20SUBIDAS'!A1" xr:uid="{00000000-0004-0000-2D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18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119</v>
      </c>
      <c r="I1" s="21" t="s">
        <v>405</v>
      </c>
    </row>
    <row r="2" spans="1:9" x14ac:dyDescent="0.2">
      <c r="A2" s="22" t="s">
        <v>472</v>
      </c>
    </row>
    <row r="3" spans="1:9" x14ac:dyDescent="0.2">
      <c r="A3" s="3" t="s">
        <v>530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5</v>
      </c>
      <c r="B7" s="5">
        <f>COUNTIF($A$15:$A$18,A7)</f>
        <v>1</v>
      </c>
      <c r="C7" s="8">
        <f>_xlfn.MINIFS($B$15:$B$18,$A$15:$A$18,A7)</f>
        <v>5.52</v>
      </c>
      <c r="D7" s="8">
        <f>AVERAGEIF($A$15:$A$18,A7,$B$15:$B$18)</f>
        <v>5.52</v>
      </c>
      <c r="E7" s="8">
        <f>_xlfn.MAXIFS($B$15:$B$18,$A$15:$A$18,A7)</f>
        <v>5.52</v>
      </c>
      <c r="F7" s="16"/>
      <c r="G7" s="16"/>
    </row>
    <row r="8" spans="1:9" x14ac:dyDescent="0.2">
      <c r="A8" s="5" t="s">
        <v>8</v>
      </c>
      <c r="B8" s="5">
        <f>COUNTIF($A$15:$A$18,A8)</f>
        <v>1</v>
      </c>
      <c r="C8" s="8">
        <f>_xlfn.MINIFS($B$15:$B$18,$A$15:$A$18,A8)</f>
        <v>5.63</v>
      </c>
      <c r="D8" s="8">
        <f>AVERAGEIF($A$15:$A$18,A8,$B$15:$B$18)</f>
        <v>5.63</v>
      </c>
      <c r="E8" s="8">
        <f>_xlfn.MAXIFS($B$15:$B$18,$A$15:$A$18,A8)</f>
        <v>5.63</v>
      </c>
      <c r="F8" s="16">
        <f>D8/D7-1</f>
        <v>1.9927536231884035E-2</v>
      </c>
      <c r="G8" s="16">
        <f>D8/$D$7-1</f>
        <v>1.9927536231884035E-2</v>
      </c>
    </row>
    <row r="9" spans="1:9" x14ac:dyDescent="0.2">
      <c r="A9" s="5" t="s">
        <v>10</v>
      </c>
      <c r="B9" s="5">
        <f>COUNTIF($A$15:$A$18,A9)</f>
        <v>1</v>
      </c>
      <c r="C9" s="8">
        <f>_xlfn.MINIFS($B$15:$B$18,$A$15:$A$18,A9)</f>
        <v>5.63</v>
      </c>
      <c r="D9" s="8">
        <f>AVERAGEIF($A$15:$A$18,A9,$B$15:$B$18)</f>
        <v>5.63</v>
      </c>
      <c r="E9" s="8">
        <f>_xlfn.MAXIFS($B$15:$B$18,$A$15:$A$18,A9)</f>
        <v>5.63</v>
      </c>
      <c r="F9" s="16">
        <f>D9/D8-1</f>
        <v>0</v>
      </c>
      <c r="G9" s="16">
        <f>D9/$D$7-1</f>
        <v>1.9927536231884035E-2</v>
      </c>
    </row>
    <row r="10" spans="1:9" x14ac:dyDescent="0.2">
      <c r="A10" s="5" t="s">
        <v>11</v>
      </c>
      <c r="B10" s="5">
        <f>COUNTIF($A$15:$A$18,A10)</f>
        <v>1</v>
      </c>
      <c r="C10" s="8">
        <f>_xlfn.MINIFS($B$15:$B$18,$A$15:$A$18,A10)</f>
        <v>5.63</v>
      </c>
      <c r="D10" s="8">
        <f>AVERAGEIF($A$15:$A$18,A10,$B$15:$B$18)</f>
        <v>5.63</v>
      </c>
      <c r="E10" s="8">
        <f>_xlfn.MAXIFS($B$15:$B$18,$A$15:$A$18,A10)</f>
        <v>5.63</v>
      </c>
      <c r="F10" s="16">
        <f>D10/D9-1</f>
        <v>0</v>
      </c>
      <c r="G10" s="16">
        <f>D10/$D$7-1</f>
        <v>1.9927536231884035E-2</v>
      </c>
    </row>
    <row r="11" spans="1:9" x14ac:dyDescent="0.2">
      <c r="F11" s="22" t="s">
        <v>416</v>
      </c>
      <c r="G11" s="23">
        <f>D10/D7-1</f>
        <v>1.9927536231884035E-2</v>
      </c>
    </row>
    <row r="13" spans="1:9" x14ac:dyDescent="0.2">
      <c r="A13" s="22" t="s">
        <v>417</v>
      </c>
    </row>
    <row r="14" spans="1:9" ht="30" x14ac:dyDescent="0.2">
      <c r="A14" s="4" t="s">
        <v>409</v>
      </c>
      <c r="B14" s="4" t="s">
        <v>418</v>
      </c>
      <c r="C14" s="4" t="s">
        <v>419</v>
      </c>
      <c r="D14" s="4" t="s">
        <v>420</v>
      </c>
      <c r="E14" s="4" t="s">
        <v>421</v>
      </c>
    </row>
    <row r="15" spans="1:9" x14ac:dyDescent="0.2">
      <c r="A15" s="5" t="s">
        <v>5</v>
      </c>
      <c r="B15" s="8">
        <v>5.52</v>
      </c>
      <c r="C15" s="5">
        <v>18</v>
      </c>
      <c r="D15" s="5" t="s">
        <v>119</v>
      </c>
      <c r="E15" s="5" t="s">
        <v>422</v>
      </c>
    </row>
    <row r="16" spans="1:9" x14ac:dyDescent="0.2">
      <c r="A16" s="5" t="s">
        <v>8</v>
      </c>
      <c r="B16" s="8">
        <v>5.63</v>
      </c>
      <c r="C16" s="5">
        <v>12</v>
      </c>
      <c r="D16" s="5" t="s">
        <v>119</v>
      </c>
      <c r="E16" s="5" t="s">
        <v>422</v>
      </c>
    </row>
    <row r="17" spans="1:5" x14ac:dyDescent="0.2">
      <c r="A17" s="5" t="s">
        <v>10</v>
      </c>
      <c r="B17" s="8">
        <v>5.63</v>
      </c>
      <c r="C17" s="5"/>
      <c r="D17" s="5" t="s">
        <v>119</v>
      </c>
      <c r="E17" s="5" t="s">
        <v>427</v>
      </c>
    </row>
    <row r="18" spans="1:5" x14ac:dyDescent="0.2">
      <c r="A18" s="5" t="s">
        <v>11</v>
      </c>
      <c r="B18" s="8">
        <v>5.63</v>
      </c>
      <c r="C18" s="5"/>
      <c r="D18" s="5" t="s">
        <v>119</v>
      </c>
      <c r="E18" s="5" t="s">
        <v>423</v>
      </c>
    </row>
  </sheetData>
  <mergeCells count="1">
    <mergeCell ref="A4:G4"/>
  </mergeCells>
  <hyperlinks>
    <hyperlink ref="I1" r:id="rId1" location="'RESUMEN%20SUBIDAS'!A1" xr:uid="{00000000-0004-0000-2E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20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121</v>
      </c>
      <c r="I1" s="21" t="s">
        <v>405</v>
      </c>
    </row>
    <row r="2" spans="1:9" x14ac:dyDescent="0.2">
      <c r="A2" s="22" t="s">
        <v>432</v>
      </c>
    </row>
    <row r="3" spans="1:9" x14ac:dyDescent="0.2">
      <c r="A3" s="3" t="s">
        <v>531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COUNTIF($A$16:$A$20,A7)</f>
        <v>1</v>
      </c>
      <c r="C7" s="8">
        <f>_xlfn.MINIFS($B$16:$B$20,$A$16:$A$20,A7)</f>
        <v>54.14</v>
      </c>
      <c r="D7" s="8">
        <f>AVERAGEIF($A$16:$A$20,A7,$B$16:$B$20)</f>
        <v>54.14</v>
      </c>
      <c r="E7" s="8">
        <f>_xlfn.MAXIFS($B$16:$B$20,$A$16:$A$20,A7)</f>
        <v>54.14</v>
      </c>
      <c r="F7" s="16"/>
      <c r="G7" s="16"/>
    </row>
    <row r="8" spans="1:9" x14ac:dyDescent="0.2">
      <c r="A8" s="5" t="s">
        <v>5</v>
      </c>
      <c r="B8" s="5">
        <f>COUNTIF($A$16:$A$20,A8)</f>
        <v>1</v>
      </c>
      <c r="C8" s="8">
        <f>_xlfn.MINIFS($B$16:$B$20,$A$16:$A$20,A8)</f>
        <v>54.14</v>
      </c>
      <c r="D8" s="8">
        <f>AVERAGEIF($A$16:$A$20,A8,$B$16:$B$20)</f>
        <v>54.14</v>
      </c>
      <c r="E8" s="8">
        <f>_xlfn.MAXIFS($B$16:$B$20,$A$16:$A$20,A8)</f>
        <v>54.14</v>
      </c>
      <c r="F8" s="16">
        <f>D8/D7-1</f>
        <v>0</v>
      </c>
      <c r="G8" s="16">
        <f>D8/$D$7-1</f>
        <v>0</v>
      </c>
    </row>
    <row r="9" spans="1:9" x14ac:dyDescent="0.2">
      <c r="A9" s="5" t="s">
        <v>8</v>
      </c>
      <c r="B9" s="5">
        <f>COUNTIF($A$16:$A$20,A9)</f>
        <v>1</v>
      </c>
      <c r="C9" s="8">
        <f>_xlfn.MINIFS($B$16:$B$20,$A$16:$A$20,A9)</f>
        <v>55.17</v>
      </c>
      <c r="D9" s="8">
        <f>AVERAGEIF($A$16:$A$20,A9,$B$16:$B$20)</f>
        <v>55.17</v>
      </c>
      <c r="E9" s="8">
        <f>_xlfn.MAXIFS($B$16:$B$20,$A$16:$A$20,A9)</f>
        <v>55.17</v>
      </c>
      <c r="F9" s="16">
        <f>D9/D8-1</f>
        <v>1.9024750646472022E-2</v>
      </c>
      <c r="G9" s="16">
        <f>D9/$D$7-1</f>
        <v>1.9024750646472022E-2</v>
      </c>
    </row>
    <row r="10" spans="1:9" x14ac:dyDescent="0.2">
      <c r="A10" s="5" t="s">
        <v>10</v>
      </c>
      <c r="B10" s="5">
        <f>COUNTIF($A$16:$A$20,A10)</f>
        <v>1</v>
      </c>
      <c r="C10" s="8">
        <f>_xlfn.MINIFS($B$16:$B$20,$A$16:$A$20,A10)</f>
        <v>55.17</v>
      </c>
      <c r="D10" s="8">
        <f>AVERAGEIF($A$16:$A$20,A10,$B$16:$B$20)</f>
        <v>55.17</v>
      </c>
      <c r="E10" s="8">
        <f>_xlfn.MAXIFS($B$16:$B$20,$A$16:$A$20,A10)</f>
        <v>55.17</v>
      </c>
      <c r="F10" s="16">
        <f>D10/D9-1</f>
        <v>0</v>
      </c>
      <c r="G10" s="16">
        <f>D10/$D$7-1</f>
        <v>1.9024750646472022E-2</v>
      </c>
    </row>
    <row r="11" spans="1:9" x14ac:dyDescent="0.2">
      <c r="A11" s="5" t="s">
        <v>11</v>
      </c>
      <c r="B11" s="5">
        <f>COUNTIF($A$16:$A$20,A11)</f>
        <v>1</v>
      </c>
      <c r="C11" s="8">
        <f>_xlfn.MINIFS($B$16:$B$20,$A$16:$A$20,A11)</f>
        <v>55.17</v>
      </c>
      <c r="D11" s="8">
        <f>AVERAGEIF($A$16:$A$20,A11,$B$16:$B$20)</f>
        <v>55.17</v>
      </c>
      <c r="E11" s="8">
        <f>_xlfn.MAXIFS($B$16:$B$20,$A$16:$A$20,A11)</f>
        <v>55.17</v>
      </c>
      <c r="F11" s="16">
        <f>D11/D10-1</f>
        <v>0</v>
      </c>
      <c r="G11" s="16">
        <f>D11/$D$7-1</f>
        <v>1.9024750646472022E-2</v>
      </c>
    </row>
    <row r="12" spans="1:9" x14ac:dyDescent="0.2">
      <c r="F12" s="22" t="s">
        <v>416</v>
      </c>
      <c r="G12" s="23">
        <f>D11/D7-1</f>
        <v>1.9024750646472022E-2</v>
      </c>
    </row>
    <row r="14" spans="1:9" x14ac:dyDescent="0.2">
      <c r="A14" s="22" t="s">
        <v>417</v>
      </c>
    </row>
    <row r="15" spans="1:9" ht="30" x14ac:dyDescent="0.2">
      <c r="A15" s="4" t="s">
        <v>409</v>
      </c>
      <c r="B15" s="4" t="s">
        <v>418</v>
      </c>
      <c r="C15" s="4" t="s">
        <v>419</v>
      </c>
      <c r="D15" s="4" t="s">
        <v>420</v>
      </c>
      <c r="E15" s="4" t="s">
        <v>421</v>
      </c>
    </row>
    <row r="16" spans="1:9" x14ac:dyDescent="0.2">
      <c r="A16" s="5" t="s">
        <v>4</v>
      </c>
      <c r="B16" s="8">
        <v>54.14</v>
      </c>
      <c r="C16" s="5">
        <v>3</v>
      </c>
      <c r="D16" s="5" t="s">
        <v>121</v>
      </c>
      <c r="E16" s="5" t="s">
        <v>422</v>
      </c>
    </row>
    <row r="17" spans="1:5" x14ac:dyDescent="0.2">
      <c r="A17" s="5" t="s">
        <v>5</v>
      </c>
      <c r="B17" s="8">
        <v>54.14</v>
      </c>
      <c r="C17" s="5">
        <v>2</v>
      </c>
      <c r="D17" s="5" t="s">
        <v>121</v>
      </c>
      <c r="E17" s="5" t="s">
        <v>422</v>
      </c>
    </row>
    <row r="18" spans="1:5" x14ac:dyDescent="0.2">
      <c r="A18" s="5" t="s">
        <v>8</v>
      </c>
      <c r="B18" s="8">
        <v>55.17</v>
      </c>
      <c r="C18" s="5">
        <v>3</v>
      </c>
      <c r="D18" s="5" t="s">
        <v>121</v>
      </c>
      <c r="E18" s="5" t="s">
        <v>422</v>
      </c>
    </row>
    <row r="19" spans="1:5" x14ac:dyDescent="0.2">
      <c r="A19" s="5" t="s">
        <v>10</v>
      </c>
      <c r="B19" s="8">
        <v>55.17</v>
      </c>
      <c r="C19" s="5">
        <v>2</v>
      </c>
      <c r="D19" s="5" t="s">
        <v>532</v>
      </c>
      <c r="E19" s="5" t="s">
        <v>427</v>
      </c>
    </row>
    <row r="20" spans="1:5" x14ac:dyDescent="0.2">
      <c r="A20" s="5" t="s">
        <v>11</v>
      </c>
      <c r="B20" s="8">
        <v>55.17</v>
      </c>
      <c r="C20" s="5">
        <v>2</v>
      </c>
      <c r="D20" s="5" t="s">
        <v>532</v>
      </c>
      <c r="E20" s="5" t="s">
        <v>423</v>
      </c>
    </row>
  </sheetData>
  <mergeCells count="1">
    <mergeCell ref="A4:G4"/>
  </mergeCells>
  <hyperlinks>
    <hyperlink ref="I1" r:id="rId1" location="'RESUMEN%20SUBIDAS'!A1" xr:uid="{00000000-0004-0000-2F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19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123</v>
      </c>
      <c r="I1" s="21" t="s">
        <v>405</v>
      </c>
    </row>
    <row r="2" spans="1:9" x14ac:dyDescent="0.2">
      <c r="A2" s="22" t="s">
        <v>448</v>
      </c>
    </row>
    <row r="3" spans="1:9" x14ac:dyDescent="0.2">
      <c r="A3" s="3" t="s">
        <v>533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COUNTIF($A$15:$A$19,A7)</f>
        <v>2</v>
      </c>
      <c r="C7" s="8">
        <f>_xlfn.MINIFS($B$15:$B$19,$A$15:$A$19,A7)</f>
        <v>116.18</v>
      </c>
      <c r="D7" s="8">
        <f>AVERAGEIF($A$15:$A$19,A7,$B$15:$B$19)</f>
        <v>118.16500000000001</v>
      </c>
      <c r="E7" s="8">
        <f>_xlfn.MAXIFS($B$15:$B$19,$A$15:$A$19,A7)</f>
        <v>120.15</v>
      </c>
      <c r="F7" s="16"/>
      <c r="G7" s="16"/>
    </row>
    <row r="8" spans="1:9" x14ac:dyDescent="0.2">
      <c r="A8" s="5" t="s">
        <v>5</v>
      </c>
      <c r="B8" s="5">
        <f>COUNTIF($A$15:$A$19,A8)</f>
        <v>1</v>
      </c>
      <c r="C8" s="8">
        <f>_xlfn.MINIFS($B$15:$B$19,$A$15:$A$19,A8)</f>
        <v>116.18</v>
      </c>
      <c r="D8" s="8">
        <f>AVERAGEIF($A$15:$A$19,A8,$B$15:$B$19)</f>
        <v>116.18</v>
      </c>
      <c r="E8" s="8">
        <f>_xlfn.MAXIFS($B$15:$B$19,$A$15:$A$19,A8)</f>
        <v>116.18</v>
      </c>
      <c r="F8" s="16">
        <f>D8/D7-1</f>
        <v>-1.6798544408242688E-2</v>
      </c>
      <c r="G8" s="16">
        <f>D8/$D$7-1</f>
        <v>-1.6798544408242688E-2</v>
      </c>
    </row>
    <row r="9" spans="1:9" x14ac:dyDescent="0.2">
      <c r="A9" s="5" t="s">
        <v>10</v>
      </c>
      <c r="B9" s="5">
        <f>COUNTIF($A$15:$A$19,A9)</f>
        <v>1</v>
      </c>
      <c r="C9" s="8">
        <f>_xlfn.MINIFS($B$15:$B$19,$A$15:$A$19,A9)</f>
        <v>120.15</v>
      </c>
      <c r="D9" s="8">
        <f>AVERAGEIF($A$15:$A$19,A9,$B$15:$B$19)</f>
        <v>120.15</v>
      </c>
      <c r="E9" s="8">
        <f>_xlfn.MAXIFS($B$15:$B$19,$A$15:$A$19,A9)</f>
        <v>120.15</v>
      </c>
      <c r="F9" s="16">
        <f>D9/D8-1</f>
        <v>3.4171113788948215E-2</v>
      </c>
      <c r="G9" s="16">
        <f>D9/$D$7-1</f>
        <v>1.6798544408242799E-2</v>
      </c>
    </row>
    <row r="10" spans="1:9" x14ac:dyDescent="0.2">
      <c r="A10" s="5" t="s">
        <v>11</v>
      </c>
      <c r="B10" s="5">
        <f>COUNTIF($A$15:$A$19,A10)</f>
        <v>1</v>
      </c>
      <c r="C10" s="8">
        <f>_xlfn.MINIFS($B$15:$B$19,$A$15:$A$19,A10)</f>
        <v>120.15</v>
      </c>
      <c r="D10" s="8">
        <f>AVERAGEIF($A$15:$A$19,A10,$B$15:$B$19)</f>
        <v>120.15</v>
      </c>
      <c r="E10" s="8">
        <f>_xlfn.MAXIFS($B$15:$B$19,$A$15:$A$19,A10)</f>
        <v>120.15</v>
      </c>
      <c r="F10" s="16">
        <f>D10/D9-1</f>
        <v>0</v>
      </c>
      <c r="G10" s="16">
        <f>D10/$D$7-1</f>
        <v>1.6798544408242799E-2</v>
      </c>
    </row>
    <row r="11" spans="1:9" x14ac:dyDescent="0.2">
      <c r="F11" s="22" t="s">
        <v>416</v>
      </c>
      <c r="G11" s="23">
        <f>D10/D7-1</f>
        <v>1.6798544408242799E-2</v>
      </c>
    </row>
    <row r="13" spans="1:9" x14ac:dyDescent="0.2">
      <c r="A13" s="22" t="s">
        <v>417</v>
      </c>
    </row>
    <row r="14" spans="1:9" ht="30" x14ac:dyDescent="0.2">
      <c r="A14" s="4" t="s">
        <v>409</v>
      </c>
      <c r="B14" s="4" t="s">
        <v>418</v>
      </c>
      <c r="C14" s="4" t="s">
        <v>419</v>
      </c>
      <c r="D14" s="4" t="s">
        <v>420</v>
      </c>
      <c r="E14" s="4" t="s">
        <v>421</v>
      </c>
    </row>
    <row r="15" spans="1:9" x14ac:dyDescent="0.2">
      <c r="A15" s="5" t="s">
        <v>4</v>
      </c>
      <c r="B15" s="8">
        <v>116.18</v>
      </c>
      <c r="C15" s="5">
        <v>4</v>
      </c>
      <c r="D15" s="5" t="s">
        <v>123</v>
      </c>
      <c r="E15" s="5" t="s">
        <v>422</v>
      </c>
    </row>
    <row r="16" spans="1:9" x14ac:dyDescent="0.2">
      <c r="A16" s="5" t="s">
        <v>4</v>
      </c>
      <c r="B16" s="8">
        <v>120.15</v>
      </c>
      <c r="C16" s="5">
        <v>4</v>
      </c>
      <c r="D16" s="5" t="s">
        <v>123</v>
      </c>
      <c r="E16" s="5" t="s">
        <v>422</v>
      </c>
    </row>
    <row r="17" spans="1:5" x14ac:dyDescent="0.2">
      <c r="A17" s="5" t="s">
        <v>5</v>
      </c>
      <c r="B17" s="8">
        <v>116.18</v>
      </c>
      <c r="C17" s="5">
        <v>3</v>
      </c>
      <c r="D17" s="5" t="s">
        <v>123</v>
      </c>
      <c r="E17" s="5" t="s">
        <v>422</v>
      </c>
    </row>
    <row r="18" spans="1:5" x14ac:dyDescent="0.2">
      <c r="A18" s="5" t="s">
        <v>10</v>
      </c>
      <c r="B18" s="8">
        <v>120.15</v>
      </c>
      <c r="C18" s="5">
        <v>2</v>
      </c>
      <c r="D18" s="5" t="s">
        <v>123</v>
      </c>
      <c r="E18" s="5" t="s">
        <v>427</v>
      </c>
    </row>
    <row r="19" spans="1:5" x14ac:dyDescent="0.2">
      <c r="A19" s="5" t="s">
        <v>11</v>
      </c>
      <c r="B19" s="8">
        <v>120.15</v>
      </c>
      <c r="C19" s="5">
        <v>1</v>
      </c>
      <c r="D19" s="5" t="s">
        <v>123</v>
      </c>
      <c r="E19" s="5" t="s">
        <v>423</v>
      </c>
    </row>
  </sheetData>
  <mergeCells count="1">
    <mergeCell ref="A4:G4"/>
  </mergeCells>
  <hyperlinks>
    <hyperlink ref="I1" r:id="rId1" location="'RESUMEN%20SUBIDAS'!A1" xr:uid="{00000000-0004-0000-30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16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125</v>
      </c>
      <c r="I1" s="21" t="s">
        <v>405</v>
      </c>
    </row>
    <row r="2" spans="1:9" x14ac:dyDescent="0.2">
      <c r="A2" s="22" t="s">
        <v>432</v>
      </c>
    </row>
    <row r="3" spans="1:9" x14ac:dyDescent="0.2">
      <c r="A3" s="3" t="s">
        <v>534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5</v>
      </c>
      <c r="B7" s="5">
        <f>COUNTIF($A$14:$A$16,A7)</f>
        <v>1</v>
      </c>
      <c r="C7" s="8">
        <f>_xlfn.MINIFS($B$14:$B$16,$A$14:$A$16,A7)</f>
        <v>55.2</v>
      </c>
      <c r="D7" s="8">
        <f>AVERAGEIF($A$14:$A$16,A7,$B$14:$B$16)</f>
        <v>55.2</v>
      </c>
      <c r="E7" s="8">
        <f>_xlfn.MAXIFS($B$14:$B$16,$A$14:$A$16,A7)</f>
        <v>55.2</v>
      </c>
      <c r="F7" s="16"/>
      <c r="G7" s="16"/>
    </row>
    <row r="8" spans="1:9" x14ac:dyDescent="0.2">
      <c r="A8" s="5" t="s">
        <v>8</v>
      </c>
      <c r="B8" s="5">
        <f>COUNTIF($A$14:$A$16,A8)</f>
        <v>1</v>
      </c>
      <c r="C8" s="8">
        <f>_xlfn.MINIFS($B$14:$B$16,$A$14:$A$16,A8)</f>
        <v>56.01</v>
      </c>
      <c r="D8" s="8">
        <f>AVERAGEIF($A$14:$A$16,A8,$B$14:$B$16)</f>
        <v>56.01</v>
      </c>
      <c r="E8" s="8">
        <f>_xlfn.MAXIFS($B$14:$B$16,$A$14:$A$16,A8)</f>
        <v>56.01</v>
      </c>
      <c r="F8" s="16">
        <f>D8/D7-1</f>
        <v>1.4673913043478093E-2</v>
      </c>
      <c r="G8" s="16">
        <f>D8/$D$7-1</f>
        <v>1.4673913043478093E-2</v>
      </c>
    </row>
    <row r="9" spans="1:9" x14ac:dyDescent="0.2">
      <c r="A9" s="5" t="s">
        <v>10</v>
      </c>
      <c r="B9" s="5">
        <f>COUNTIF($A$14:$A$16,A9)</f>
        <v>1</v>
      </c>
      <c r="C9" s="8">
        <f>_xlfn.MINIFS($B$14:$B$16,$A$14:$A$16,A9)</f>
        <v>56.01</v>
      </c>
      <c r="D9" s="8">
        <f>AVERAGEIF($A$14:$A$16,A9,$B$14:$B$16)</f>
        <v>56.01</v>
      </c>
      <c r="E9" s="8">
        <f>_xlfn.MAXIFS($B$14:$B$16,$A$14:$A$16,A9)</f>
        <v>56.01</v>
      </c>
      <c r="F9" s="16">
        <f>D9/D8-1</f>
        <v>0</v>
      </c>
      <c r="G9" s="16">
        <f>D9/$D$7-1</f>
        <v>1.4673913043478093E-2</v>
      </c>
    </row>
    <row r="10" spans="1:9" x14ac:dyDescent="0.2">
      <c r="F10" s="22" t="s">
        <v>416</v>
      </c>
      <c r="G10" s="23">
        <f>D9/D7-1</f>
        <v>1.4673913043478093E-2</v>
      </c>
    </row>
    <row r="12" spans="1:9" x14ac:dyDescent="0.2">
      <c r="A12" s="22" t="s">
        <v>417</v>
      </c>
    </row>
    <row r="13" spans="1:9" ht="30" x14ac:dyDescent="0.2">
      <c r="A13" s="4" t="s">
        <v>409</v>
      </c>
      <c r="B13" s="4" t="s">
        <v>418</v>
      </c>
      <c r="C13" s="4" t="s">
        <v>419</v>
      </c>
      <c r="D13" s="4" t="s">
        <v>420</v>
      </c>
      <c r="E13" s="4" t="s">
        <v>421</v>
      </c>
    </row>
    <row r="14" spans="1:9" x14ac:dyDescent="0.2">
      <c r="A14" s="5" t="s">
        <v>5</v>
      </c>
      <c r="B14" s="8">
        <v>55.2</v>
      </c>
      <c r="C14" s="5">
        <v>3</v>
      </c>
      <c r="D14" s="5" t="s">
        <v>125</v>
      </c>
      <c r="E14" s="5" t="s">
        <v>422</v>
      </c>
    </row>
    <row r="15" spans="1:9" x14ac:dyDescent="0.2">
      <c r="A15" s="5" t="s">
        <v>8</v>
      </c>
      <c r="B15" s="8">
        <v>56.01</v>
      </c>
      <c r="C15" s="5">
        <v>6</v>
      </c>
      <c r="D15" s="5" t="s">
        <v>125</v>
      </c>
      <c r="E15" s="5" t="s">
        <v>422</v>
      </c>
    </row>
    <row r="16" spans="1:9" x14ac:dyDescent="0.2">
      <c r="A16" s="5" t="s">
        <v>10</v>
      </c>
      <c r="B16" s="8">
        <v>56.01</v>
      </c>
      <c r="C16" s="5">
        <v>3</v>
      </c>
      <c r="D16" s="5" t="s">
        <v>125</v>
      </c>
      <c r="E16" s="5" t="s">
        <v>427</v>
      </c>
    </row>
  </sheetData>
  <mergeCells count="1">
    <mergeCell ref="A4:G4"/>
  </mergeCells>
  <hyperlinks>
    <hyperlink ref="I1" r:id="rId1" location="'RESUMEN%20SUBIDAS'!A1" xr:uid="{00000000-0004-0000-31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20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127</v>
      </c>
      <c r="I1" s="21" t="s">
        <v>405</v>
      </c>
    </row>
    <row r="2" spans="1:9" x14ac:dyDescent="0.2">
      <c r="A2" s="22" t="s">
        <v>432</v>
      </c>
    </row>
    <row r="3" spans="1:9" x14ac:dyDescent="0.2">
      <c r="A3" s="3" t="s">
        <v>535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COUNTIF($A$16:$A$20,A7)</f>
        <v>1</v>
      </c>
      <c r="C7" s="8">
        <f>_xlfn.MINIFS($B$16:$B$20,$A$16:$A$20,A7)</f>
        <v>11.68</v>
      </c>
      <c r="D7" s="8">
        <f>AVERAGEIF($A$16:$A$20,A7,$B$16:$B$20)</f>
        <v>11.68</v>
      </c>
      <c r="E7" s="8">
        <f>_xlfn.MAXIFS($B$16:$B$20,$A$16:$A$20,A7)</f>
        <v>11.68</v>
      </c>
      <c r="F7" s="16"/>
      <c r="G7" s="16"/>
    </row>
    <row r="8" spans="1:9" x14ac:dyDescent="0.2">
      <c r="A8" s="5" t="s">
        <v>5</v>
      </c>
      <c r="B8" s="5">
        <f>COUNTIF($A$16:$A$20,A8)</f>
        <v>1</v>
      </c>
      <c r="C8" s="8">
        <f>_xlfn.MINIFS($B$16:$B$20,$A$16:$A$20,A8)</f>
        <v>11.68</v>
      </c>
      <c r="D8" s="8">
        <f>AVERAGEIF($A$16:$A$20,A8,$B$16:$B$20)</f>
        <v>11.68</v>
      </c>
      <c r="E8" s="8">
        <f>_xlfn.MAXIFS($B$16:$B$20,$A$16:$A$20,A8)</f>
        <v>11.68</v>
      </c>
      <c r="F8" s="16">
        <f>D8/D7-1</f>
        <v>0</v>
      </c>
      <c r="G8" s="16">
        <f>D8/$D$7-1</f>
        <v>0</v>
      </c>
    </row>
    <row r="9" spans="1:9" x14ac:dyDescent="0.2">
      <c r="A9" s="5" t="s">
        <v>8</v>
      </c>
      <c r="B9" s="5">
        <f>COUNTIF($A$16:$A$20,A9)</f>
        <v>1</v>
      </c>
      <c r="C9" s="8">
        <f>_xlfn.MINIFS($B$16:$B$20,$A$16:$A$20,A9)</f>
        <v>11.85</v>
      </c>
      <c r="D9" s="8">
        <f>AVERAGEIF($A$16:$A$20,A9,$B$16:$B$20)</f>
        <v>11.85</v>
      </c>
      <c r="E9" s="8">
        <f>_xlfn.MAXIFS($B$16:$B$20,$A$16:$A$20,A9)</f>
        <v>11.85</v>
      </c>
      <c r="F9" s="16">
        <f>D9/D8-1</f>
        <v>1.4554794520547976E-2</v>
      </c>
      <c r="G9" s="16">
        <f>D9/$D$7-1</f>
        <v>1.4554794520547976E-2</v>
      </c>
    </row>
    <row r="10" spans="1:9" x14ac:dyDescent="0.2">
      <c r="A10" s="5" t="s">
        <v>10</v>
      </c>
      <c r="B10" s="5">
        <f>COUNTIF($A$16:$A$20,A10)</f>
        <v>1</v>
      </c>
      <c r="C10" s="8">
        <f>_xlfn.MINIFS($B$16:$B$20,$A$16:$A$20,A10)</f>
        <v>11.85</v>
      </c>
      <c r="D10" s="8">
        <f>AVERAGEIF($A$16:$A$20,A10,$B$16:$B$20)</f>
        <v>11.85</v>
      </c>
      <c r="E10" s="8">
        <f>_xlfn.MAXIFS($B$16:$B$20,$A$16:$A$20,A10)</f>
        <v>11.85</v>
      </c>
      <c r="F10" s="16">
        <f>D10/D9-1</f>
        <v>0</v>
      </c>
      <c r="G10" s="16">
        <f>D10/$D$7-1</f>
        <v>1.4554794520547976E-2</v>
      </c>
    </row>
    <row r="11" spans="1:9" x14ac:dyDescent="0.2">
      <c r="A11" s="5" t="s">
        <v>11</v>
      </c>
      <c r="B11" s="5">
        <f>COUNTIF($A$16:$A$20,A11)</f>
        <v>1</v>
      </c>
      <c r="C11" s="8">
        <f>_xlfn.MINIFS($B$16:$B$20,$A$16:$A$20,A11)</f>
        <v>11.85</v>
      </c>
      <c r="D11" s="8">
        <f>AVERAGEIF($A$16:$A$20,A11,$B$16:$B$20)</f>
        <v>11.85</v>
      </c>
      <c r="E11" s="8">
        <f>_xlfn.MAXIFS($B$16:$B$20,$A$16:$A$20,A11)</f>
        <v>11.85</v>
      </c>
      <c r="F11" s="16">
        <f>D11/D10-1</f>
        <v>0</v>
      </c>
      <c r="G11" s="16">
        <f>D11/$D$7-1</f>
        <v>1.4554794520547976E-2</v>
      </c>
    </row>
    <row r="12" spans="1:9" x14ac:dyDescent="0.2">
      <c r="F12" s="22" t="s">
        <v>416</v>
      </c>
      <c r="G12" s="23">
        <f>D11/D7-1</f>
        <v>1.4554794520547976E-2</v>
      </c>
    </row>
    <row r="14" spans="1:9" x14ac:dyDescent="0.2">
      <c r="A14" s="22" t="s">
        <v>417</v>
      </c>
    </row>
    <row r="15" spans="1:9" ht="30" x14ac:dyDescent="0.2">
      <c r="A15" s="4" t="s">
        <v>409</v>
      </c>
      <c r="B15" s="4" t="s">
        <v>418</v>
      </c>
      <c r="C15" s="4" t="s">
        <v>419</v>
      </c>
      <c r="D15" s="4" t="s">
        <v>420</v>
      </c>
      <c r="E15" s="4" t="s">
        <v>421</v>
      </c>
    </row>
    <row r="16" spans="1:9" x14ac:dyDescent="0.2">
      <c r="A16" s="5" t="s">
        <v>4</v>
      </c>
      <c r="B16" s="8">
        <v>11.68</v>
      </c>
      <c r="C16" s="5">
        <v>18</v>
      </c>
      <c r="D16" s="5" t="s">
        <v>536</v>
      </c>
      <c r="E16" s="5" t="s">
        <v>422</v>
      </c>
    </row>
    <row r="17" spans="1:5" x14ac:dyDescent="0.2">
      <c r="A17" s="5" t="s">
        <v>5</v>
      </c>
      <c r="B17" s="8">
        <v>11.68</v>
      </c>
      <c r="C17" s="5">
        <v>12</v>
      </c>
      <c r="D17" s="5" t="s">
        <v>536</v>
      </c>
      <c r="E17" s="5" t="s">
        <v>422</v>
      </c>
    </row>
    <row r="18" spans="1:5" x14ac:dyDescent="0.2">
      <c r="A18" s="5" t="s">
        <v>8</v>
      </c>
      <c r="B18" s="8">
        <v>11.85</v>
      </c>
      <c r="C18" s="5">
        <v>18</v>
      </c>
      <c r="D18" s="5" t="s">
        <v>536</v>
      </c>
      <c r="E18" s="5" t="s">
        <v>422</v>
      </c>
    </row>
    <row r="19" spans="1:5" x14ac:dyDescent="0.2">
      <c r="A19" s="5" t="s">
        <v>10</v>
      </c>
      <c r="B19" s="8">
        <v>11.85</v>
      </c>
      <c r="C19" s="5">
        <v>18</v>
      </c>
      <c r="D19" s="5" t="s">
        <v>536</v>
      </c>
      <c r="E19" s="5" t="s">
        <v>427</v>
      </c>
    </row>
    <row r="20" spans="1:5" x14ac:dyDescent="0.2">
      <c r="A20" s="5" t="s">
        <v>11</v>
      </c>
      <c r="B20" s="8">
        <v>11.85</v>
      </c>
      <c r="C20" s="5"/>
      <c r="D20" s="5" t="s">
        <v>536</v>
      </c>
      <c r="E20" s="5" t="s">
        <v>423</v>
      </c>
    </row>
  </sheetData>
  <mergeCells count="1">
    <mergeCell ref="A4:G4"/>
  </mergeCells>
  <hyperlinks>
    <hyperlink ref="I1" r:id="rId1" location="'RESUMEN%20SUBIDAS'!A1" xr:uid="{00000000-0004-0000-32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I19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129</v>
      </c>
      <c r="I1" s="21" t="s">
        <v>405</v>
      </c>
    </row>
    <row r="2" spans="1:9" x14ac:dyDescent="0.2">
      <c r="A2" s="22" t="s">
        <v>448</v>
      </c>
    </row>
    <row r="3" spans="1:9" x14ac:dyDescent="0.2">
      <c r="A3" s="3" t="s">
        <v>537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COUNTIF($A$15:$A$19,A7)</f>
        <v>2</v>
      </c>
      <c r="C7" s="8">
        <f>_xlfn.MINIFS($B$15:$B$19,$A$15:$A$19,A7)</f>
        <v>12.56</v>
      </c>
      <c r="D7" s="8">
        <f>AVERAGEIF($A$15:$A$19,A7,$B$15:$B$19)</f>
        <v>12.56</v>
      </c>
      <c r="E7" s="8">
        <f>_xlfn.MAXIFS($B$15:$B$19,$A$15:$A$19,A7)</f>
        <v>12.56</v>
      </c>
      <c r="F7" s="16"/>
      <c r="G7" s="16"/>
    </row>
    <row r="8" spans="1:9" x14ac:dyDescent="0.2">
      <c r="A8" s="5" t="s">
        <v>5</v>
      </c>
      <c r="B8" s="5">
        <f>COUNTIF($A$15:$A$19,A8)</f>
        <v>1</v>
      </c>
      <c r="C8" s="8">
        <f>_xlfn.MINIFS($B$15:$B$19,$A$15:$A$19,A8)</f>
        <v>12.56</v>
      </c>
      <c r="D8" s="8">
        <f>AVERAGEIF($A$15:$A$19,A8,$B$15:$B$19)</f>
        <v>12.56</v>
      </c>
      <c r="E8" s="8">
        <f>_xlfn.MAXIFS($B$15:$B$19,$A$15:$A$19,A8)</f>
        <v>12.56</v>
      </c>
      <c r="F8" s="16">
        <f>D8/D7-1</f>
        <v>0</v>
      </c>
      <c r="G8" s="16">
        <f>D8/$D$7-1</f>
        <v>0</v>
      </c>
    </row>
    <row r="9" spans="1:9" x14ac:dyDescent="0.2">
      <c r="A9" s="5" t="s">
        <v>10</v>
      </c>
      <c r="B9" s="5">
        <f>COUNTIF($A$15:$A$19,A9)</f>
        <v>1</v>
      </c>
      <c r="C9" s="8">
        <f>_xlfn.MINIFS($B$15:$B$19,$A$15:$A$19,A9)</f>
        <v>12.72</v>
      </c>
      <c r="D9" s="8">
        <f>AVERAGEIF($A$15:$A$19,A9,$B$15:$B$19)</f>
        <v>12.72</v>
      </c>
      <c r="E9" s="8">
        <f>_xlfn.MAXIFS($B$15:$B$19,$A$15:$A$19,A9)</f>
        <v>12.72</v>
      </c>
      <c r="F9" s="16">
        <f>D9/D8-1</f>
        <v>1.2738853503184711E-2</v>
      </c>
      <c r="G9" s="16">
        <f>D9/$D$7-1</f>
        <v>1.2738853503184711E-2</v>
      </c>
    </row>
    <row r="10" spans="1:9" x14ac:dyDescent="0.2">
      <c r="A10" s="5" t="s">
        <v>11</v>
      </c>
      <c r="B10" s="5">
        <f>COUNTIF($A$15:$A$19,A10)</f>
        <v>1</v>
      </c>
      <c r="C10" s="8">
        <f>_xlfn.MINIFS($B$15:$B$19,$A$15:$A$19,A10)</f>
        <v>12.72</v>
      </c>
      <c r="D10" s="8">
        <f>AVERAGEIF($A$15:$A$19,A10,$B$15:$B$19)</f>
        <v>12.72</v>
      </c>
      <c r="E10" s="8">
        <f>_xlfn.MAXIFS($B$15:$B$19,$A$15:$A$19,A10)</f>
        <v>12.72</v>
      </c>
      <c r="F10" s="16">
        <f>D10/D9-1</f>
        <v>0</v>
      </c>
      <c r="G10" s="16">
        <f>D10/$D$7-1</f>
        <v>1.2738853503184711E-2</v>
      </c>
    </row>
    <row r="11" spans="1:9" x14ac:dyDescent="0.2">
      <c r="F11" s="22" t="s">
        <v>416</v>
      </c>
      <c r="G11" s="23">
        <f>D10/D7-1</f>
        <v>1.2738853503184711E-2</v>
      </c>
    </row>
    <row r="13" spans="1:9" x14ac:dyDescent="0.2">
      <c r="A13" s="22" t="s">
        <v>417</v>
      </c>
    </row>
    <row r="14" spans="1:9" ht="30" x14ac:dyDescent="0.2">
      <c r="A14" s="4" t="s">
        <v>409</v>
      </c>
      <c r="B14" s="4" t="s">
        <v>418</v>
      </c>
      <c r="C14" s="4" t="s">
        <v>419</v>
      </c>
      <c r="D14" s="4" t="s">
        <v>420</v>
      </c>
      <c r="E14" s="4" t="s">
        <v>421</v>
      </c>
    </row>
    <row r="15" spans="1:9" x14ac:dyDescent="0.2">
      <c r="A15" s="5" t="s">
        <v>4</v>
      </c>
      <c r="B15" s="8">
        <v>12.56</v>
      </c>
      <c r="C15" s="5">
        <v>36</v>
      </c>
      <c r="D15" s="5" t="s">
        <v>538</v>
      </c>
      <c r="E15" s="5" t="s">
        <v>422</v>
      </c>
    </row>
    <row r="16" spans="1:9" x14ac:dyDescent="0.2">
      <c r="A16" s="5" t="s">
        <v>4</v>
      </c>
      <c r="B16" s="8">
        <v>12.56</v>
      </c>
      <c r="C16" s="5"/>
      <c r="D16" s="5" t="s">
        <v>538</v>
      </c>
      <c r="E16" s="5" t="s">
        <v>422</v>
      </c>
    </row>
    <row r="17" spans="1:5" x14ac:dyDescent="0.2">
      <c r="A17" s="5" t="s">
        <v>5</v>
      </c>
      <c r="B17" s="8">
        <v>12.56</v>
      </c>
      <c r="C17" s="5">
        <v>36</v>
      </c>
      <c r="D17" s="5" t="s">
        <v>538</v>
      </c>
      <c r="E17" s="5" t="s">
        <v>422</v>
      </c>
    </row>
    <row r="18" spans="1:5" x14ac:dyDescent="0.2">
      <c r="A18" s="5" t="s">
        <v>10</v>
      </c>
      <c r="B18" s="8">
        <v>12.72</v>
      </c>
      <c r="C18" s="5">
        <v>12</v>
      </c>
      <c r="D18" s="5" t="s">
        <v>538</v>
      </c>
      <c r="E18" s="5" t="s">
        <v>427</v>
      </c>
    </row>
    <row r="19" spans="1:5" x14ac:dyDescent="0.2">
      <c r="A19" s="5" t="s">
        <v>11</v>
      </c>
      <c r="B19" s="8">
        <v>12.72</v>
      </c>
      <c r="C19" s="5">
        <v>12</v>
      </c>
      <c r="D19" s="5" t="s">
        <v>538</v>
      </c>
      <c r="E19" s="5" t="s">
        <v>423</v>
      </c>
    </row>
  </sheetData>
  <mergeCells count="1">
    <mergeCell ref="A4:G4"/>
  </mergeCells>
  <hyperlinks>
    <hyperlink ref="I1" r:id="rId1" location="'RESUMEN%20SUBIDAS'!A1" xr:uid="{00000000-0004-0000-33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I23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131</v>
      </c>
      <c r="I1" s="21" t="s">
        <v>405</v>
      </c>
    </row>
    <row r="2" spans="1:9" x14ac:dyDescent="0.2">
      <c r="A2" s="22" t="s">
        <v>521</v>
      </c>
    </row>
    <row r="3" spans="1:9" x14ac:dyDescent="0.2">
      <c r="A3" s="3" t="s">
        <v>539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 t="shared" ref="B7:B12" si="0">COUNTIF($A$17:$A$23,A7)</f>
        <v>1</v>
      </c>
      <c r="C7" s="8">
        <f t="shared" ref="C7:C12" si="1">_xlfn.MINIFS($B$17:$B$23,$A$17:$A$23,A7)</f>
        <v>44.95</v>
      </c>
      <c r="D7" s="8">
        <f t="shared" ref="D7:D12" si="2">AVERAGEIF($A$17:$A$23,A7,$B$17:$B$23)</f>
        <v>44.95</v>
      </c>
      <c r="E7" s="8">
        <f t="shared" ref="E7:E12" si="3">_xlfn.MAXIFS($B$17:$B$23,$A$17:$A$23,A7)</f>
        <v>44.95</v>
      </c>
      <c r="F7" s="16"/>
      <c r="G7" s="16"/>
    </row>
    <row r="8" spans="1:9" x14ac:dyDescent="0.2">
      <c r="A8" s="5" t="s">
        <v>5</v>
      </c>
      <c r="B8" s="5">
        <f t="shared" si="0"/>
        <v>1</v>
      </c>
      <c r="C8" s="8">
        <f t="shared" si="1"/>
        <v>44.95</v>
      </c>
      <c r="D8" s="8">
        <f t="shared" si="2"/>
        <v>44.95</v>
      </c>
      <c r="E8" s="8">
        <f t="shared" si="3"/>
        <v>44.95</v>
      </c>
      <c r="F8" s="16">
        <f>D8/D7-1</f>
        <v>0</v>
      </c>
      <c r="G8" s="16">
        <f>D8/$D$7-1</f>
        <v>0</v>
      </c>
    </row>
    <row r="9" spans="1:9" x14ac:dyDescent="0.2">
      <c r="A9" s="5" t="s">
        <v>7</v>
      </c>
      <c r="B9" s="5">
        <f t="shared" si="0"/>
        <v>1</v>
      </c>
      <c r="C9" s="8">
        <f t="shared" si="1"/>
        <v>44.95</v>
      </c>
      <c r="D9" s="8">
        <f t="shared" si="2"/>
        <v>44.95</v>
      </c>
      <c r="E9" s="8">
        <f t="shared" si="3"/>
        <v>44.95</v>
      </c>
      <c r="F9" s="16">
        <f>D9/D8-1</f>
        <v>0</v>
      </c>
      <c r="G9" s="16">
        <f>D9/$D$7-1</f>
        <v>0</v>
      </c>
    </row>
    <row r="10" spans="1:9" x14ac:dyDescent="0.2">
      <c r="A10" s="5" t="s">
        <v>8</v>
      </c>
      <c r="B10" s="5">
        <f t="shared" si="0"/>
        <v>1</v>
      </c>
      <c r="C10" s="8">
        <f t="shared" si="1"/>
        <v>44.95</v>
      </c>
      <c r="D10" s="8">
        <f t="shared" si="2"/>
        <v>44.95</v>
      </c>
      <c r="E10" s="8">
        <f t="shared" si="3"/>
        <v>44.95</v>
      </c>
      <c r="F10" s="16">
        <f>D10/D9-1</f>
        <v>0</v>
      </c>
      <c r="G10" s="16">
        <f>D10/$D$7-1</f>
        <v>0</v>
      </c>
    </row>
    <row r="11" spans="1:9" x14ac:dyDescent="0.2">
      <c r="A11" s="5" t="s">
        <v>10</v>
      </c>
      <c r="B11" s="5">
        <f t="shared" si="0"/>
        <v>1</v>
      </c>
      <c r="C11" s="8">
        <f t="shared" si="1"/>
        <v>44.95</v>
      </c>
      <c r="D11" s="8">
        <f t="shared" si="2"/>
        <v>44.95</v>
      </c>
      <c r="E11" s="8">
        <f t="shared" si="3"/>
        <v>44.95</v>
      </c>
      <c r="F11" s="16">
        <f>D11/D10-1</f>
        <v>0</v>
      </c>
      <c r="G11" s="16">
        <f>D11/$D$7-1</f>
        <v>0</v>
      </c>
    </row>
    <row r="12" spans="1:9" x14ac:dyDescent="0.2">
      <c r="A12" s="5" t="s">
        <v>11</v>
      </c>
      <c r="B12" s="5">
        <f t="shared" si="0"/>
        <v>2</v>
      </c>
      <c r="C12" s="8">
        <f t="shared" si="1"/>
        <v>44.95</v>
      </c>
      <c r="D12" s="8">
        <f t="shared" si="2"/>
        <v>45.45</v>
      </c>
      <c r="E12" s="8">
        <f t="shared" si="3"/>
        <v>45.95</v>
      </c>
      <c r="F12" s="16">
        <f>D12/D11-1</f>
        <v>1.1123470522803158E-2</v>
      </c>
      <c r="G12" s="16">
        <f>D12/$D$7-1</f>
        <v>1.1123470522803158E-2</v>
      </c>
    </row>
    <row r="13" spans="1:9" x14ac:dyDescent="0.2">
      <c r="F13" s="22" t="s">
        <v>416</v>
      </c>
      <c r="G13" s="23">
        <f>D12/D7-1</f>
        <v>1.1123470522803158E-2</v>
      </c>
    </row>
    <row r="15" spans="1:9" x14ac:dyDescent="0.2">
      <c r="A15" s="22" t="s">
        <v>417</v>
      </c>
    </row>
    <row r="16" spans="1:9" ht="30" x14ac:dyDescent="0.2">
      <c r="A16" s="4" t="s">
        <v>409</v>
      </c>
      <c r="B16" s="4" t="s">
        <v>418</v>
      </c>
      <c r="C16" s="4" t="s">
        <v>419</v>
      </c>
      <c r="D16" s="4" t="s">
        <v>420</v>
      </c>
      <c r="E16" s="4" t="s">
        <v>421</v>
      </c>
    </row>
    <row r="17" spans="1:5" x14ac:dyDescent="0.2">
      <c r="A17" s="5" t="s">
        <v>4</v>
      </c>
      <c r="B17" s="8">
        <v>44.95</v>
      </c>
      <c r="C17" s="5">
        <v>9</v>
      </c>
      <c r="D17" s="5" t="s">
        <v>540</v>
      </c>
      <c r="E17" s="5" t="s">
        <v>422</v>
      </c>
    </row>
    <row r="18" spans="1:5" x14ac:dyDescent="0.2">
      <c r="A18" s="5" t="s">
        <v>5</v>
      </c>
      <c r="B18" s="8">
        <v>44.95</v>
      </c>
      <c r="C18" s="5">
        <v>9</v>
      </c>
      <c r="D18" s="5" t="s">
        <v>540</v>
      </c>
      <c r="E18" s="5" t="s">
        <v>422</v>
      </c>
    </row>
    <row r="19" spans="1:5" x14ac:dyDescent="0.2">
      <c r="A19" s="5" t="s">
        <v>7</v>
      </c>
      <c r="B19" s="8">
        <v>44.95</v>
      </c>
      <c r="C19" s="5">
        <v>10</v>
      </c>
      <c r="D19" s="5" t="s">
        <v>540</v>
      </c>
      <c r="E19" s="5" t="s">
        <v>422</v>
      </c>
    </row>
    <row r="20" spans="1:5" x14ac:dyDescent="0.2">
      <c r="A20" s="5" t="s">
        <v>8</v>
      </c>
      <c r="B20" s="8">
        <v>44.95</v>
      </c>
      <c r="C20" s="5">
        <v>12</v>
      </c>
      <c r="D20" s="5" t="s">
        <v>540</v>
      </c>
      <c r="E20" s="5" t="s">
        <v>422</v>
      </c>
    </row>
    <row r="21" spans="1:5" x14ac:dyDescent="0.2">
      <c r="A21" s="5" t="s">
        <v>10</v>
      </c>
      <c r="B21" s="8">
        <v>44.95</v>
      </c>
      <c r="C21" s="5"/>
      <c r="D21" s="5" t="s">
        <v>541</v>
      </c>
      <c r="E21" s="5" t="s">
        <v>427</v>
      </c>
    </row>
    <row r="22" spans="1:5" x14ac:dyDescent="0.2">
      <c r="A22" s="5" t="s">
        <v>11</v>
      </c>
      <c r="B22" s="8">
        <v>44.95</v>
      </c>
      <c r="C22" s="5"/>
      <c r="D22" s="5" t="s">
        <v>541</v>
      </c>
      <c r="E22" s="5" t="s">
        <v>423</v>
      </c>
    </row>
    <row r="23" spans="1:5" x14ac:dyDescent="0.2">
      <c r="A23" s="5" t="s">
        <v>11</v>
      </c>
      <c r="B23" s="8">
        <v>45.95</v>
      </c>
      <c r="C23" s="5"/>
      <c r="D23" s="5" t="s">
        <v>541</v>
      </c>
      <c r="E23" s="5" t="s">
        <v>423</v>
      </c>
    </row>
  </sheetData>
  <mergeCells count="1">
    <mergeCell ref="A4:G4"/>
  </mergeCells>
  <hyperlinks>
    <hyperlink ref="I1" r:id="rId1" location="'RESUMEN%20SUBIDAS'!A1" xr:uid="{00000000-0004-0000-34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I18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133</v>
      </c>
      <c r="I1" s="21" t="s">
        <v>405</v>
      </c>
    </row>
    <row r="2" spans="1:9" x14ac:dyDescent="0.2">
      <c r="A2" s="22" t="s">
        <v>432</v>
      </c>
    </row>
    <row r="3" spans="1:9" x14ac:dyDescent="0.2">
      <c r="A3" s="3" t="s">
        <v>542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COUNTIF($A$15:$A$18,A7)</f>
        <v>1</v>
      </c>
      <c r="C7" s="8">
        <f>_xlfn.MINIFS($B$15:$B$18,$A$15:$A$18,A7)</f>
        <v>18.649999999999999</v>
      </c>
      <c r="D7" s="8">
        <f>AVERAGEIF($A$15:$A$18,A7,$B$15:$B$18)</f>
        <v>18.649999999999999</v>
      </c>
      <c r="E7" s="8">
        <f>_xlfn.MAXIFS($B$15:$B$18,$A$15:$A$18,A7)</f>
        <v>18.649999999999999</v>
      </c>
      <c r="F7" s="16"/>
      <c r="G7" s="16"/>
    </row>
    <row r="8" spans="1:9" x14ac:dyDescent="0.2">
      <c r="A8" s="5" t="s">
        <v>5</v>
      </c>
      <c r="B8" s="5">
        <f>COUNTIF($A$15:$A$18,A8)</f>
        <v>1</v>
      </c>
      <c r="C8" s="8">
        <f>_xlfn.MINIFS($B$15:$B$18,$A$15:$A$18,A8)</f>
        <v>18.649999999999999</v>
      </c>
      <c r="D8" s="8">
        <f>AVERAGEIF($A$15:$A$18,A8,$B$15:$B$18)</f>
        <v>18.649999999999999</v>
      </c>
      <c r="E8" s="8">
        <f>_xlfn.MAXIFS($B$15:$B$18,$A$15:$A$18,A8)</f>
        <v>18.649999999999999</v>
      </c>
      <c r="F8" s="16">
        <f>D8/D7-1</f>
        <v>0</v>
      </c>
      <c r="G8" s="16">
        <f>D8/$D$7-1</f>
        <v>0</v>
      </c>
    </row>
    <row r="9" spans="1:9" x14ac:dyDescent="0.2">
      <c r="A9" s="5" t="s">
        <v>8</v>
      </c>
      <c r="B9" s="5">
        <f>COUNTIF($A$15:$A$18,A9)</f>
        <v>1</v>
      </c>
      <c r="C9" s="8">
        <f>_xlfn.MINIFS($B$15:$B$18,$A$15:$A$18,A9)</f>
        <v>18.649999999999999</v>
      </c>
      <c r="D9" s="8">
        <f>AVERAGEIF($A$15:$A$18,A9,$B$15:$B$18)</f>
        <v>18.649999999999999</v>
      </c>
      <c r="E9" s="8">
        <f>_xlfn.MAXIFS($B$15:$B$18,$A$15:$A$18,A9)</f>
        <v>18.649999999999999</v>
      </c>
      <c r="F9" s="16">
        <f>D9/D8-1</f>
        <v>0</v>
      </c>
      <c r="G9" s="16">
        <f>D9/$D$7-1</f>
        <v>0</v>
      </c>
    </row>
    <row r="10" spans="1:9" x14ac:dyDescent="0.2">
      <c r="A10" s="5" t="s">
        <v>10</v>
      </c>
      <c r="B10" s="5">
        <f>COUNTIF($A$15:$A$18,A10)</f>
        <v>1</v>
      </c>
      <c r="C10" s="8">
        <f>_xlfn.MINIFS($B$15:$B$18,$A$15:$A$18,A10)</f>
        <v>18.809999999999999</v>
      </c>
      <c r="D10" s="8">
        <f>AVERAGEIF($A$15:$A$18,A10,$B$15:$B$18)</f>
        <v>18.809999999999999</v>
      </c>
      <c r="E10" s="8">
        <f>_xlfn.MAXIFS($B$15:$B$18,$A$15:$A$18,A10)</f>
        <v>18.809999999999999</v>
      </c>
      <c r="F10" s="16">
        <f>D10/D9-1</f>
        <v>8.5790884718499605E-3</v>
      </c>
      <c r="G10" s="16">
        <f>D10/$D$7-1</f>
        <v>8.5790884718499605E-3</v>
      </c>
    </row>
    <row r="11" spans="1:9" x14ac:dyDescent="0.2">
      <c r="F11" s="22" t="s">
        <v>416</v>
      </c>
      <c r="G11" s="23">
        <f>D10/D7-1</f>
        <v>8.5790884718499605E-3</v>
      </c>
    </row>
    <row r="13" spans="1:9" x14ac:dyDescent="0.2">
      <c r="A13" s="22" t="s">
        <v>417</v>
      </c>
    </row>
    <row r="14" spans="1:9" ht="30" x14ac:dyDescent="0.2">
      <c r="A14" s="4" t="s">
        <v>409</v>
      </c>
      <c r="B14" s="4" t="s">
        <v>418</v>
      </c>
      <c r="C14" s="4" t="s">
        <v>419</v>
      </c>
      <c r="D14" s="4" t="s">
        <v>420</v>
      </c>
      <c r="E14" s="4" t="s">
        <v>421</v>
      </c>
    </row>
    <row r="15" spans="1:9" x14ac:dyDescent="0.2">
      <c r="A15" s="5" t="s">
        <v>4</v>
      </c>
      <c r="B15" s="8">
        <v>18.649999999999999</v>
      </c>
      <c r="C15" s="5">
        <v>2</v>
      </c>
      <c r="D15" s="5" t="s">
        <v>543</v>
      </c>
      <c r="E15" s="5" t="s">
        <v>422</v>
      </c>
    </row>
    <row r="16" spans="1:9" x14ac:dyDescent="0.2">
      <c r="A16" s="5" t="s">
        <v>5</v>
      </c>
      <c r="B16" s="8">
        <v>18.649999999999999</v>
      </c>
      <c r="C16" s="5">
        <v>7</v>
      </c>
      <c r="D16" s="5" t="s">
        <v>543</v>
      </c>
      <c r="E16" s="5" t="s">
        <v>422</v>
      </c>
    </row>
    <row r="17" spans="1:5" x14ac:dyDescent="0.2">
      <c r="A17" s="5" t="s">
        <v>8</v>
      </c>
      <c r="B17" s="8">
        <v>18.649999999999999</v>
      </c>
      <c r="C17" s="5"/>
      <c r="D17" s="5" t="s">
        <v>543</v>
      </c>
      <c r="E17" s="5" t="s">
        <v>422</v>
      </c>
    </row>
    <row r="18" spans="1:5" x14ac:dyDescent="0.2">
      <c r="A18" s="5" t="s">
        <v>10</v>
      </c>
      <c r="B18" s="8">
        <v>18.809999999999999</v>
      </c>
      <c r="C18" s="5">
        <v>6</v>
      </c>
      <c r="D18" s="5" t="s">
        <v>544</v>
      </c>
      <c r="E18" s="5" t="s">
        <v>427</v>
      </c>
    </row>
  </sheetData>
  <mergeCells count="1">
    <mergeCell ref="A4:G4"/>
  </mergeCells>
  <hyperlinks>
    <hyperlink ref="I1" r:id="rId1" location="'RESUMEN%20SUBIDAS'!A1" xr:uid="{00000000-0004-0000-35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I19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135</v>
      </c>
      <c r="I1" s="21" t="s">
        <v>405</v>
      </c>
    </row>
    <row r="2" spans="1:9" x14ac:dyDescent="0.2">
      <c r="A2" s="22" t="s">
        <v>432</v>
      </c>
    </row>
    <row r="3" spans="1:9" x14ac:dyDescent="0.2">
      <c r="A3" s="3" t="s">
        <v>545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COUNTIF($A$15:$A$19,A7)</f>
        <v>2</v>
      </c>
      <c r="C7" s="8">
        <f>_xlfn.MINIFS($B$15:$B$19,$A$15:$A$19,A7)</f>
        <v>12.2</v>
      </c>
      <c r="D7" s="8">
        <f>AVERAGEIF($A$15:$A$19,A7,$B$15:$B$19)</f>
        <v>12.2</v>
      </c>
      <c r="E7" s="8">
        <f>_xlfn.MAXIFS($B$15:$B$19,$A$15:$A$19,A7)</f>
        <v>12.2</v>
      </c>
      <c r="F7" s="16"/>
      <c r="G7" s="16"/>
    </row>
    <row r="8" spans="1:9" x14ac:dyDescent="0.2">
      <c r="A8" s="5" t="s">
        <v>5</v>
      </c>
      <c r="B8" s="5">
        <f>COUNTIF($A$15:$A$19,A8)</f>
        <v>1</v>
      </c>
      <c r="C8" s="8">
        <f>_xlfn.MINIFS($B$15:$B$19,$A$15:$A$19,A8)</f>
        <v>12.2</v>
      </c>
      <c r="D8" s="8">
        <f>AVERAGEIF($A$15:$A$19,A8,$B$15:$B$19)</f>
        <v>12.2</v>
      </c>
      <c r="E8" s="8">
        <f>_xlfn.MAXIFS($B$15:$B$19,$A$15:$A$19,A8)</f>
        <v>12.2</v>
      </c>
      <c r="F8" s="16">
        <f>D8/D7-1</f>
        <v>0</v>
      </c>
      <c r="G8" s="16">
        <f>D8/$D$7-1</f>
        <v>0</v>
      </c>
    </row>
    <row r="9" spans="1:9" x14ac:dyDescent="0.2">
      <c r="A9" s="5" t="s">
        <v>8</v>
      </c>
      <c r="B9" s="5">
        <f>COUNTIF($A$15:$A$19,A9)</f>
        <v>1</v>
      </c>
      <c r="C9" s="8">
        <f>_xlfn.MINIFS($B$15:$B$19,$A$15:$A$19,A9)</f>
        <v>12.3</v>
      </c>
      <c r="D9" s="8">
        <f>AVERAGEIF($A$15:$A$19,A9,$B$15:$B$19)</f>
        <v>12.3</v>
      </c>
      <c r="E9" s="8">
        <f>_xlfn.MAXIFS($B$15:$B$19,$A$15:$A$19,A9)</f>
        <v>12.3</v>
      </c>
      <c r="F9" s="16">
        <f>D9/D8-1</f>
        <v>8.19672131147553E-3</v>
      </c>
      <c r="G9" s="16">
        <f>D9/$D$7-1</f>
        <v>8.19672131147553E-3</v>
      </c>
    </row>
    <row r="10" spans="1:9" x14ac:dyDescent="0.2">
      <c r="A10" s="5" t="s">
        <v>10</v>
      </c>
      <c r="B10" s="5">
        <f>COUNTIF($A$15:$A$19,A10)</f>
        <v>1</v>
      </c>
      <c r="C10" s="8">
        <f>_xlfn.MINIFS($B$15:$B$19,$A$15:$A$19,A10)</f>
        <v>12.3</v>
      </c>
      <c r="D10" s="8">
        <f>AVERAGEIF($A$15:$A$19,A10,$B$15:$B$19)</f>
        <v>12.3</v>
      </c>
      <c r="E10" s="8">
        <f>_xlfn.MAXIFS($B$15:$B$19,$A$15:$A$19,A10)</f>
        <v>12.3</v>
      </c>
      <c r="F10" s="16">
        <f>D10/D9-1</f>
        <v>0</v>
      </c>
      <c r="G10" s="16">
        <f>D10/$D$7-1</f>
        <v>8.19672131147553E-3</v>
      </c>
    </row>
    <row r="11" spans="1:9" x14ac:dyDescent="0.2">
      <c r="F11" s="22" t="s">
        <v>416</v>
      </c>
      <c r="G11" s="23">
        <f>D10/D7-1</f>
        <v>8.19672131147553E-3</v>
      </c>
    </row>
    <row r="13" spans="1:9" x14ac:dyDescent="0.2">
      <c r="A13" s="22" t="s">
        <v>417</v>
      </c>
    </row>
    <row r="14" spans="1:9" ht="30" x14ac:dyDescent="0.2">
      <c r="A14" s="4" t="s">
        <v>409</v>
      </c>
      <c r="B14" s="4" t="s">
        <v>418</v>
      </c>
      <c r="C14" s="4" t="s">
        <v>419</v>
      </c>
      <c r="D14" s="4" t="s">
        <v>420</v>
      </c>
      <c r="E14" s="4" t="s">
        <v>421</v>
      </c>
    </row>
    <row r="15" spans="1:9" x14ac:dyDescent="0.2">
      <c r="A15" s="5" t="s">
        <v>4</v>
      </c>
      <c r="B15" s="8">
        <v>12.2</v>
      </c>
      <c r="C15" s="5">
        <v>18</v>
      </c>
      <c r="D15" s="5" t="s">
        <v>546</v>
      </c>
      <c r="E15" s="5" t="s">
        <v>422</v>
      </c>
    </row>
    <row r="16" spans="1:9" x14ac:dyDescent="0.2">
      <c r="A16" s="5" t="s">
        <v>4</v>
      </c>
      <c r="B16" s="8">
        <v>12.2</v>
      </c>
      <c r="C16" s="5">
        <v>1</v>
      </c>
      <c r="D16" s="5" t="s">
        <v>546</v>
      </c>
      <c r="E16" s="5" t="s">
        <v>547</v>
      </c>
    </row>
    <row r="17" spans="1:5" x14ac:dyDescent="0.2">
      <c r="A17" s="5" t="s">
        <v>5</v>
      </c>
      <c r="B17" s="8">
        <v>12.2</v>
      </c>
      <c r="C17" s="5">
        <v>20</v>
      </c>
      <c r="D17" s="5" t="s">
        <v>546</v>
      </c>
      <c r="E17" s="5" t="s">
        <v>422</v>
      </c>
    </row>
    <row r="18" spans="1:5" x14ac:dyDescent="0.2">
      <c r="A18" s="5" t="s">
        <v>8</v>
      </c>
      <c r="B18" s="8">
        <v>12.3</v>
      </c>
      <c r="C18" s="5">
        <v>12</v>
      </c>
      <c r="D18" s="5" t="s">
        <v>546</v>
      </c>
      <c r="E18" s="5" t="s">
        <v>422</v>
      </c>
    </row>
    <row r="19" spans="1:5" x14ac:dyDescent="0.2">
      <c r="A19" s="5" t="s">
        <v>10</v>
      </c>
      <c r="B19" s="8">
        <v>12.3</v>
      </c>
      <c r="C19" s="5">
        <v>18</v>
      </c>
      <c r="D19" s="5" t="s">
        <v>546</v>
      </c>
      <c r="E19" s="5" t="s">
        <v>427</v>
      </c>
    </row>
  </sheetData>
  <mergeCells count="1">
    <mergeCell ref="A4:G4"/>
  </mergeCells>
  <hyperlinks>
    <hyperlink ref="I1" r:id="rId1" location="'RESUMEN%20SUBIDAS'!A1" xr:uid="{00000000-0004-0000-36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I16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137</v>
      </c>
      <c r="I1" s="21" t="s">
        <v>405</v>
      </c>
    </row>
    <row r="2" spans="1:9" x14ac:dyDescent="0.2">
      <c r="A2" s="22" t="s">
        <v>439</v>
      </c>
    </row>
    <row r="3" spans="1:9" x14ac:dyDescent="0.2">
      <c r="A3" s="3" t="s">
        <v>548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COUNTIF($A$14:$A$16,A7)</f>
        <v>1</v>
      </c>
      <c r="C7" s="8">
        <f>_xlfn.MINIFS($B$14:$B$16,$A$14:$A$16,A7)</f>
        <v>9.7100000000000009</v>
      </c>
      <c r="D7" s="8">
        <f>AVERAGEIF($A$14:$A$16,A7,$B$14:$B$16)</f>
        <v>9.7100000000000009</v>
      </c>
      <c r="E7" s="8">
        <f>_xlfn.MAXIFS($B$14:$B$16,$A$14:$A$16,A7)</f>
        <v>9.7100000000000009</v>
      </c>
      <c r="F7" s="16"/>
      <c r="G7" s="16"/>
    </row>
    <row r="8" spans="1:9" x14ac:dyDescent="0.2">
      <c r="A8" s="5" t="s">
        <v>5</v>
      </c>
      <c r="B8" s="5">
        <f>COUNTIF($A$14:$A$16,A8)</f>
        <v>1</v>
      </c>
      <c r="C8" s="8">
        <f>_xlfn.MINIFS($B$14:$B$16,$A$14:$A$16,A8)</f>
        <v>9.7100000000000009</v>
      </c>
      <c r="D8" s="8">
        <f>AVERAGEIF($A$14:$A$16,A8,$B$14:$B$16)</f>
        <v>9.7100000000000009</v>
      </c>
      <c r="E8" s="8">
        <f>_xlfn.MAXIFS($B$14:$B$16,$A$14:$A$16,A8)</f>
        <v>9.7100000000000009</v>
      </c>
      <c r="F8" s="16">
        <f>D8/D7-1</f>
        <v>0</v>
      </c>
      <c r="G8" s="16">
        <f>D8/$D$7-1</f>
        <v>0</v>
      </c>
    </row>
    <row r="9" spans="1:9" x14ac:dyDescent="0.2">
      <c r="A9" s="5" t="s">
        <v>8</v>
      </c>
      <c r="B9" s="5">
        <f>COUNTIF($A$14:$A$16,A9)</f>
        <v>1</v>
      </c>
      <c r="C9" s="8">
        <f>_xlfn.MINIFS($B$14:$B$16,$A$14:$A$16,A9)</f>
        <v>9.7799999999999994</v>
      </c>
      <c r="D9" s="8">
        <f>AVERAGEIF($A$14:$A$16,A9,$B$14:$B$16)</f>
        <v>9.7799999999999994</v>
      </c>
      <c r="E9" s="8">
        <f>_xlfn.MAXIFS($B$14:$B$16,$A$14:$A$16,A9)</f>
        <v>9.7799999999999994</v>
      </c>
      <c r="F9" s="16">
        <f>D9/D8-1</f>
        <v>7.2090628218330899E-3</v>
      </c>
      <c r="G9" s="16">
        <f>D9/$D$7-1</f>
        <v>7.2090628218330899E-3</v>
      </c>
    </row>
    <row r="10" spans="1:9" x14ac:dyDescent="0.2">
      <c r="F10" s="22" t="s">
        <v>416</v>
      </c>
      <c r="G10" s="23">
        <f>D9/D7-1</f>
        <v>7.2090628218330899E-3</v>
      </c>
    </row>
    <row r="12" spans="1:9" x14ac:dyDescent="0.2">
      <c r="A12" s="22" t="s">
        <v>417</v>
      </c>
    </row>
    <row r="13" spans="1:9" ht="30" x14ac:dyDescent="0.2">
      <c r="A13" s="4" t="s">
        <v>409</v>
      </c>
      <c r="B13" s="4" t="s">
        <v>418</v>
      </c>
      <c r="C13" s="4" t="s">
        <v>419</v>
      </c>
      <c r="D13" s="4" t="s">
        <v>420</v>
      </c>
      <c r="E13" s="4" t="s">
        <v>421</v>
      </c>
    </row>
    <row r="14" spans="1:9" x14ac:dyDescent="0.2">
      <c r="A14" s="5" t="s">
        <v>4</v>
      </c>
      <c r="B14" s="8">
        <v>9.7100000000000009</v>
      </c>
      <c r="C14" s="5">
        <v>36</v>
      </c>
      <c r="D14" s="5" t="s">
        <v>137</v>
      </c>
      <c r="E14" s="5" t="s">
        <v>422</v>
      </c>
    </row>
    <row r="15" spans="1:9" x14ac:dyDescent="0.2">
      <c r="A15" s="5" t="s">
        <v>5</v>
      </c>
      <c r="B15" s="8">
        <v>9.7100000000000009</v>
      </c>
      <c r="C15" s="5">
        <v>6</v>
      </c>
      <c r="D15" s="5" t="s">
        <v>137</v>
      </c>
      <c r="E15" s="5" t="s">
        <v>422</v>
      </c>
    </row>
    <row r="16" spans="1:9" x14ac:dyDescent="0.2">
      <c r="A16" s="5" t="s">
        <v>8</v>
      </c>
      <c r="B16" s="8">
        <v>9.7799999999999994</v>
      </c>
      <c r="C16" s="5">
        <v>18</v>
      </c>
      <c r="D16" s="5" t="s">
        <v>137</v>
      </c>
      <c r="E16" s="5" t="s">
        <v>422</v>
      </c>
    </row>
  </sheetData>
  <mergeCells count="1">
    <mergeCell ref="A4:G4"/>
  </mergeCells>
  <hyperlinks>
    <hyperlink ref="I1" r:id="rId1" location="'RESUMEN%20SUBIDAS'!A1" xr:uid="{00000000-0004-0000-37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I18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139</v>
      </c>
      <c r="I1" s="21" t="s">
        <v>405</v>
      </c>
    </row>
    <row r="2" spans="1:9" x14ac:dyDescent="0.2">
      <c r="A2" s="22" t="s">
        <v>432</v>
      </c>
    </row>
    <row r="3" spans="1:9" x14ac:dyDescent="0.2">
      <c r="A3" s="3" t="s">
        <v>549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COUNTIF($A$15:$A$18,A7)</f>
        <v>1</v>
      </c>
      <c r="C7" s="8">
        <f>_xlfn.MINIFS($B$15:$B$18,$A$15:$A$18,A7)</f>
        <v>11.6</v>
      </c>
      <c r="D7" s="8">
        <f>AVERAGEIF($A$15:$A$18,A7,$B$15:$B$18)</f>
        <v>11.6</v>
      </c>
      <c r="E7" s="8">
        <f>_xlfn.MAXIFS($B$15:$B$18,$A$15:$A$18,A7)</f>
        <v>11.6</v>
      </c>
      <c r="F7" s="16"/>
      <c r="G7" s="16"/>
    </row>
    <row r="8" spans="1:9" x14ac:dyDescent="0.2">
      <c r="A8" s="5" t="s">
        <v>5</v>
      </c>
      <c r="B8" s="5">
        <f>COUNTIF($A$15:$A$18,A8)</f>
        <v>1</v>
      </c>
      <c r="C8" s="8">
        <f>_xlfn.MINIFS($B$15:$B$18,$A$15:$A$18,A8)</f>
        <v>11.6</v>
      </c>
      <c r="D8" s="8">
        <f>AVERAGEIF($A$15:$A$18,A8,$B$15:$B$18)</f>
        <v>11.6</v>
      </c>
      <c r="E8" s="8">
        <f>_xlfn.MAXIFS($B$15:$B$18,$A$15:$A$18,A8)</f>
        <v>11.6</v>
      </c>
      <c r="F8" s="16">
        <f>D8/D7-1</f>
        <v>0</v>
      </c>
      <c r="G8" s="16">
        <f>D8/$D$7-1</f>
        <v>0</v>
      </c>
    </row>
    <row r="9" spans="1:9" x14ac:dyDescent="0.2">
      <c r="A9" s="5" t="s">
        <v>8</v>
      </c>
      <c r="B9" s="5">
        <f>COUNTIF($A$15:$A$18,A9)</f>
        <v>1</v>
      </c>
      <c r="C9" s="8">
        <f>_xlfn.MINIFS($B$15:$B$18,$A$15:$A$18,A9)</f>
        <v>11.66</v>
      </c>
      <c r="D9" s="8">
        <f>AVERAGEIF($A$15:$A$18,A9,$B$15:$B$18)</f>
        <v>11.66</v>
      </c>
      <c r="E9" s="8">
        <f>_xlfn.MAXIFS($B$15:$B$18,$A$15:$A$18,A9)</f>
        <v>11.66</v>
      </c>
      <c r="F9" s="16">
        <f>D9/D8-1</f>
        <v>5.1724137931035141E-3</v>
      </c>
      <c r="G9" s="16">
        <f>D9/$D$7-1</f>
        <v>5.1724137931035141E-3</v>
      </c>
    </row>
    <row r="10" spans="1:9" x14ac:dyDescent="0.2">
      <c r="A10" s="5" t="s">
        <v>10</v>
      </c>
      <c r="B10" s="5">
        <f>COUNTIF($A$15:$A$18,A10)</f>
        <v>1</v>
      </c>
      <c r="C10" s="8">
        <f>_xlfn.MINIFS($B$15:$B$18,$A$15:$A$18,A10)</f>
        <v>11.66</v>
      </c>
      <c r="D10" s="8">
        <f>AVERAGEIF($A$15:$A$18,A10,$B$15:$B$18)</f>
        <v>11.66</v>
      </c>
      <c r="E10" s="8">
        <f>_xlfn.MAXIFS($B$15:$B$18,$A$15:$A$18,A10)</f>
        <v>11.66</v>
      </c>
      <c r="F10" s="16">
        <f>D10/D9-1</f>
        <v>0</v>
      </c>
      <c r="G10" s="16">
        <f>D10/$D$7-1</f>
        <v>5.1724137931035141E-3</v>
      </c>
    </row>
    <row r="11" spans="1:9" x14ac:dyDescent="0.2">
      <c r="F11" s="22" t="s">
        <v>416</v>
      </c>
      <c r="G11" s="23">
        <f>D10/D7-1</f>
        <v>5.1724137931035141E-3</v>
      </c>
    </row>
    <row r="13" spans="1:9" x14ac:dyDescent="0.2">
      <c r="A13" s="22" t="s">
        <v>417</v>
      </c>
    </row>
    <row r="14" spans="1:9" ht="30" x14ac:dyDescent="0.2">
      <c r="A14" s="4" t="s">
        <v>409</v>
      </c>
      <c r="B14" s="4" t="s">
        <v>418</v>
      </c>
      <c r="C14" s="4" t="s">
        <v>419</v>
      </c>
      <c r="D14" s="4" t="s">
        <v>420</v>
      </c>
      <c r="E14" s="4" t="s">
        <v>421</v>
      </c>
    </row>
    <row r="15" spans="1:9" x14ac:dyDescent="0.2">
      <c r="A15" s="5" t="s">
        <v>4</v>
      </c>
      <c r="B15" s="8">
        <v>11.6</v>
      </c>
      <c r="C15" s="5">
        <v>24</v>
      </c>
      <c r="D15" s="5" t="s">
        <v>550</v>
      </c>
      <c r="E15" s="5" t="s">
        <v>422</v>
      </c>
    </row>
    <row r="16" spans="1:9" x14ac:dyDescent="0.2">
      <c r="A16" s="5" t="s">
        <v>5</v>
      </c>
      <c r="B16" s="8">
        <v>11.6</v>
      </c>
      <c r="C16" s="5">
        <v>18</v>
      </c>
      <c r="D16" s="5" t="s">
        <v>550</v>
      </c>
      <c r="E16" s="5" t="s">
        <v>422</v>
      </c>
    </row>
    <row r="17" spans="1:5" x14ac:dyDescent="0.2">
      <c r="A17" s="5" t="s">
        <v>8</v>
      </c>
      <c r="B17" s="8">
        <v>11.66</v>
      </c>
      <c r="C17" s="5">
        <v>12</v>
      </c>
      <c r="D17" s="5" t="s">
        <v>550</v>
      </c>
      <c r="E17" s="5" t="s">
        <v>422</v>
      </c>
    </row>
    <row r="18" spans="1:5" x14ac:dyDescent="0.2">
      <c r="A18" s="5" t="s">
        <v>10</v>
      </c>
      <c r="B18" s="8">
        <v>11.66</v>
      </c>
      <c r="C18" s="5">
        <v>10</v>
      </c>
      <c r="D18" s="5" t="s">
        <v>550</v>
      </c>
      <c r="E18" s="5" t="s">
        <v>427</v>
      </c>
    </row>
  </sheetData>
  <mergeCells count="1">
    <mergeCell ref="A4:G4"/>
  </mergeCells>
  <hyperlinks>
    <hyperlink ref="I1" r:id="rId1" location="'RESUMEN%20SUBIDAS'!A1" xr:uid="{00000000-0004-0000-38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I14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141</v>
      </c>
      <c r="I1" s="21" t="s">
        <v>405</v>
      </c>
    </row>
    <row r="2" spans="1:9" x14ac:dyDescent="0.2">
      <c r="A2" s="22" t="s">
        <v>432</v>
      </c>
    </row>
    <row r="3" spans="1:9" x14ac:dyDescent="0.2">
      <c r="A3" s="3" t="s">
        <v>551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COUNTIF($A$13:$A$14,A7)</f>
        <v>1</v>
      </c>
      <c r="C7" s="8">
        <f>_xlfn.MINIFS($B$13:$B$14,$A$13:$A$14,A7)</f>
        <v>12.06</v>
      </c>
      <c r="D7" s="8">
        <f>AVERAGEIF($A$13:$A$14,A7,$B$13:$B$14)</f>
        <v>12.06</v>
      </c>
      <c r="E7" s="8">
        <f>_xlfn.MAXIFS($B$13:$B$14,$A$13:$A$14,A7)</f>
        <v>12.06</v>
      </c>
      <c r="F7" s="16"/>
      <c r="G7" s="16"/>
    </row>
    <row r="8" spans="1:9" x14ac:dyDescent="0.2">
      <c r="A8" s="5" t="s">
        <v>10</v>
      </c>
      <c r="B8" s="5">
        <f>COUNTIF($A$13:$A$14,A8)</f>
        <v>1</v>
      </c>
      <c r="C8" s="8">
        <f>_xlfn.MINIFS($B$13:$B$14,$A$13:$A$14,A8)</f>
        <v>12.12</v>
      </c>
      <c r="D8" s="8">
        <f>AVERAGEIF($A$13:$A$14,A8,$B$13:$B$14)</f>
        <v>12.12</v>
      </c>
      <c r="E8" s="8">
        <f>_xlfn.MAXIFS($B$13:$B$14,$A$13:$A$14,A8)</f>
        <v>12.12</v>
      </c>
      <c r="F8" s="16">
        <f>D8/D7-1</f>
        <v>4.9751243781093191E-3</v>
      </c>
      <c r="G8" s="16">
        <f>D8/$D$7-1</f>
        <v>4.9751243781093191E-3</v>
      </c>
    </row>
    <row r="9" spans="1:9" x14ac:dyDescent="0.2">
      <c r="F9" s="22" t="s">
        <v>416</v>
      </c>
      <c r="G9" s="23">
        <f>D8/D7-1</f>
        <v>4.9751243781093191E-3</v>
      </c>
    </row>
    <row r="11" spans="1:9" x14ac:dyDescent="0.2">
      <c r="A11" s="22" t="s">
        <v>417</v>
      </c>
    </row>
    <row r="12" spans="1:9" ht="30" x14ac:dyDescent="0.2">
      <c r="A12" s="4" t="s">
        <v>409</v>
      </c>
      <c r="B12" s="4" t="s">
        <v>418</v>
      </c>
      <c r="C12" s="4" t="s">
        <v>419</v>
      </c>
      <c r="D12" s="4" t="s">
        <v>420</v>
      </c>
      <c r="E12" s="4" t="s">
        <v>421</v>
      </c>
    </row>
    <row r="13" spans="1:9" x14ac:dyDescent="0.2">
      <c r="A13" s="5" t="s">
        <v>4</v>
      </c>
      <c r="B13" s="8">
        <v>12.06</v>
      </c>
      <c r="C13" s="5">
        <v>3</v>
      </c>
      <c r="D13" s="5" t="s">
        <v>552</v>
      </c>
      <c r="E13" s="5" t="s">
        <v>422</v>
      </c>
    </row>
    <row r="14" spans="1:9" x14ac:dyDescent="0.2">
      <c r="A14" s="5" t="s">
        <v>10</v>
      </c>
      <c r="B14" s="8">
        <v>12.12</v>
      </c>
      <c r="C14" s="5">
        <v>6</v>
      </c>
      <c r="D14" s="5" t="s">
        <v>552</v>
      </c>
      <c r="E14" s="5" t="s">
        <v>427</v>
      </c>
    </row>
  </sheetData>
  <mergeCells count="1">
    <mergeCell ref="A4:G4"/>
  </mergeCells>
  <hyperlinks>
    <hyperlink ref="I1" r:id="rId1" location="'RESUMEN%20SUBIDAS'!A1" xr:uid="{00000000-0004-0000-39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I16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143</v>
      </c>
      <c r="I1" s="21" t="s">
        <v>405</v>
      </c>
    </row>
    <row r="2" spans="1:9" x14ac:dyDescent="0.2">
      <c r="A2" s="22" t="s">
        <v>432</v>
      </c>
    </row>
    <row r="3" spans="1:9" x14ac:dyDescent="0.2">
      <c r="A3" s="3" t="s">
        <v>553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COUNTIF($A$14:$A$16,A7)</f>
        <v>1</v>
      </c>
      <c r="C7" s="8">
        <f>_xlfn.MINIFS($B$14:$B$16,$A$14:$A$16,A7)</f>
        <v>10.27</v>
      </c>
      <c r="D7" s="8">
        <f>AVERAGEIF($A$14:$A$16,A7,$B$14:$B$16)</f>
        <v>10.27</v>
      </c>
      <c r="E7" s="8">
        <f>_xlfn.MAXIFS($B$14:$B$16,$A$14:$A$16,A7)</f>
        <v>10.27</v>
      </c>
      <c r="F7" s="16"/>
      <c r="G7" s="16"/>
    </row>
    <row r="8" spans="1:9" x14ac:dyDescent="0.2">
      <c r="A8" s="5" t="s">
        <v>10</v>
      </c>
      <c r="B8" s="5">
        <f>COUNTIF($A$14:$A$16,A8)</f>
        <v>1</v>
      </c>
      <c r="C8" s="8">
        <f>_xlfn.MINIFS($B$14:$B$16,$A$14:$A$16,A8)</f>
        <v>10.32</v>
      </c>
      <c r="D8" s="8">
        <f>AVERAGEIF($A$14:$A$16,A8,$B$14:$B$16)</f>
        <v>10.32</v>
      </c>
      <c r="E8" s="8">
        <f>_xlfn.MAXIFS($B$14:$B$16,$A$14:$A$16,A8)</f>
        <v>10.32</v>
      </c>
      <c r="F8" s="16">
        <f>D8/D7-1</f>
        <v>4.8685491723468033E-3</v>
      </c>
      <c r="G8" s="16">
        <f>D8/$D$7-1</f>
        <v>4.8685491723468033E-3</v>
      </c>
    </row>
    <row r="9" spans="1:9" x14ac:dyDescent="0.2">
      <c r="A9" s="5" t="s">
        <v>11</v>
      </c>
      <c r="B9" s="5">
        <f>COUNTIF($A$14:$A$16,A9)</f>
        <v>1</v>
      </c>
      <c r="C9" s="8">
        <f>_xlfn.MINIFS($B$14:$B$16,$A$14:$A$16,A9)</f>
        <v>10.32</v>
      </c>
      <c r="D9" s="8">
        <f>AVERAGEIF($A$14:$A$16,A9,$B$14:$B$16)</f>
        <v>10.32</v>
      </c>
      <c r="E9" s="8">
        <f>_xlfn.MAXIFS($B$14:$B$16,$A$14:$A$16,A9)</f>
        <v>10.32</v>
      </c>
      <c r="F9" s="16">
        <f>D9/D8-1</f>
        <v>0</v>
      </c>
      <c r="G9" s="16">
        <f>D9/$D$7-1</f>
        <v>4.8685491723468033E-3</v>
      </c>
    </row>
    <row r="10" spans="1:9" x14ac:dyDescent="0.2">
      <c r="F10" s="22" t="s">
        <v>416</v>
      </c>
      <c r="G10" s="23">
        <f>D9/D7-1</f>
        <v>4.8685491723468033E-3</v>
      </c>
    </row>
    <row r="12" spans="1:9" x14ac:dyDescent="0.2">
      <c r="A12" s="22" t="s">
        <v>417</v>
      </c>
    </row>
    <row r="13" spans="1:9" ht="30" x14ac:dyDescent="0.2">
      <c r="A13" s="4" t="s">
        <v>409</v>
      </c>
      <c r="B13" s="4" t="s">
        <v>418</v>
      </c>
      <c r="C13" s="4" t="s">
        <v>419</v>
      </c>
      <c r="D13" s="4" t="s">
        <v>420</v>
      </c>
      <c r="E13" s="4" t="s">
        <v>421</v>
      </c>
    </row>
    <row r="14" spans="1:9" x14ac:dyDescent="0.2">
      <c r="A14" s="5" t="s">
        <v>4</v>
      </c>
      <c r="B14" s="8">
        <v>10.27</v>
      </c>
      <c r="C14" s="5">
        <v>2</v>
      </c>
      <c r="D14" s="5" t="s">
        <v>554</v>
      </c>
      <c r="E14" s="5" t="s">
        <v>422</v>
      </c>
    </row>
    <row r="15" spans="1:9" x14ac:dyDescent="0.2">
      <c r="A15" s="5" t="s">
        <v>10</v>
      </c>
      <c r="B15" s="8">
        <v>10.32</v>
      </c>
      <c r="C15" s="5">
        <v>2</v>
      </c>
      <c r="D15" s="5" t="s">
        <v>554</v>
      </c>
      <c r="E15" s="5" t="s">
        <v>427</v>
      </c>
    </row>
    <row r="16" spans="1:9" x14ac:dyDescent="0.2">
      <c r="A16" s="5" t="s">
        <v>11</v>
      </c>
      <c r="B16" s="8">
        <v>10.32</v>
      </c>
      <c r="C16" s="5">
        <v>1</v>
      </c>
      <c r="D16" s="5" t="s">
        <v>554</v>
      </c>
      <c r="E16" s="5" t="s">
        <v>423</v>
      </c>
    </row>
  </sheetData>
  <mergeCells count="1">
    <mergeCell ref="A4:G4"/>
  </mergeCells>
  <hyperlinks>
    <hyperlink ref="I1" r:id="rId1" location="'RESUMEN%20SUBIDAS'!A1" xr:uid="{00000000-0004-0000-3A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I19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145</v>
      </c>
      <c r="I1" s="21" t="s">
        <v>405</v>
      </c>
    </row>
    <row r="2" spans="1:9" x14ac:dyDescent="0.2">
      <c r="A2" s="22" t="s">
        <v>432</v>
      </c>
    </row>
    <row r="3" spans="1:9" x14ac:dyDescent="0.2">
      <c r="A3" s="3" t="s">
        <v>555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COUNTIF($A$15:$A$19,A7)</f>
        <v>2</v>
      </c>
      <c r="C7" s="8">
        <f>_xlfn.MINIFS($B$15:$B$19,$A$15:$A$19,A7)</f>
        <v>13.32</v>
      </c>
      <c r="D7" s="8">
        <f>AVERAGEIF($A$15:$A$19,A7,$B$15:$B$19)</f>
        <v>13.32</v>
      </c>
      <c r="E7" s="8">
        <f>_xlfn.MAXIFS($B$15:$B$19,$A$15:$A$19,A7)</f>
        <v>13.32</v>
      </c>
      <c r="F7" s="16"/>
      <c r="G7" s="16"/>
    </row>
    <row r="8" spans="1:9" x14ac:dyDescent="0.2">
      <c r="A8" s="5" t="s">
        <v>5</v>
      </c>
      <c r="B8" s="5">
        <f>COUNTIF($A$15:$A$19,A8)</f>
        <v>1</v>
      </c>
      <c r="C8" s="8">
        <f>_xlfn.MINIFS($B$15:$B$19,$A$15:$A$19,A8)</f>
        <v>13.32</v>
      </c>
      <c r="D8" s="8">
        <f>AVERAGEIF($A$15:$A$19,A8,$B$15:$B$19)</f>
        <v>13.32</v>
      </c>
      <c r="E8" s="8">
        <f>_xlfn.MAXIFS($B$15:$B$19,$A$15:$A$19,A8)</f>
        <v>13.32</v>
      </c>
      <c r="F8" s="16">
        <f>D8/D7-1</f>
        <v>0</v>
      </c>
      <c r="G8" s="16">
        <f>D8/$D$7-1</f>
        <v>0</v>
      </c>
    </row>
    <row r="9" spans="1:9" x14ac:dyDescent="0.2">
      <c r="A9" s="5" t="s">
        <v>8</v>
      </c>
      <c r="B9" s="5">
        <f>COUNTIF($A$15:$A$19,A9)</f>
        <v>1</v>
      </c>
      <c r="C9" s="8">
        <f>_xlfn.MINIFS($B$15:$B$19,$A$15:$A$19,A9)</f>
        <v>13.38</v>
      </c>
      <c r="D9" s="8">
        <f>AVERAGEIF($A$15:$A$19,A9,$B$15:$B$19)</f>
        <v>13.38</v>
      </c>
      <c r="E9" s="8">
        <f>_xlfn.MAXIFS($B$15:$B$19,$A$15:$A$19,A9)</f>
        <v>13.38</v>
      </c>
      <c r="F9" s="16">
        <f>D9/D8-1</f>
        <v>4.5045045045044585E-3</v>
      </c>
      <c r="G9" s="16">
        <f>D9/$D$7-1</f>
        <v>4.5045045045044585E-3</v>
      </c>
    </row>
    <row r="10" spans="1:9" x14ac:dyDescent="0.2">
      <c r="A10" s="5" t="s">
        <v>10</v>
      </c>
      <c r="B10" s="5">
        <f>COUNTIF($A$15:$A$19,A10)</f>
        <v>1</v>
      </c>
      <c r="C10" s="8">
        <f>_xlfn.MINIFS($B$15:$B$19,$A$15:$A$19,A10)</f>
        <v>13.38</v>
      </c>
      <c r="D10" s="8">
        <f>AVERAGEIF($A$15:$A$19,A10,$B$15:$B$19)</f>
        <v>13.38</v>
      </c>
      <c r="E10" s="8">
        <f>_xlfn.MAXIFS($B$15:$B$19,$A$15:$A$19,A10)</f>
        <v>13.38</v>
      </c>
      <c r="F10" s="16">
        <f>D10/D9-1</f>
        <v>0</v>
      </c>
      <c r="G10" s="16">
        <f>D10/$D$7-1</f>
        <v>4.5045045045044585E-3</v>
      </c>
    </row>
    <row r="11" spans="1:9" x14ac:dyDescent="0.2">
      <c r="F11" s="22" t="s">
        <v>416</v>
      </c>
      <c r="G11" s="23">
        <f>D10/D7-1</f>
        <v>4.5045045045044585E-3</v>
      </c>
    </row>
    <row r="13" spans="1:9" x14ac:dyDescent="0.2">
      <c r="A13" s="22" t="s">
        <v>417</v>
      </c>
    </row>
    <row r="14" spans="1:9" ht="30" x14ac:dyDescent="0.2">
      <c r="A14" s="4" t="s">
        <v>409</v>
      </c>
      <c r="B14" s="4" t="s">
        <v>418</v>
      </c>
      <c r="C14" s="4" t="s">
        <v>419</v>
      </c>
      <c r="D14" s="4" t="s">
        <v>420</v>
      </c>
      <c r="E14" s="4" t="s">
        <v>421</v>
      </c>
    </row>
    <row r="15" spans="1:9" x14ac:dyDescent="0.2">
      <c r="A15" s="5" t="s">
        <v>4</v>
      </c>
      <c r="B15" s="8">
        <v>13.32</v>
      </c>
      <c r="C15" s="5">
        <v>48</v>
      </c>
      <c r="D15" s="5" t="s">
        <v>556</v>
      </c>
      <c r="E15" s="5" t="s">
        <v>422</v>
      </c>
    </row>
    <row r="16" spans="1:9" x14ac:dyDescent="0.2">
      <c r="A16" s="5" t="s">
        <v>4</v>
      </c>
      <c r="B16" s="8">
        <v>13.32</v>
      </c>
      <c r="C16" s="5">
        <v>24</v>
      </c>
      <c r="D16" s="5" t="s">
        <v>556</v>
      </c>
      <c r="E16" s="5" t="s">
        <v>547</v>
      </c>
    </row>
    <row r="17" spans="1:5" x14ac:dyDescent="0.2">
      <c r="A17" s="5" t="s">
        <v>5</v>
      </c>
      <c r="B17" s="8">
        <v>13.32</v>
      </c>
      <c r="C17" s="5">
        <v>30</v>
      </c>
      <c r="D17" s="5" t="s">
        <v>556</v>
      </c>
      <c r="E17" s="5" t="s">
        <v>422</v>
      </c>
    </row>
    <row r="18" spans="1:5" x14ac:dyDescent="0.2">
      <c r="A18" s="5" t="s">
        <v>8</v>
      </c>
      <c r="B18" s="8">
        <v>13.38</v>
      </c>
      <c r="C18" s="5">
        <v>66</v>
      </c>
      <c r="D18" s="5" t="s">
        <v>556</v>
      </c>
      <c r="E18" s="5" t="s">
        <v>422</v>
      </c>
    </row>
    <row r="19" spans="1:5" x14ac:dyDescent="0.2">
      <c r="A19" s="5" t="s">
        <v>10</v>
      </c>
      <c r="B19" s="8">
        <v>13.38</v>
      </c>
      <c r="C19" s="5"/>
      <c r="D19" s="5" t="s">
        <v>556</v>
      </c>
      <c r="E19" s="5" t="s">
        <v>427</v>
      </c>
    </row>
  </sheetData>
  <mergeCells count="1">
    <mergeCell ref="A4:G4"/>
  </mergeCells>
  <hyperlinks>
    <hyperlink ref="I1" r:id="rId1" location="'RESUMEN%20SUBIDAS'!A1" xr:uid="{00000000-0004-0000-3B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I14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147</v>
      </c>
      <c r="I1" s="21" t="s">
        <v>405</v>
      </c>
    </row>
    <row r="2" spans="1:9" x14ac:dyDescent="0.2">
      <c r="A2" s="22" t="s">
        <v>432</v>
      </c>
    </row>
    <row r="3" spans="1:9" x14ac:dyDescent="0.2">
      <c r="A3" s="3" t="s">
        <v>557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COUNTIF($A$13:$A$14,A7)</f>
        <v>1</v>
      </c>
      <c r="C7" s="8">
        <f>_xlfn.MINIFS($B$13:$B$14,$A$13:$A$14,A7)</f>
        <v>10.64</v>
      </c>
      <c r="D7" s="8">
        <f>AVERAGEIF($A$13:$A$14,A7,$B$13:$B$14)</f>
        <v>10.64</v>
      </c>
      <c r="E7" s="8">
        <f>_xlfn.MAXIFS($B$13:$B$14,$A$13:$A$14,A7)</f>
        <v>10.64</v>
      </c>
      <c r="F7" s="16"/>
      <c r="G7" s="16"/>
    </row>
    <row r="8" spans="1:9" x14ac:dyDescent="0.2">
      <c r="A8" s="5" t="s">
        <v>8</v>
      </c>
      <c r="B8" s="5">
        <f>COUNTIF($A$13:$A$14,A8)</f>
        <v>1</v>
      </c>
      <c r="C8" s="8">
        <f>_xlfn.MINIFS($B$13:$B$14,$A$13:$A$14,A8)</f>
        <v>10.67</v>
      </c>
      <c r="D8" s="8">
        <f>AVERAGEIF($A$13:$A$14,A8,$B$13:$B$14)</f>
        <v>10.67</v>
      </c>
      <c r="E8" s="8">
        <f>_xlfn.MAXIFS($B$13:$B$14,$A$13:$A$14,A8)</f>
        <v>10.67</v>
      </c>
      <c r="F8" s="16">
        <f>D8/D7-1</f>
        <v>2.8195488721804995E-3</v>
      </c>
      <c r="G8" s="16">
        <f>D8/$D$7-1</f>
        <v>2.8195488721804995E-3</v>
      </c>
    </row>
    <row r="9" spans="1:9" x14ac:dyDescent="0.2">
      <c r="F9" s="22" t="s">
        <v>416</v>
      </c>
      <c r="G9" s="23">
        <f>D8/D7-1</f>
        <v>2.8195488721804995E-3</v>
      </c>
    </row>
    <row r="11" spans="1:9" x14ac:dyDescent="0.2">
      <c r="A11" s="22" t="s">
        <v>417</v>
      </c>
    </row>
    <row r="12" spans="1:9" ht="30" x14ac:dyDescent="0.2">
      <c r="A12" s="4" t="s">
        <v>409</v>
      </c>
      <c r="B12" s="4" t="s">
        <v>418</v>
      </c>
      <c r="C12" s="4" t="s">
        <v>419</v>
      </c>
      <c r="D12" s="4" t="s">
        <v>420</v>
      </c>
      <c r="E12" s="4" t="s">
        <v>421</v>
      </c>
    </row>
    <row r="13" spans="1:9" x14ac:dyDescent="0.2">
      <c r="A13" s="5" t="s">
        <v>4</v>
      </c>
      <c r="B13" s="8">
        <v>10.64</v>
      </c>
      <c r="C13" s="5">
        <v>2</v>
      </c>
      <c r="D13" s="5" t="s">
        <v>558</v>
      </c>
      <c r="E13" s="5" t="s">
        <v>547</v>
      </c>
    </row>
    <row r="14" spans="1:9" x14ac:dyDescent="0.2">
      <c r="A14" s="5" t="s">
        <v>8</v>
      </c>
      <c r="B14" s="8">
        <v>10.67</v>
      </c>
      <c r="C14" s="5">
        <v>12</v>
      </c>
      <c r="D14" s="5" t="s">
        <v>558</v>
      </c>
      <c r="E14" s="5" t="s">
        <v>422</v>
      </c>
    </row>
  </sheetData>
  <mergeCells count="1">
    <mergeCell ref="A4:G4"/>
  </mergeCells>
  <hyperlinks>
    <hyperlink ref="I1" r:id="rId1" location="'RESUMEN%20SUBIDAS'!A1" xr:uid="{00000000-0004-0000-3C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I23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150</v>
      </c>
      <c r="I1" s="21" t="s">
        <v>405</v>
      </c>
    </row>
    <row r="2" spans="1:9" x14ac:dyDescent="0.2">
      <c r="A2" s="22" t="s">
        <v>559</v>
      </c>
    </row>
    <row r="3" spans="1:9" x14ac:dyDescent="0.2">
      <c r="A3" s="3" t="s">
        <v>560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 t="shared" ref="B7:B12" si="0">COUNTIF($A$17:$A$23,A7)</f>
        <v>1</v>
      </c>
      <c r="C7" s="8">
        <f t="shared" ref="C7:C12" si="1">_xlfn.MINIFS($B$17:$B$23,$A$17:$A$23,A7)</f>
        <v>27.5</v>
      </c>
      <c r="D7" s="8">
        <f t="shared" ref="D7:D12" si="2">AVERAGEIF($A$17:$A$23,A7,$B$17:$B$23)</f>
        <v>27.5</v>
      </c>
      <c r="E7" s="8">
        <f t="shared" ref="E7:E12" si="3">_xlfn.MAXIFS($B$17:$B$23,$A$17:$A$23,A7)</f>
        <v>27.5</v>
      </c>
      <c r="F7" s="16"/>
      <c r="G7" s="16"/>
    </row>
    <row r="8" spans="1:9" x14ac:dyDescent="0.2">
      <c r="A8" s="5" t="s">
        <v>5</v>
      </c>
      <c r="B8" s="5">
        <f t="shared" si="0"/>
        <v>1</v>
      </c>
      <c r="C8" s="8">
        <f t="shared" si="1"/>
        <v>27.5</v>
      </c>
      <c r="D8" s="8">
        <f t="shared" si="2"/>
        <v>27.5</v>
      </c>
      <c r="E8" s="8">
        <f t="shared" si="3"/>
        <v>27.5</v>
      </c>
      <c r="F8" s="16">
        <f>D8/D7-1</f>
        <v>0</v>
      </c>
      <c r="G8" s="16">
        <f>D8/$D$7-1</f>
        <v>0</v>
      </c>
    </row>
    <row r="9" spans="1:9" x14ac:dyDescent="0.2">
      <c r="A9" s="5" t="s">
        <v>7</v>
      </c>
      <c r="B9" s="5">
        <f t="shared" si="0"/>
        <v>2</v>
      </c>
      <c r="C9" s="8">
        <f t="shared" si="1"/>
        <v>27.5</v>
      </c>
      <c r="D9" s="8">
        <f t="shared" si="2"/>
        <v>27.5</v>
      </c>
      <c r="E9" s="8">
        <f t="shared" si="3"/>
        <v>27.5</v>
      </c>
      <c r="F9" s="16">
        <f>D9/D8-1</f>
        <v>0</v>
      </c>
      <c r="G9" s="16">
        <f>D9/$D$7-1</f>
        <v>0</v>
      </c>
    </row>
    <row r="10" spans="1:9" x14ac:dyDescent="0.2">
      <c r="A10" s="5" t="s">
        <v>8</v>
      </c>
      <c r="B10" s="5">
        <f t="shared" si="0"/>
        <v>1</v>
      </c>
      <c r="C10" s="8">
        <f t="shared" si="1"/>
        <v>27.5</v>
      </c>
      <c r="D10" s="8">
        <f t="shared" si="2"/>
        <v>27.5</v>
      </c>
      <c r="E10" s="8">
        <f t="shared" si="3"/>
        <v>27.5</v>
      </c>
      <c r="F10" s="16">
        <f>D10/D9-1</f>
        <v>0</v>
      </c>
      <c r="G10" s="16">
        <f>D10/$D$7-1</f>
        <v>0</v>
      </c>
    </row>
    <row r="11" spans="1:9" x14ac:dyDescent="0.2">
      <c r="A11" s="5" t="s">
        <v>10</v>
      </c>
      <c r="B11" s="5">
        <f t="shared" si="0"/>
        <v>1</v>
      </c>
      <c r="C11" s="8">
        <f t="shared" si="1"/>
        <v>27.5</v>
      </c>
      <c r="D11" s="8">
        <f t="shared" si="2"/>
        <v>27.5</v>
      </c>
      <c r="E11" s="8">
        <f t="shared" si="3"/>
        <v>27.5</v>
      </c>
      <c r="F11" s="16">
        <f>D11/D10-1</f>
        <v>0</v>
      </c>
      <c r="G11" s="16">
        <f>D11/$D$7-1</f>
        <v>0</v>
      </c>
    </row>
    <row r="12" spans="1:9" x14ac:dyDescent="0.2">
      <c r="A12" s="5" t="s">
        <v>11</v>
      </c>
      <c r="B12" s="5">
        <f t="shared" si="0"/>
        <v>1</v>
      </c>
      <c r="C12" s="8">
        <f t="shared" si="1"/>
        <v>27.57</v>
      </c>
      <c r="D12" s="8">
        <f t="shared" si="2"/>
        <v>27.57</v>
      </c>
      <c r="E12" s="8">
        <f t="shared" si="3"/>
        <v>27.57</v>
      </c>
      <c r="F12" s="16">
        <f>D12/D11-1</f>
        <v>2.5454545454546285E-3</v>
      </c>
      <c r="G12" s="16">
        <f>D12/$D$7-1</f>
        <v>2.5454545454546285E-3</v>
      </c>
    </row>
    <row r="13" spans="1:9" x14ac:dyDescent="0.2">
      <c r="F13" s="22" t="s">
        <v>416</v>
      </c>
      <c r="G13" s="23">
        <f>D12/D7-1</f>
        <v>2.5454545454546285E-3</v>
      </c>
    </row>
    <row r="15" spans="1:9" x14ac:dyDescent="0.2">
      <c r="A15" s="22" t="s">
        <v>417</v>
      </c>
    </row>
    <row r="16" spans="1:9" ht="30" x14ac:dyDescent="0.2">
      <c r="A16" s="4" t="s">
        <v>409</v>
      </c>
      <c r="B16" s="4" t="s">
        <v>418</v>
      </c>
      <c r="C16" s="4" t="s">
        <v>419</v>
      </c>
      <c r="D16" s="4" t="s">
        <v>420</v>
      </c>
      <c r="E16" s="4" t="s">
        <v>421</v>
      </c>
    </row>
    <row r="17" spans="1:5" x14ac:dyDescent="0.2">
      <c r="A17" s="5" t="s">
        <v>4</v>
      </c>
      <c r="B17" s="8">
        <v>27.5</v>
      </c>
      <c r="C17" s="5">
        <v>101.67</v>
      </c>
      <c r="D17" s="5" t="s">
        <v>561</v>
      </c>
      <c r="E17" s="5" t="s">
        <v>422</v>
      </c>
    </row>
    <row r="18" spans="1:5" x14ac:dyDescent="0.2">
      <c r="A18" s="5" t="s">
        <v>5</v>
      </c>
      <c r="B18" s="8">
        <v>27.5</v>
      </c>
      <c r="C18" s="5">
        <v>109.5</v>
      </c>
      <c r="D18" s="5" t="s">
        <v>561</v>
      </c>
      <c r="E18" s="5" t="s">
        <v>422</v>
      </c>
    </row>
    <row r="19" spans="1:5" x14ac:dyDescent="0.2">
      <c r="A19" s="5" t="s">
        <v>7</v>
      </c>
      <c r="B19" s="8">
        <v>27.5</v>
      </c>
      <c r="C19" s="5">
        <v>113.13</v>
      </c>
      <c r="D19" s="5" t="s">
        <v>562</v>
      </c>
      <c r="E19" s="5" t="s">
        <v>422</v>
      </c>
    </row>
    <row r="20" spans="1:5" x14ac:dyDescent="0.2">
      <c r="A20" s="5" t="s">
        <v>7</v>
      </c>
      <c r="B20" s="8">
        <v>27.5</v>
      </c>
      <c r="C20" s="5">
        <v>-10.4363636363636</v>
      </c>
      <c r="D20" s="5" t="s">
        <v>562</v>
      </c>
      <c r="E20" s="5" t="s">
        <v>422</v>
      </c>
    </row>
    <row r="21" spans="1:5" x14ac:dyDescent="0.2">
      <c r="A21" s="5" t="s">
        <v>8</v>
      </c>
      <c r="B21" s="8">
        <v>27.5</v>
      </c>
      <c r="C21" s="5">
        <v>88.31</v>
      </c>
      <c r="D21" s="5" t="s">
        <v>562</v>
      </c>
      <c r="E21" s="5" t="s">
        <v>422</v>
      </c>
    </row>
    <row r="22" spans="1:5" x14ac:dyDescent="0.2">
      <c r="A22" s="5" t="s">
        <v>10</v>
      </c>
      <c r="B22" s="8">
        <v>27.5</v>
      </c>
      <c r="C22" s="5"/>
      <c r="D22" s="5" t="s">
        <v>563</v>
      </c>
      <c r="E22" s="5" t="s">
        <v>427</v>
      </c>
    </row>
    <row r="23" spans="1:5" x14ac:dyDescent="0.2">
      <c r="A23" s="5" t="s">
        <v>11</v>
      </c>
      <c r="B23" s="8">
        <v>27.57</v>
      </c>
      <c r="C23" s="5"/>
      <c r="D23" s="5" t="s">
        <v>564</v>
      </c>
      <c r="E23" s="5" t="s">
        <v>423</v>
      </c>
    </row>
  </sheetData>
  <mergeCells count="1">
    <mergeCell ref="A4:G4"/>
  </mergeCells>
  <hyperlinks>
    <hyperlink ref="I1" r:id="rId1" location="'RESUMEN%20SUBIDAS'!A1" xr:uid="{00000000-0004-0000-3D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I22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152</v>
      </c>
      <c r="I1" s="21" t="s">
        <v>405</v>
      </c>
    </row>
    <row r="2" spans="1:9" x14ac:dyDescent="0.2">
      <c r="A2" s="22" t="s">
        <v>559</v>
      </c>
    </row>
    <row r="3" spans="1:9" x14ac:dyDescent="0.2">
      <c r="A3" s="3" t="s">
        <v>565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 t="shared" ref="B7:B12" si="0">COUNTIF($A$17:$A$22,A7)</f>
        <v>1</v>
      </c>
      <c r="C7" s="8">
        <f t="shared" ref="C7:C12" si="1">_xlfn.MINIFS($B$17:$B$22,$A$17:$A$22,A7)</f>
        <v>36.9</v>
      </c>
      <c r="D7" s="8">
        <f t="shared" ref="D7:D12" si="2">AVERAGEIF($A$17:$A$22,A7,$B$17:$B$22)</f>
        <v>36.9</v>
      </c>
      <c r="E7" s="8">
        <f t="shared" ref="E7:E12" si="3">_xlfn.MAXIFS($B$17:$B$22,$A$17:$A$22,A7)</f>
        <v>36.9</v>
      </c>
      <c r="F7" s="16"/>
      <c r="G7" s="16"/>
    </row>
    <row r="8" spans="1:9" x14ac:dyDescent="0.2">
      <c r="A8" s="5" t="s">
        <v>5</v>
      </c>
      <c r="B8" s="5">
        <f t="shared" si="0"/>
        <v>1</v>
      </c>
      <c r="C8" s="8">
        <f t="shared" si="1"/>
        <v>36.9</v>
      </c>
      <c r="D8" s="8">
        <f t="shared" si="2"/>
        <v>36.9</v>
      </c>
      <c r="E8" s="8">
        <f t="shared" si="3"/>
        <v>36.9</v>
      </c>
      <c r="F8" s="16">
        <f>D8/D7-1</f>
        <v>0</v>
      </c>
      <c r="G8" s="16">
        <f>D8/$D$7-1</f>
        <v>0</v>
      </c>
    </row>
    <row r="9" spans="1:9" x14ac:dyDescent="0.2">
      <c r="A9" s="5" t="s">
        <v>7</v>
      </c>
      <c r="B9" s="5">
        <f t="shared" si="0"/>
        <v>1</v>
      </c>
      <c r="C9" s="8">
        <f t="shared" si="1"/>
        <v>36.9</v>
      </c>
      <c r="D9" s="8">
        <f t="shared" si="2"/>
        <v>36.9</v>
      </c>
      <c r="E9" s="8">
        <f t="shared" si="3"/>
        <v>36.9</v>
      </c>
      <c r="F9" s="16">
        <f>D9/D8-1</f>
        <v>0</v>
      </c>
      <c r="G9" s="16">
        <f>D9/$D$7-1</f>
        <v>0</v>
      </c>
    </row>
    <row r="10" spans="1:9" x14ac:dyDescent="0.2">
      <c r="A10" s="5" t="s">
        <v>8</v>
      </c>
      <c r="B10" s="5">
        <f t="shared" si="0"/>
        <v>1</v>
      </c>
      <c r="C10" s="8">
        <f t="shared" si="1"/>
        <v>36.9</v>
      </c>
      <c r="D10" s="8">
        <f t="shared" si="2"/>
        <v>36.9</v>
      </c>
      <c r="E10" s="8">
        <f t="shared" si="3"/>
        <v>36.9</v>
      </c>
      <c r="F10" s="16">
        <f>D10/D9-1</f>
        <v>0</v>
      </c>
      <c r="G10" s="16">
        <f>D10/$D$7-1</f>
        <v>0</v>
      </c>
    </row>
    <row r="11" spans="1:9" x14ac:dyDescent="0.2">
      <c r="A11" s="5" t="s">
        <v>10</v>
      </c>
      <c r="B11" s="5">
        <f t="shared" si="0"/>
        <v>1</v>
      </c>
      <c r="C11" s="8">
        <f t="shared" si="1"/>
        <v>36.9</v>
      </c>
      <c r="D11" s="8">
        <f t="shared" si="2"/>
        <v>36.9</v>
      </c>
      <c r="E11" s="8">
        <f t="shared" si="3"/>
        <v>36.9</v>
      </c>
      <c r="F11" s="16">
        <f>D11/D10-1</f>
        <v>0</v>
      </c>
      <c r="G11" s="16">
        <f>D11/$D$7-1</f>
        <v>0</v>
      </c>
    </row>
    <row r="12" spans="1:9" x14ac:dyDescent="0.2">
      <c r="A12" s="5" t="s">
        <v>11</v>
      </c>
      <c r="B12" s="5">
        <f t="shared" si="0"/>
        <v>1</v>
      </c>
      <c r="C12" s="8">
        <f t="shared" si="1"/>
        <v>36.97</v>
      </c>
      <c r="D12" s="8">
        <f t="shared" si="2"/>
        <v>36.97</v>
      </c>
      <c r="E12" s="8">
        <f t="shared" si="3"/>
        <v>36.97</v>
      </c>
      <c r="F12" s="16">
        <f>D12/D11-1</f>
        <v>1.8970189701896789E-3</v>
      </c>
      <c r="G12" s="16">
        <f>D12/$D$7-1</f>
        <v>1.8970189701896789E-3</v>
      </c>
    </row>
    <row r="13" spans="1:9" x14ac:dyDescent="0.2">
      <c r="F13" s="22" t="s">
        <v>416</v>
      </c>
      <c r="G13" s="23">
        <f>D12/D7-1</f>
        <v>1.8970189701896789E-3</v>
      </c>
    </row>
    <row r="15" spans="1:9" x14ac:dyDescent="0.2">
      <c r="A15" s="22" t="s">
        <v>417</v>
      </c>
    </row>
    <row r="16" spans="1:9" ht="30" x14ac:dyDescent="0.2">
      <c r="A16" s="4" t="s">
        <v>409</v>
      </c>
      <c r="B16" s="4" t="s">
        <v>418</v>
      </c>
      <c r="C16" s="4" t="s">
        <v>419</v>
      </c>
      <c r="D16" s="4" t="s">
        <v>420</v>
      </c>
      <c r="E16" s="4" t="s">
        <v>421</v>
      </c>
    </row>
    <row r="17" spans="1:5" x14ac:dyDescent="0.2">
      <c r="A17" s="5" t="s">
        <v>4</v>
      </c>
      <c r="B17" s="8">
        <v>36.9</v>
      </c>
      <c r="C17" s="5">
        <v>40.479999999999997</v>
      </c>
      <c r="D17" s="5" t="s">
        <v>566</v>
      </c>
      <c r="E17" s="5" t="s">
        <v>422</v>
      </c>
    </row>
    <row r="18" spans="1:5" x14ac:dyDescent="0.2">
      <c r="A18" s="5" t="s">
        <v>5</v>
      </c>
      <c r="B18" s="8">
        <v>36.9</v>
      </c>
      <c r="C18" s="5">
        <v>51.92</v>
      </c>
      <c r="D18" s="5" t="s">
        <v>566</v>
      </c>
      <c r="E18" s="5" t="s">
        <v>422</v>
      </c>
    </row>
    <row r="19" spans="1:5" x14ac:dyDescent="0.2">
      <c r="A19" s="5" t="s">
        <v>7</v>
      </c>
      <c r="B19" s="8">
        <v>36.9</v>
      </c>
      <c r="C19" s="5">
        <v>49.89</v>
      </c>
      <c r="D19" s="5" t="s">
        <v>567</v>
      </c>
      <c r="E19" s="5" t="s">
        <v>422</v>
      </c>
    </row>
    <row r="20" spans="1:5" x14ac:dyDescent="0.2">
      <c r="A20" s="5" t="s">
        <v>8</v>
      </c>
      <c r="B20" s="8">
        <v>36.9</v>
      </c>
      <c r="C20" s="5">
        <v>35.1</v>
      </c>
      <c r="D20" s="5" t="s">
        <v>567</v>
      </c>
      <c r="E20" s="5" t="s">
        <v>422</v>
      </c>
    </row>
    <row r="21" spans="1:5" x14ac:dyDescent="0.2">
      <c r="A21" s="5" t="s">
        <v>10</v>
      </c>
      <c r="B21" s="8">
        <v>36.9</v>
      </c>
      <c r="C21" s="5"/>
      <c r="D21" s="5" t="s">
        <v>568</v>
      </c>
      <c r="E21" s="5" t="s">
        <v>427</v>
      </c>
    </row>
    <row r="22" spans="1:5" x14ac:dyDescent="0.2">
      <c r="A22" s="5" t="s">
        <v>11</v>
      </c>
      <c r="B22" s="8">
        <v>36.97</v>
      </c>
      <c r="C22" s="5"/>
      <c r="D22" s="5" t="s">
        <v>569</v>
      </c>
      <c r="E22" s="5" t="s">
        <v>423</v>
      </c>
    </row>
  </sheetData>
  <mergeCells count="1">
    <mergeCell ref="A4:G4"/>
  </mergeCells>
  <hyperlinks>
    <hyperlink ref="I1" r:id="rId1" location="'RESUMEN%20SUBIDAS'!A1" xr:uid="{00000000-0004-0000-3E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I16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154</v>
      </c>
      <c r="I1" s="21" t="s">
        <v>405</v>
      </c>
    </row>
    <row r="2" spans="1:9" x14ac:dyDescent="0.2">
      <c r="A2" s="22" t="s">
        <v>439</v>
      </c>
    </row>
    <row r="3" spans="1:9" x14ac:dyDescent="0.2">
      <c r="A3" s="3" t="s">
        <v>570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COUNTIF($A$14:$A$16,A7)</f>
        <v>1</v>
      </c>
      <c r="C7" s="8">
        <f>_xlfn.MINIFS($B$14:$B$16,$A$14:$A$16,A7)</f>
        <v>7.47</v>
      </c>
      <c r="D7" s="8">
        <f>AVERAGEIF($A$14:$A$16,A7,$B$14:$B$16)</f>
        <v>7.47</v>
      </c>
      <c r="E7" s="8">
        <f>_xlfn.MAXIFS($B$14:$B$16,$A$14:$A$16,A7)</f>
        <v>7.47</v>
      </c>
      <c r="F7" s="16"/>
      <c r="G7" s="16"/>
    </row>
    <row r="8" spans="1:9" x14ac:dyDescent="0.2">
      <c r="A8" s="5" t="s">
        <v>5</v>
      </c>
      <c r="B8" s="5">
        <f>COUNTIF($A$14:$A$16,A8)</f>
        <v>1</v>
      </c>
      <c r="C8" s="8">
        <f>_xlfn.MINIFS($B$14:$B$16,$A$14:$A$16,A8)</f>
        <v>7.47</v>
      </c>
      <c r="D8" s="8">
        <f>AVERAGEIF($A$14:$A$16,A8,$B$14:$B$16)</f>
        <v>7.47</v>
      </c>
      <c r="E8" s="8">
        <f>_xlfn.MAXIFS($B$14:$B$16,$A$14:$A$16,A8)</f>
        <v>7.47</v>
      </c>
      <c r="F8" s="16">
        <f>D8/D7-1</f>
        <v>0</v>
      </c>
      <c r="G8" s="16">
        <f>D8/$D$7-1</f>
        <v>0</v>
      </c>
    </row>
    <row r="9" spans="1:9" x14ac:dyDescent="0.2">
      <c r="A9" s="5" t="s">
        <v>8</v>
      </c>
      <c r="B9" s="5">
        <f>COUNTIF($A$14:$A$16,A9)</f>
        <v>1</v>
      </c>
      <c r="C9" s="8">
        <f>_xlfn.MINIFS($B$14:$B$16,$A$14:$A$16,A9)</f>
        <v>7.48</v>
      </c>
      <c r="D9" s="8">
        <f>AVERAGEIF($A$14:$A$16,A9,$B$14:$B$16)</f>
        <v>7.48</v>
      </c>
      <c r="E9" s="8">
        <f>_xlfn.MAXIFS($B$14:$B$16,$A$14:$A$16,A9)</f>
        <v>7.48</v>
      </c>
      <c r="F9" s="16">
        <f>D9/D8-1</f>
        <v>1.3386880856760541E-3</v>
      </c>
      <c r="G9" s="16">
        <f>D9/$D$7-1</f>
        <v>1.3386880856760541E-3</v>
      </c>
    </row>
    <row r="10" spans="1:9" x14ac:dyDescent="0.2">
      <c r="F10" s="22" t="s">
        <v>416</v>
      </c>
      <c r="G10" s="23">
        <f>D9/D7-1</f>
        <v>1.3386880856760541E-3</v>
      </c>
    </row>
    <row r="12" spans="1:9" x14ac:dyDescent="0.2">
      <c r="A12" s="22" t="s">
        <v>417</v>
      </c>
    </row>
    <row r="13" spans="1:9" ht="30" x14ac:dyDescent="0.2">
      <c r="A13" s="4" t="s">
        <v>409</v>
      </c>
      <c r="B13" s="4" t="s">
        <v>418</v>
      </c>
      <c r="C13" s="4" t="s">
        <v>419</v>
      </c>
      <c r="D13" s="4" t="s">
        <v>420</v>
      </c>
      <c r="E13" s="4" t="s">
        <v>421</v>
      </c>
    </row>
    <row r="14" spans="1:9" x14ac:dyDescent="0.2">
      <c r="A14" s="5" t="s">
        <v>4</v>
      </c>
      <c r="B14" s="8">
        <v>7.47</v>
      </c>
      <c r="C14" s="5">
        <v>24</v>
      </c>
      <c r="D14" s="5" t="s">
        <v>571</v>
      </c>
      <c r="E14" s="5" t="s">
        <v>422</v>
      </c>
    </row>
    <row r="15" spans="1:9" x14ac:dyDescent="0.2">
      <c r="A15" s="5" t="s">
        <v>5</v>
      </c>
      <c r="B15" s="8">
        <v>7.47</v>
      </c>
      <c r="C15" s="5">
        <v>42</v>
      </c>
      <c r="D15" s="5" t="s">
        <v>571</v>
      </c>
      <c r="E15" s="5" t="s">
        <v>422</v>
      </c>
    </row>
    <row r="16" spans="1:9" x14ac:dyDescent="0.2">
      <c r="A16" s="5" t="s">
        <v>8</v>
      </c>
      <c r="B16" s="8">
        <v>7.48</v>
      </c>
      <c r="C16" s="5">
        <v>84</v>
      </c>
      <c r="D16" s="5" t="s">
        <v>571</v>
      </c>
      <c r="E16" s="5" t="s">
        <v>422</v>
      </c>
    </row>
  </sheetData>
  <mergeCells count="1">
    <mergeCell ref="A4:G4"/>
  </mergeCells>
  <hyperlinks>
    <hyperlink ref="I1" r:id="rId1" location="'RESUMEN%20SUBIDAS'!A1" xr:uid="{00000000-0004-0000-3F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I15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156</v>
      </c>
      <c r="I1" s="21" t="s">
        <v>405</v>
      </c>
    </row>
    <row r="2" spans="1:9" x14ac:dyDescent="0.2">
      <c r="A2" s="22" t="s">
        <v>448</v>
      </c>
    </row>
    <row r="3" spans="1:9" x14ac:dyDescent="0.2">
      <c r="A3" s="3" t="s">
        <v>572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COUNTIF($A$13:$A$15,A7)</f>
        <v>2</v>
      </c>
      <c r="C7" s="8">
        <f>_xlfn.MINIFS($B$13:$B$15,$A$13:$A$15,A7)</f>
        <v>24.43</v>
      </c>
      <c r="D7" s="8">
        <f>AVERAGEIF($A$13:$A$15,A7,$B$13:$B$15)</f>
        <v>24.43</v>
      </c>
      <c r="E7" s="8">
        <f>_xlfn.MAXIFS($B$13:$B$15,$A$13:$A$15,A7)</f>
        <v>24.43</v>
      </c>
      <c r="F7" s="16"/>
      <c r="G7" s="16"/>
    </row>
    <row r="8" spans="1:9" x14ac:dyDescent="0.2">
      <c r="A8" s="5" t="s">
        <v>5</v>
      </c>
      <c r="B8" s="5">
        <f>COUNTIF($A$13:$A$15,A8)</f>
        <v>1</v>
      </c>
      <c r="C8" s="8">
        <f>_xlfn.MINIFS($B$13:$B$15,$A$13:$A$15,A8)</f>
        <v>24.46</v>
      </c>
      <c r="D8" s="8">
        <f>AVERAGEIF($A$13:$A$15,A8,$B$13:$B$15)</f>
        <v>24.46</v>
      </c>
      <c r="E8" s="8">
        <f>_xlfn.MAXIFS($B$13:$B$15,$A$13:$A$15,A8)</f>
        <v>24.46</v>
      </c>
      <c r="F8" s="16">
        <f>D8/D7-1</f>
        <v>1.2279983626688473E-3</v>
      </c>
      <c r="G8" s="16">
        <f>D8/$D$7-1</f>
        <v>1.2279983626688473E-3</v>
      </c>
    </row>
    <row r="9" spans="1:9" x14ac:dyDescent="0.2">
      <c r="F9" s="22" t="s">
        <v>416</v>
      </c>
      <c r="G9" s="23">
        <f>D8/D7-1</f>
        <v>1.2279983626688473E-3</v>
      </c>
    </row>
    <row r="11" spans="1:9" x14ac:dyDescent="0.2">
      <c r="A11" s="22" t="s">
        <v>417</v>
      </c>
    </row>
    <row r="12" spans="1:9" ht="30" x14ac:dyDescent="0.2">
      <c r="A12" s="4" t="s">
        <v>409</v>
      </c>
      <c r="B12" s="4" t="s">
        <v>418</v>
      </c>
      <c r="C12" s="4" t="s">
        <v>419</v>
      </c>
      <c r="D12" s="4" t="s">
        <v>420</v>
      </c>
      <c r="E12" s="4" t="s">
        <v>421</v>
      </c>
    </row>
    <row r="13" spans="1:9" x14ac:dyDescent="0.2">
      <c r="A13" s="5" t="s">
        <v>4</v>
      </c>
      <c r="B13" s="8">
        <v>24.43</v>
      </c>
      <c r="C13" s="5">
        <v>3</v>
      </c>
      <c r="D13" s="5" t="s">
        <v>156</v>
      </c>
      <c r="E13" s="5" t="s">
        <v>422</v>
      </c>
    </row>
    <row r="14" spans="1:9" x14ac:dyDescent="0.2">
      <c r="A14" s="5" t="s">
        <v>4</v>
      </c>
      <c r="B14" s="8">
        <v>24.43</v>
      </c>
      <c r="C14" s="5"/>
      <c r="D14" s="5" t="s">
        <v>156</v>
      </c>
      <c r="E14" s="5" t="s">
        <v>422</v>
      </c>
    </row>
    <row r="15" spans="1:9" x14ac:dyDescent="0.2">
      <c r="A15" s="5" t="s">
        <v>5</v>
      </c>
      <c r="B15" s="8">
        <v>24.46</v>
      </c>
      <c r="C15" s="5">
        <v>4</v>
      </c>
      <c r="D15" s="5" t="s">
        <v>573</v>
      </c>
      <c r="E15" s="5" t="s">
        <v>422</v>
      </c>
    </row>
  </sheetData>
  <mergeCells count="1">
    <mergeCell ref="A4:G4"/>
  </mergeCells>
  <hyperlinks>
    <hyperlink ref="I1" r:id="rId1" location="'RESUMEN%20SUBIDAS'!A1" xr:uid="{00000000-0004-0000-40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I20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159</v>
      </c>
      <c r="I1" s="21" t="s">
        <v>405</v>
      </c>
    </row>
    <row r="2" spans="1:9" x14ac:dyDescent="0.2">
      <c r="A2" s="22" t="s">
        <v>574</v>
      </c>
    </row>
    <row r="3" spans="1:9" x14ac:dyDescent="0.2">
      <c r="A3" s="3" t="s">
        <v>575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5</v>
      </c>
      <c r="B7" s="5">
        <f>COUNTIF($A$16:$A$20,A7)</f>
        <v>1</v>
      </c>
      <c r="C7" s="8">
        <f>_xlfn.MINIFS($B$16:$B$20,$A$16:$A$20,A7)</f>
        <v>7.35</v>
      </c>
      <c r="D7" s="8">
        <f>AVERAGEIF($A$16:$A$20,A7,$B$16:$B$20)</f>
        <v>7.35</v>
      </c>
      <c r="E7" s="8">
        <f>_xlfn.MAXIFS($B$16:$B$20,$A$16:$A$20,A7)</f>
        <v>7.35</v>
      </c>
      <c r="F7" s="16"/>
      <c r="G7" s="16"/>
    </row>
    <row r="8" spans="1:9" x14ac:dyDescent="0.2">
      <c r="A8" s="5" t="s">
        <v>7</v>
      </c>
      <c r="B8" s="5">
        <f>COUNTIF($A$16:$A$20,A8)</f>
        <v>1</v>
      </c>
      <c r="C8" s="8">
        <f>_xlfn.MINIFS($B$16:$B$20,$A$16:$A$20,A8)</f>
        <v>6.9</v>
      </c>
      <c r="D8" s="8">
        <f>AVERAGEIF($A$16:$A$20,A8,$B$16:$B$20)</f>
        <v>6.9</v>
      </c>
      <c r="E8" s="8">
        <f>_xlfn.MAXIFS($B$16:$B$20,$A$16:$A$20,A8)</f>
        <v>6.9</v>
      </c>
      <c r="F8" s="16">
        <f>D8/D7-1</f>
        <v>-6.1224489795918324E-2</v>
      </c>
      <c r="G8" s="16">
        <f>D8/$D$7-1</f>
        <v>-6.1224489795918324E-2</v>
      </c>
    </row>
    <row r="9" spans="1:9" x14ac:dyDescent="0.2">
      <c r="A9" s="5" t="s">
        <v>8</v>
      </c>
      <c r="B9" s="5">
        <f>COUNTIF($A$16:$A$20,A9)</f>
        <v>1</v>
      </c>
      <c r="C9" s="8">
        <f>_xlfn.MINIFS($B$16:$B$20,$A$16:$A$20,A9)</f>
        <v>7.35</v>
      </c>
      <c r="D9" s="8">
        <f>AVERAGEIF($A$16:$A$20,A9,$B$16:$B$20)</f>
        <v>7.35</v>
      </c>
      <c r="E9" s="8">
        <f>_xlfn.MAXIFS($B$16:$B$20,$A$16:$A$20,A9)</f>
        <v>7.35</v>
      </c>
      <c r="F9" s="16">
        <f>D9/D8-1</f>
        <v>6.5217391304347672E-2</v>
      </c>
      <c r="G9" s="16">
        <f>D9/$D$7-1</f>
        <v>0</v>
      </c>
    </row>
    <row r="10" spans="1:9" x14ac:dyDescent="0.2">
      <c r="A10" s="5" t="s">
        <v>10</v>
      </c>
      <c r="B10" s="5">
        <f>COUNTIF($A$16:$A$20,A10)</f>
        <v>1</v>
      </c>
      <c r="C10" s="8">
        <f>_xlfn.MINIFS($B$16:$B$20,$A$16:$A$20,A10)</f>
        <v>7.35</v>
      </c>
      <c r="D10" s="8">
        <f>AVERAGEIF($A$16:$A$20,A10,$B$16:$B$20)</f>
        <v>7.35</v>
      </c>
      <c r="E10" s="8">
        <f>_xlfn.MAXIFS($B$16:$B$20,$A$16:$A$20,A10)</f>
        <v>7.35</v>
      </c>
      <c r="F10" s="16">
        <f>D10/D9-1</f>
        <v>0</v>
      </c>
      <c r="G10" s="16">
        <f>D10/$D$7-1</f>
        <v>0</v>
      </c>
    </row>
    <row r="11" spans="1:9" x14ac:dyDescent="0.2">
      <c r="A11" s="5" t="s">
        <v>11</v>
      </c>
      <c r="B11" s="5">
        <f>COUNTIF($A$16:$A$20,A11)</f>
        <v>1</v>
      </c>
      <c r="C11" s="8">
        <f>_xlfn.MINIFS($B$16:$B$20,$A$16:$A$20,A11)</f>
        <v>7.35</v>
      </c>
      <c r="D11" s="8">
        <f>AVERAGEIF($A$16:$A$20,A11,$B$16:$B$20)</f>
        <v>7.35</v>
      </c>
      <c r="E11" s="8">
        <f>_xlfn.MAXIFS($B$16:$B$20,$A$16:$A$20,A11)</f>
        <v>7.35</v>
      </c>
      <c r="F11" s="16">
        <f>D11/D10-1</f>
        <v>0</v>
      </c>
      <c r="G11" s="16">
        <f>D11/$D$7-1</f>
        <v>0</v>
      </c>
    </row>
    <row r="12" spans="1:9" x14ac:dyDescent="0.2">
      <c r="F12" s="22" t="s">
        <v>416</v>
      </c>
      <c r="G12" s="23">
        <f>D11/D7-1</f>
        <v>0</v>
      </c>
    </row>
    <row r="14" spans="1:9" x14ac:dyDescent="0.2">
      <c r="A14" s="22" t="s">
        <v>417</v>
      </c>
    </row>
    <row r="15" spans="1:9" ht="30" x14ac:dyDescent="0.2">
      <c r="A15" s="4" t="s">
        <v>409</v>
      </c>
      <c r="B15" s="4" t="s">
        <v>418</v>
      </c>
      <c r="C15" s="4" t="s">
        <v>419</v>
      </c>
      <c r="D15" s="4" t="s">
        <v>420</v>
      </c>
      <c r="E15" s="4" t="s">
        <v>421</v>
      </c>
    </row>
    <row r="16" spans="1:9" x14ac:dyDescent="0.2">
      <c r="A16" s="5" t="s">
        <v>5</v>
      </c>
      <c r="B16" s="8">
        <v>7.35</v>
      </c>
      <c r="C16" s="5">
        <v>60</v>
      </c>
      <c r="D16" s="5" t="s">
        <v>576</v>
      </c>
      <c r="E16" s="5" t="s">
        <v>422</v>
      </c>
    </row>
    <row r="17" spans="1:5" x14ac:dyDescent="0.2">
      <c r="A17" s="5" t="s">
        <v>7</v>
      </c>
      <c r="B17" s="8">
        <v>6.9</v>
      </c>
      <c r="C17" s="5"/>
      <c r="D17" s="5" t="s">
        <v>576</v>
      </c>
      <c r="E17" s="5" t="s">
        <v>422</v>
      </c>
    </row>
    <row r="18" spans="1:5" x14ac:dyDescent="0.2">
      <c r="A18" s="5" t="s">
        <v>8</v>
      </c>
      <c r="B18" s="8">
        <v>7.35</v>
      </c>
      <c r="C18" s="5">
        <v>40</v>
      </c>
      <c r="D18" s="5" t="s">
        <v>576</v>
      </c>
      <c r="E18" s="5" t="s">
        <v>422</v>
      </c>
    </row>
    <row r="19" spans="1:5" x14ac:dyDescent="0.2">
      <c r="A19" s="5" t="s">
        <v>10</v>
      </c>
      <c r="B19" s="8">
        <v>7.35</v>
      </c>
      <c r="C19" s="5"/>
      <c r="D19" s="5" t="s">
        <v>159</v>
      </c>
      <c r="E19" s="5" t="s">
        <v>427</v>
      </c>
    </row>
    <row r="20" spans="1:5" x14ac:dyDescent="0.2">
      <c r="A20" s="5" t="s">
        <v>11</v>
      </c>
      <c r="B20" s="8">
        <v>7.35</v>
      </c>
      <c r="C20" s="5">
        <v>20</v>
      </c>
      <c r="D20" s="5" t="s">
        <v>577</v>
      </c>
      <c r="E20" s="5" t="s">
        <v>423</v>
      </c>
    </row>
  </sheetData>
  <mergeCells count="1">
    <mergeCell ref="A4:G4"/>
  </mergeCells>
  <hyperlinks>
    <hyperlink ref="I1" r:id="rId1" location="'RESUMEN%20SUBIDAS'!A1" xr:uid="{00000000-0004-0000-41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I17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163</v>
      </c>
      <c r="I1" s="21" t="s">
        <v>405</v>
      </c>
    </row>
    <row r="2" spans="1:9" x14ac:dyDescent="0.2">
      <c r="A2" s="22" t="s">
        <v>578</v>
      </c>
    </row>
    <row r="3" spans="1:9" x14ac:dyDescent="0.2">
      <c r="A3" s="3" t="s">
        <v>579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8</v>
      </c>
      <c r="B7" s="5">
        <f>COUNTIF($A$14:$A$17,A7)</f>
        <v>1</v>
      </c>
      <c r="C7" s="8">
        <f>_xlfn.MINIFS($B$14:$B$17,$A$14:$A$17,A7)</f>
        <v>35</v>
      </c>
      <c r="D7" s="8">
        <f>AVERAGEIF($A$14:$A$17,A7,$B$14:$B$17)</f>
        <v>35</v>
      </c>
      <c r="E7" s="8">
        <f>_xlfn.MAXIFS($B$14:$B$17,$A$14:$A$17,A7)</f>
        <v>35</v>
      </c>
      <c r="F7" s="16"/>
      <c r="G7" s="16"/>
    </row>
    <row r="8" spans="1:9" x14ac:dyDescent="0.2">
      <c r="A8" s="5" t="s">
        <v>10</v>
      </c>
      <c r="B8" s="5">
        <f>COUNTIF($A$14:$A$17,A8)</f>
        <v>2</v>
      </c>
      <c r="C8" s="8">
        <f>_xlfn.MINIFS($B$14:$B$17,$A$14:$A$17,A8)</f>
        <v>34.549999999999997</v>
      </c>
      <c r="D8" s="8">
        <f>AVERAGEIF($A$14:$A$17,A8,$B$14:$B$17)</f>
        <v>34.774999999999999</v>
      </c>
      <c r="E8" s="8">
        <f>_xlfn.MAXIFS($B$14:$B$17,$A$14:$A$17,A8)</f>
        <v>35</v>
      </c>
      <c r="F8" s="16">
        <f>D8/D7-1</f>
        <v>-6.4285714285714501E-3</v>
      </c>
      <c r="G8" s="16">
        <f>D8/$D$7-1</f>
        <v>-6.4285714285714501E-3</v>
      </c>
    </row>
    <row r="9" spans="1:9" x14ac:dyDescent="0.2">
      <c r="A9" s="5" t="s">
        <v>11</v>
      </c>
      <c r="B9" s="5">
        <f>COUNTIF($A$14:$A$17,A9)</f>
        <v>1</v>
      </c>
      <c r="C9" s="8">
        <f>_xlfn.MINIFS($B$14:$B$17,$A$14:$A$17,A9)</f>
        <v>35</v>
      </c>
      <c r="D9" s="8">
        <f>AVERAGEIF($A$14:$A$17,A9,$B$14:$B$17)</f>
        <v>35</v>
      </c>
      <c r="E9" s="8">
        <f>_xlfn.MAXIFS($B$14:$B$17,$A$14:$A$17,A9)</f>
        <v>35</v>
      </c>
      <c r="F9" s="16">
        <f>D9/D8-1</f>
        <v>6.470165348670065E-3</v>
      </c>
      <c r="G9" s="16">
        <f>D9/$D$7-1</f>
        <v>0</v>
      </c>
    </row>
    <row r="10" spans="1:9" x14ac:dyDescent="0.2">
      <c r="F10" s="22" t="s">
        <v>416</v>
      </c>
      <c r="G10" s="23">
        <f>D9/D7-1</f>
        <v>0</v>
      </c>
    </row>
    <row r="12" spans="1:9" x14ac:dyDescent="0.2">
      <c r="A12" s="22" t="s">
        <v>417</v>
      </c>
    </row>
    <row r="13" spans="1:9" ht="30" x14ac:dyDescent="0.2">
      <c r="A13" s="4" t="s">
        <v>409</v>
      </c>
      <c r="B13" s="4" t="s">
        <v>418</v>
      </c>
      <c r="C13" s="4" t="s">
        <v>419</v>
      </c>
      <c r="D13" s="4" t="s">
        <v>420</v>
      </c>
      <c r="E13" s="4" t="s">
        <v>421</v>
      </c>
    </row>
    <row r="14" spans="1:9" x14ac:dyDescent="0.2">
      <c r="A14" s="5" t="s">
        <v>8</v>
      </c>
      <c r="B14" s="8">
        <v>35</v>
      </c>
      <c r="C14" s="5">
        <v>25.785</v>
      </c>
      <c r="D14" s="5" t="s">
        <v>163</v>
      </c>
      <c r="E14" s="5" t="s">
        <v>422</v>
      </c>
    </row>
    <row r="15" spans="1:9" x14ac:dyDescent="0.2">
      <c r="A15" s="5" t="s">
        <v>10</v>
      </c>
      <c r="B15" s="8">
        <v>34.549999999999997</v>
      </c>
      <c r="C15" s="5"/>
      <c r="D15" s="5" t="s">
        <v>163</v>
      </c>
      <c r="E15" s="5" t="s">
        <v>427</v>
      </c>
    </row>
    <row r="16" spans="1:9" x14ac:dyDescent="0.2">
      <c r="A16" s="5" t="s">
        <v>10</v>
      </c>
      <c r="B16" s="8">
        <v>35</v>
      </c>
      <c r="C16" s="5"/>
      <c r="D16" s="5" t="s">
        <v>163</v>
      </c>
      <c r="E16" s="5" t="s">
        <v>427</v>
      </c>
    </row>
    <row r="17" spans="1:5" x14ac:dyDescent="0.2">
      <c r="A17" s="5" t="s">
        <v>11</v>
      </c>
      <c r="B17" s="8">
        <v>35</v>
      </c>
      <c r="C17" s="5"/>
      <c r="D17" s="5" t="s">
        <v>163</v>
      </c>
      <c r="E17" s="5" t="s">
        <v>423</v>
      </c>
    </row>
  </sheetData>
  <mergeCells count="1">
    <mergeCell ref="A4:G4"/>
  </mergeCells>
  <hyperlinks>
    <hyperlink ref="I1" r:id="rId1" location="'RESUMEN%20SUBIDAS'!A1" xr:uid="{00000000-0004-0000-42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I16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165</v>
      </c>
      <c r="I1" s="21" t="s">
        <v>405</v>
      </c>
    </row>
    <row r="2" spans="1:9" x14ac:dyDescent="0.2">
      <c r="A2" s="22" t="s">
        <v>574</v>
      </c>
    </row>
    <row r="3" spans="1:9" x14ac:dyDescent="0.2">
      <c r="A3" s="3" t="s">
        <v>580</v>
      </c>
    </row>
    <row r="4" spans="1:9" ht="30" customHeight="1" x14ac:dyDescent="0.2">
      <c r="A4" s="1" t="s">
        <v>408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5</v>
      </c>
      <c r="B7" s="5">
        <f>COUNTIF($A$14:$A$16,A7)</f>
        <v>1</v>
      </c>
      <c r="C7" s="8">
        <f>_xlfn.MINIFS($B$14:$B$16,$A$14:$A$16,A7)</f>
        <v>16</v>
      </c>
      <c r="D7" s="8">
        <f>AVERAGEIF($A$14:$A$16,A7,$B$14:$B$16)</f>
        <v>16</v>
      </c>
      <c r="E7" s="8">
        <f>_xlfn.MAXIFS($B$14:$B$16,$A$14:$A$16,A7)</f>
        <v>16</v>
      </c>
      <c r="F7" s="16"/>
      <c r="G7" s="16"/>
    </row>
    <row r="8" spans="1:9" x14ac:dyDescent="0.2">
      <c r="A8" s="5" t="s">
        <v>7</v>
      </c>
      <c r="B8" s="5">
        <f>COUNTIF($A$14:$A$16,A8)</f>
        <v>1</v>
      </c>
      <c r="C8" s="8">
        <f>_xlfn.MINIFS($B$14:$B$16,$A$14:$A$16,A8)</f>
        <v>7.35</v>
      </c>
      <c r="D8" s="8">
        <f>AVERAGEIF($A$14:$A$16,A8,$B$14:$B$16)</f>
        <v>7.35</v>
      </c>
      <c r="E8" s="8">
        <f>_xlfn.MAXIFS($B$14:$B$16,$A$14:$A$16,A8)</f>
        <v>7.35</v>
      </c>
      <c r="F8" s="16">
        <f>D8/D7-1</f>
        <v>-0.54062500000000002</v>
      </c>
      <c r="G8" s="16">
        <f>D8/$D$7-1</f>
        <v>-0.54062500000000002</v>
      </c>
    </row>
    <row r="9" spans="1:9" x14ac:dyDescent="0.2">
      <c r="A9" s="5" t="s">
        <v>8</v>
      </c>
      <c r="B9" s="5">
        <f>COUNTIF($A$14:$A$16,A9)</f>
        <v>1</v>
      </c>
      <c r="C9" s="8">
        <f>_xlfn.MINIFS($B$14:$B$16,$A$14:$A$16,A9)</f>
        <v>16</v>
      </c>
      <c r="D9" s="8">
        <f>AVERAGEIF($A$14:$A$16,A9,$B$14:$B$16)</f>
        <v>16</v>
      </c>
      <c r="E9" s="8">
        <f>_xlfn.MAXIFS($B$14:$B$16,$A$14:$A$16,A9)</f>
        <v>16</v>
      </c>
      <c r="F9" s="16">
        <f>D9/D8-1</f>
        <v>1.1768707482993199</v>
      </c>
      <c r="G9" s="16">
        <f>D9/$D$7-1</f>
        <v>0</v>
      </c>
    </row>
    <row r="10" spans="1:9" x14ac:dyDescent="0.2">
      <c r="F10" s="22" t="s">
        <v>416</v>
      </c>
      <c r="G10" s="23">
        <f>D9/D7-1</f>
        <v>0</v>
      </c>
    </row>
    <row r="12" spans="1:9" x14ac:dyDescent="0.2">
      <c r="A12" s="22" t="s">
        <v>417</v>
      </c>
    </row>
    <row r="13" spans="1:9" ht="30" x14ac:dyDescent="0.2">
      <c r="A13" s="4" t="s">
        <v>409</v>
      </c>
      <c r="B13" s="4" t="s">
        <v>418</v>
      </c>
      <c r="C13" s="4" t="s">
        <v>419</v>
      </c>
      <c r="D13" s="4" t="s">
        <v>420</v>
      </c>
      <c r="E13" s="4" t="s">
        <v>421</v>
      </c>
    </row>
    <row r="14" spans="1:9" x14ac:dyDescent="0.2">
      <c r="A14" s="5" t="s">
        <v>5</v>
      </c>
      <c r="B14" s="8">
        <v>16</v>
      </c>
      <c r="C14" s="5">
        <v>20</v>
      </c>
      <c r="D14" s="5" t="s">
        <v>165</v>
      </c>
      <c r="E14" s="5" t="s">
        <v>422</v>
      </c>
    </row>
    <row r="15" spans="1:9" x14ac:dyDescent="0.2">
      <c r="A15" s="5" t="s">
        <v>7</v>
      </c>
      <c r="B15" s="8">
        <v>7.35</v>
      </c>
      <c r="C15" s="5">
        <v>45</v>
      </c>
      <c r="D15" s="5" t="s">
        <v>165</v>
      </c>
      <c r="E15" s="5" t="s">
        <v>422</v>
      </c>
    </row>
    <row r="16" spans="1:9" x14ac:dyDescent="0.2">
      <c r="A16" s="5" t="s">
        <v>8</v>
      </c>
      <c r="B16" s="8">
        <v>16</v>
      </c>
      <c r="C16" s="5">
        <v>20</v>
      </c>
      <c r="D16" s="5" t="s">
        <v>165</v>
      </c>
      <c r="E16" s="5" t="s">
        <v>422</v>
      </c>
    </row>
  </sheetData>
  <mergeCells count="1">
    <mergeCell ref="A4:G4"/>
  </mergeCells>
  <hyperlinks>
    <hyperlink ref="I1" r:id="rId1" location="'RESUMEN%20SUBIDAS'!A1" xr:uid="{00000000-0004-0000-43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I24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169</v>
      </c>
      <c r="I1" s="21" t="s">
        <v>405</v>
      </c>
    </row>
    <row r="2" spans="1:9" x14ac:dyDescent="0.2">
      <c r="A2" s="22" t="s">
        <v>581</v>
      </c>
    </row>
    <row r="3" spans="1:9" x14ac:dyDescent="0.2">
      <c r="A3" s="3" t="s">
        <v>582</v>
      </c>
    </row>
    <row r="4" spans="1:9" ht="30" customHeight="1" x14ac:dyDescent="0.2">
      <c r="A4" s="1" t="s">
        <v>583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COUNTIF($A$16:$A$24,A7)</f>
        <v>1</v>
      </c>
      <c r="C7" s="8">
        <f>_xlfn.MINIFS($B$16:$B$24,$A$16:$A$24,A7)</f>
        <v>2.1</v>
      </c>
      <c r="D7" s="8">
        <f>AVERAGEIF($A$16:$A$24,A7,$B$16:$B$24)</f>
        <v>2.1</v>
      </c>
      <c r="E7" s="8">
        <f>_xlfn.MAXIFS($B$16:$B$24,$A$16:$A$24,A7)</f>
        <v>2.1</v>
      </c>
      <c r="F7" s="16"/>
      <c r="G7" s="16"/>
    </row>
    <row r="8" spans="1:9" x14ac:dyDescent="0.2">
      <c r="A8" s="5" t="s">
        <v>5</v>
      </c>
      <c r="B8" s="5">
        <f>COUNTIF($A$16:$A$24,A8)</f>
        <v>3</v>
      </c>
      <c r="C8" s="8">
        <f>_xlfn.MINIFS($B$16:$B$24,$A$16:$A$24,A8)</f>
        <v>1.95</v>
      </c>
      <c r="D8" s="8">
        <f>AVERAGEIF($A$16:$A$24,A8,$B$16:$B$24)</f>
        <v>2.15</v>
      </c>
      <c r="E8" s="8">
        <f>_xlfn.MAXIFS($B$16:$B$24,$A$16:$A$24,A8)</f>
        <v>2.5</v>
      </c>
      <c r="F8" s="16">
        <f>D8/D7-1</f>
        <v>2.3809523809523725E-2</v>
      </c>
      <c r="G8" s="16">
        <f>D8/$D$7-1</f>
        <v>2.3809523809523725E-2</v>
      </c>
    </row>
    <row r="9" spans="1:9" x14ac:dyDescent="0.2">
      <c r="A9" s="5" t="s">
        <v>7</v>
      </c>
      <c r="B9" s="5">
        <f>COUNTIF($A$16:$A$24,A9)</f>
        <v>3</v>
      </c>
      <c r="C9" s="8">
        <f>_xlfn.MINIFS($B$16:$B$24,$A$16:$A$24,A9)</f>
        <v>2.2999999999999998</v>
      </c>
      <c r="D9" s="8">
        <f>AVERAGEIF($A$16:$A$24,A9,$B$16:$B$24)</f>
        <v>2.8333333333333335</v>
      </c>
      <c r="E9" s="8">
        <f>_xlfn.MAXIFS($B$16:$B$24,$A$16:$A$24,A9)</f>
        <v>3.3</v>
      </c>
      <c r="F9" s="16">
        <f>D9/D8-1</f>
        <v>0.31782945736434121</v>
      </c>
      <c r="G9" s="16">
        <f>D9/$D$7-1</f>
        <v>0.3492063492063493</v>
      </c>
    </row>
    <row r="10" spans="1:9" x14ac:dyDescent="0.2">
      <c r="A10" s="5" t="s">
        <v>8</v>
      </c>
      <c r="B10" s="5">
        <f>COUNTIF($A$16:$A$24,A10)</f>
        <v>1</v>
      </c>
      <c r="C10" s="8">
        <f>_xlfn.MINIFS($B$16:$B$24,$A$16:$A$24,A10)</f>
        <v>3.3</v>
      </c>
      <c r="D10" s="8">
        <f>AVERAGEIF($A$16:$A$24,A10,$B$16:$B$24)</f>
        <v>3.3</v>
      </c>
      <c r="E10" s="8">
        <f>_xlfn.MAXIFS($B$16:$B$24,$A$16:$A$24,A10)</f>
        <v>3.3</v>
      </c>
      <c r="F10" s="16">
        <f>D10/D9-1</f>
        <v>0.16470588235294104</v>
      </c>
      <c r="G10" s="16">
        <f>D10/$D$7-1</f>
        <v>0.57142857142857117</v>
      </c>
    </row>
    <row r="11" spans="1:9" x14ac:dyDescent="0.2">
      <c r="A11" s="5" t="s">
        <v>10</v>
      </c>
      <c r="B11" s="5">
        <f>COUNTIF($A$16:$A$24,A11)</f>
        <v>1</v>
      </c>
      <c r="C11" s="8">
        <f>_xlfn.MINIFS($B$16:$B$24,$A$16:$A$24,A11)</f>
        <v>3.6</v>
      </c>
      <c r="D11" s="8">
        <f>AVERAGEIF($A$16:$A$24,A11,$B$16:$B$24)</f>
        <v>3.6</v>
      </c>
      <c r="E11" s="8">
        <f>_xlfn.MAXIFS($B$16:$B$24,$A$16:$A$24,A11)</f>
        <v>3.6</v>
      </c>
      <c r="F11" s="16">
        <f>D11/D10-1</f>
        <v>9.090909090909105E-2</v>
      </c>
      <c r="G11" s="16">
        <f>D11/$D$7-1</f>
        <v>0.71428571428571419</v>
      </c>
    </row>
    <row r="12" spans="1:9" x14ac:dyDescent="0.2">
      <c r="F12" s="22" t="s">
        <v>416</v>
      </c>
      <c r="G12" s="23">
        <f>D11/D7-1</f>
        <v>0.71428571428571419</v>
      </c>
    </row>
    <row r="14" spans="1:9" x14ac:dyDescent="0.2">
      <c r="A14" s="22" t="s">
        <v>417</v>
      </c>
    </row>
    <row r="15" spans="1:9" ht="30" x14ac:dyDescent="0.2">
      <c r="A15" s="4" t="s">
        <v>409</v>
      </c>
      <c r="B15" s="4" t="s">
        <v>418</v>
      </c>
      <c r="C15" s="4" t="s">
        <v>419</v>
      </c>
      <c r="D15" s="4" t="s">
        <v>420</v>
      </c>
      <c r="E15" s="4" t="s">
        <v>421</v>
      </c>
    </row>
    <row r="16" spans="1:9" x14ac:dyDescent="0.2">
      <c r="A16" s="5" t="s">
        <v>4</v>
      </c>
      <c r="B16" s="8">
        <v>2.1</v>
      </c>
      <c r="C16" s="5">
        <v>8.6850000000000005</v>
      </c>
      <c r="D16" s="5" t="s">
        <v>169</v>
      </c>
      <c r="E16" s="5" t="s">
        <v>422</v>
      </c>
    </row>
    <row r="17" spans="1:5" x14ac:dyDescent="0.2">
      <c r="A17" s="5" t="s">
        <v>5</v>
      </c>
      <c r="B17" s="8">
        <v>1.95</v>
      </c>
      <c r="C17" s="5">
        <v>6.3849999999999998</v>
      </c>
      <c r="D17" s="5" t="s">
        <v>169</v>
      </c>
      <c r="E17" s="5" t="s">
        <v>422</v>
      </c>
    </row>
    <row r="18" spans="1:5" x14ac:dyDescent="0.2">
      <c r="A18" s="5" t="s">
        <v>5</v>
      </c>
      <c r="B18" s="8">
        <v>2</v>
      </c>
      <c r="C18" s="5">
        <v>9.07</v>
      </c>
      <c r="D18" s="5" t="s">
        <v>169</v>
      </c>
      <c r="E18" s="5" t="s">
        <v>422</v>
      </c>
    </row>
    <row r="19" spans="1:5" x14ac:dyDescent="0.2">
      <c r="A19" s="5" t="s">
        <v>5</v>
      </c>
      <c r="B19" s="8">
        <v>2.5</v>
      </c>
      <c r="C19" s="5">
        <v>16.71</v>
      </c>
      <c r="D19" s="5" t="s">
        <v>169</v>
      </c>
      <c r="E19" s="5" t="s">
        <v>422</v>
      </c>
    </row>
    <row r="20" spans="1:5" x14ac:dyDescent="0.2">
      <c r="A20" s="5" t="s">
        <v>7</v>
      </c>
      <c r="B20" s="8">
        <v>2.2999999999999998</v>
      </c>
      <c r="C20" s="5">
        <v>8.52</v>
      </c>
      <c r="D20" s="5" t="s">
        <v>169</v>
      </c>
      <c r="E20" s="5" t="s">
        <v>422</v>
      </c>
    </row>
    <row r="21" spans="1:5" x14ac:dyDescent="0.2">
      <c r="A21" s="5" t="s">
        <v>7</v>
      </c>
      <c r="B21" s="8">
        <v>2.9</v>
      </c>
      <c r="C21" s="5">
        <v>3.1150000000000002</v>
      </c>
      <c r="D21" s="5" t="s">
        <v>169</v>
      </c>
      <c r="E21" s="5" t="s">
        <v>422</v>
      </c>
    </row>
    <row r="22" spans="1:5" x14ac:dyDescent="0.2">
      <c r="A22" s="5" t="s">
        <v>7</v>
      </c>
      <c r="B22" s="8">
        <v>3.3</v>
      </c>
      <c r="C22" s="5">
        <v>16.649999999999999</v>
      </c>
      <c r="D22" s="5" t="s">
        <v>169</v>
      </c>
      <c r="E22" s="5" t="s">
        <v>422</v>
      </c>
    </row>
    <row r="23" spans="1:5" x14ac:dyDescent="0.2">
      <c r="A23" s="5" t="s">
        <v>8</v>
      </c>
      <c r="B23" s="8">
        <v>3.3</v>
      </c>
      <c r="C23" s="5">
        <v>9.15</v>
      </c>
      <c r="D23" s="5" t="s">
        <v>169</v>
      </c>
      <c r="E23" s="5" t="s">
        <v>422</v>
      </c>
    </row>
    <row r="24" spans="1:5" x14ac:dyDescent="0.2">
      <c r="A24" s="5" t="s">
        <v>10</v>
      </c>
      <c r="B24" s="8">
        <v>3.6</v>
      </c>
      <c r="C24" s="5"/>
      <c r="D24" s="5" t="s">
        <v>169</v>
      </c>
      <c r="E24" s="5" t="s">
        <v>427</v>
      </c>
    </row>
  </sheetData>
  <mergeCells count="1">
    <mergeCell ref="A4:G4"/>
  </mergeCells>
  <hyperlinks>
    <hyperlink ref="I1" r:id="rId1" location="'RESUMEN%20SUBIDAS'!A1" xr:uid="{00000000-0004-0000-44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I26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174</v>
      </c>
      <c r="I1" s="21" t="s">
        <v>405</v>
      </c>
    </row>
    <row r="2" spans="1:9" x14ac:dyDescent="0.2">
      <c r="A2" s="22" t="s">
        <v>584</v>
      </c>
    </row>
    <row r="3" spans="1:9" x14ac:dyDescent="0.2">
      <c r="A3" s="3" t="s">
        <v>585</v>
      </c>
    </row>
    <row r="4" spans="1:9" ht="30" customHeight="1" x14ac:dyDescent="0.2">
      <c r="A4" s="1" t="s">
        <v>583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COUNTIF($A$16:$A$26,A7)</f>
        <v>1</v>
      </c>
      <c r="C7" s="8">
        <f>_xlfn.MINIFS($B$16:$B$26,$A$16:$A$26,A7)</f>
        <v>8.8000000000000007</v>
      </c>
      <c r="D7" s="8">
        <f>AVERAGEIF($A$16:$A$26,A7,$B$16:$B$26)</f>
        <v>8.8000000000000007</v>
      </c>
      <c r="E7" s="8">
        <f>_xlfn.MAXIFS($B$16:$B$26,$A$16:$A$26,A7)</f>
        <v>8.8000000000000007</v>
      </c>
      <c r="F7" s="16"/>
      <c r="G7" s="16"/>
    </row>
    <row r="8" spans="1:9" x14ac:dyDescent="0.2">
      <c r="A8" s="5" t="s">
        <v>5</v>
      </c>
      <c r="B8" s="5">
        <f>COUNTIF($A$16:$A$26,A8)</f>
        <v>3</v>
      </c>
      <c r="C8" s="8">
        <f>_xlfn.MINIFS($B$16:$B$26,$A$16:$A$26,A8)</f>
        <v>8.8000000000000007</v>
      </c>
      <c r="D8" s="8">
        <f>AVERAGEIF($A$16:$A$26,A8,$B$16:$B$26)</f>
        <v>10.299999999999999</v>
      </c>
      <c r="E8" s="8">
        <f>_xlfn.MAXIFS($B$16:$B$26,$A$16:$A$26,A8)</f>
        <v>11.6</v>
      </c>
      <c r="F8" s="16">
        <f>D8/D7-1</f>
        <v>0.17045454545454519</v>
      </c>
      <c r="G8" s="16">
        <f>D8/$D$7-1</f>
        <v>0.17045454545454519</v>
      </c>
    </row>
    <row r="9" spans="1:9" x14ac:dyDescent="0.2">
      <c r="A9" s="5" t="s">
        <v>7</v>
      </c>
      <c r="B9" s="5">
        <f>COUNTIF($A$16:$A$26,A9)</f>
        <v>4</v>
      </c>
      <c r="C9" s="8">
        <f>_xlfn.MINIFS($B$16:$B$26,$A$16:$A$26,A9)</f>
        <v>8.9</v>
      </c>
      <c r="D9" s="8">
        <f>AVERAGEIF($A$16:$A$26,A9,$B$16:$B$26)</f>
        <v>9.7000000000000011</v>
      </c>
      <c r="E9" s="8">
        <f>_xlfn.MAXIFS($B$16:$B$26,$A$16:$A$26,A9)</f>
        <v>10.35</v>
      </c>
      <c r="F9" s="16">
        <f>D9/D8-1</f>
        <v>-5.8252427184465772E-2</v>
      </c>
      <c r="G9" s="16">
        <f>D9/$D$7-1</f>
        <v>0.10227272727272729</v>
      </c>
    </row>
    <row r="10" spans="1:9" x14ac:dyDescent="0.2">
      <c r="A10" s="5" t="s">
        <v>10</v>
      </c>
      <c r="B10" s="5">
        <f>COUNTIF($A$16:$A$26,A10)</f>
        <v>1</v>
      </c>
      <c r="C10" s="8">
        <f>_xlfn.MINIFS($B$16:$B$26,$A$16:$A$26,A10)</f>
        <v>11.95</v>
      </c>
      <c r="D10" s="8">
        <f>AVERAGEIF($A$16:$A$26,A10,$B$16:$B$26)</f>
        <v>11.95</v>
      </c>
      <c r="E10" s="8">
        <f>_xlfn.MAXIFS($B$16:$B$26,$A$16:$A$26,A10)</f>
        <v>11.95</v>
      </c>
      <c r="F10" s="16">
        <f>D10/D9-1</f>
        <v>0.23195876288659778</v>
      </c>
      <c r="G10" s="16">
        <f>D10/$D$7-1</f>
        <v>0.35795454545454519</v>
      </c>
    </row>
    <row r="11" spans="1:9" x14ac:dyDescent="0.2">
      <c r="A11" s="5" t="s">
        <v>11</v>
      </c>
      <c r="B11" s="5">
        <f>COUNTIF($A$16:$A$26,A11)</f>
        <v>2</v>
      </c>
      <c r="C11" s="8">
        <f>_xlfn.MINIFS($B$16:$B$26,$A$16:$A$26,A11)</f>
        <v>9.8000000000000007</v>
      </c>
      <c r="D11" s="8">
        <f>AVERAGEIF($A$16:$A$26,A11,$B$16:$B$26)</f>
        <v>10.875</v>
      </c>
      <c r="E11" s="8">
        <f>_xlfn.MAXIFS($B$16:$B$26,$A$16:$A$26,A11)</f>
        <v>11.95</v>
      </c>
      <c r="F11" s="16">
        <f>D11/D10-1</f>
        <v>-8.9958158995815829E-2</v>
      </c>
      <c r="G11" s="16">
        <f>D11/$D$7-1</f>
        <v>0.23579545454545436</v>
      </c>
    </row>
    <row r="12" spans="1:9" x14ac:dyDescent="0.2">
      <c r="F12" s="22" t="s">
        <v>416</v>
      </c>
      <c r="G12" s="23">
        <f>D11/D7-1</f>
        <v>0.23579545454545436</v>
      </c>
    </row>
    <row r="14" spans="1:9" x14ac:dyDescent="0.2">
      <c r="A14" s="22" t="s">
        <v>417</v>
      </c>
    </row>
    <row r="15" spans="1:9" ht="30" x14ac:dyDescent="0.2">
      <c r="A15" s="4" t="s">
        <v>409</v>
      </c>
      <c r="B15" s="4" t="s">
        <v>418</v>
      </c>
      <c r="C15" s="4" t="s">
        <v>419</v>
      </c>
      <c r="D15" s="4" t="s">
        <v>420</v>
      </c>
      <c r="E15" s="4" t="s">
        <v>421</v>
      </c>
    </row>
    <row r="16" spans="1:9" x14ac:dyDescent="0.2">
      <c r="A16" s="5" t="s">
        <v>4</v>
      </c>
      <c r="B16" s="8">
        <v>8.8000000000000007</v>
      </c>
      <c r="C16" s="5">
        <v>32.5</v>
      </c>
      <c r="D16" s="5" t="s">
        <v>174</v>
      </c>
      <c r="E16" s="5" t="s">
        <v>422</v>
      </c>
    </row>
    <row r="17" spans="1:5" x14ac:dyDescent="0.2">
      <c r="A17" s="5" t="s">
        <v>5</v>
      </c>
      <c r="B17" s="8">
        <v>8.8000000000000007</v>
      </c>
      <c r="C17" s="5">
        <v>12</v>
      </c>
      <c r="D17" s="5" t="s">
        <v>174</v>
      </c>
      <c r="E17" s="5" t="s">
        <v>422</v>
      </c>
    </row>
    <row r="18" spans="1:5" x14ac:dyDescent="0.2">
      <c r="A18" s="5" t="s">
        <v>5</v>
      </c>
      <c r="B18" s="8">
        <v>10.5</v>
      </c>
      <c r="C18" s="5">
        <v>5.5</v>
      </c>
      <c r="D18" s="5" t="s">
        <v>174</v>
      </c>
      <c r="E18" s="5" t="s">
        <v>422</v>
      </c>
    </row>
    <row r="19" spans="1:5" x14ac:dyDescent="0.2">
      <c r="A19" s="5" t="s">
        <v>5</v>
      </c>
      <c r="B19" s="8">
        <v>11.6</v>
      </c>
      <c r="C19" s="5">
        <v>6.5</v>
      </c>
      <c r="D19" s="5" t="s">
        <v>174</v>
      </c>
      <c r="E19" s="5" t="s">
        <v>422</v>
      </c>
    </row>
    <row r="20" spans="1:5" x14ac:dyDescent="0.2">
      <c r="A20" s="5" t="s">
        <v>7</v>
      </c>
      <c r="B20" s="8">
        <v>8.9</v>
      </c>
      <c r="C20" s="5">
        <v>6</v>
      </c>
      <c r="D20" s="5" t="s">
        <v>174</v>
      </c>
      <c r="E20" s="5" t="s">
        <v>422</v>
      </c>
    </row>
    <row r="21" spans="1:5" x14ac:dyDescent="0.2">
      <c r="A21" s="5" t="s">
        <v>7</v>
      </c>
      <c r="B21" s="8">
        <v>9.3000000000000007</v>
      </c>
      <c r="C21" s="5">
        <v>6.5</v>
      </c>
      <c r="D21" s="5" t="s">
        <v>174</v>
      </c>
      <c r="E21" s="5" t="s">
        <v>422</v>
      </c>
    </row>
    <row r="22" spans="1:5" x14ac:dyDescent="0.2">
      <c r="A22" s="5" t="s">
        <v>7</v>
      </c>
      <c r="B22" s="8">
        <v>10.25</v>
      </c>
      <c r="C22" s="5">
        <v>10.5</v>
      </c>
      <c r="D22" s="5" t="s">
        <v>174</v>
      </c>
      <c r="E22" s="5" t="s">
        <v>422</v>
      </c>
    </row>
    <row r="23" spans="1:5" x14ac:dyDescent="0.2">
      <c r="A23" s="5" t="s">
        <v>7</v>
      </c>
      <c r="B23" s="8">
        <v>10.35</v>
      </c>
      <c r="C23" s="5">
        <v>3</v>
      </c>
      <c r="D23" s="5" t="s">
        <v>174</v>
      </c>
      <c r="E23" s="5" t="s">
        <v>422</v>
      </c>
    </row>
    <row r="24" spans="1:5" x14ac:dyDescent="0.2">
      <c r="A24" s="5" t="s">
        <v>10</v>
      </c>
      <c r="B24" s="8">
        <v>11.95</v>
      </c>
      <c r="C24" s="5"/>
      <c r="D24" s="5" t="s">
        <v>174</v>
      </c>
      <c r="E24" s="5" t="s">
        <v>427</v>
      </c>
    </row>
    <row r="25" spans="1:5" x14ac:dyDescent="0.2">
      <c r="A25" s="5" t="s">
        <v>11</v>
      </c>
      <c r="B25" s="8">
        <v>9.8000000000000007</v>
      </c>
      <c r="C25" s="5"/>
      <c r="D25" s="5" t="s">
        <v>174</v>
      </c>
      <c r="E25" s="5" t="s">
        <v>423</v>
      </c>
    </row>
    <row r="26" spans="1:5" x14ac:dyDescent="0.2">
      <c r="A26" s="5" t="s">
        <v>11</v>
      </c>
      <c r="B26" s="8">
        <v>11.95</v>
      </c>
      <c r="C26" s="5">
        <v>3</v>
      </c>
      <c r="D26" s="5" t="s">
        <v>174</v>
      </c>
      <c r="E26" s="5" t="s">
        <v>423</v>
      </c>
    </row>
  </sheetData>
  <mergeCells count="1">
    <mergeCell ref="A4:G4"/>
  </mergeCells>
  <hyperlinks>
    <hyperlink ref="I1" r:id="rId1" location="'RESUMEN%20SUBIDAS'!A1" xr:uid="{00000000-0004-0000-45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I17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177</v>
      </c>
      <c r="I1" s="21" t="s">
        <v>405</v>
      </c>
    </row>
    <row r="2" spans="1:9" x14ac:dyDescent="0.2">
      <c r="A2" s="22" t="s">
        <v>586</v>
      </c>
    </row>
    <row r="3" spans="1:9" x14ac:dyDescent="0.2">
      <c r="A3" s="3" t="s">
        <v>587</v>
      </c>
    </row>
    <row r="4" spans="1:9" ht="30" customHeight="1" x14ac:dyDescent="0.2">
      <c r="A4" s="1" t="s">
        <v>583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8</v>
      </c>
      <c r="B7" s="5">
        <f>COUNTIF($A$13:$A$17,A7)</f>
        <v>3</v>
      </c>
      <c r="C7" s="8">
        <f>_xlfn.MINIFS($B$13:$B$17,$A$13:$A$17,A7)</f>
        <v>5.45</v>
      </c>
      <c r="D7" s="8">
        <f>AVERAGEIF($A$13:$A$17,A7,$B$13:$B$17)</f>
        <v>5.9966666666666661</v>
      </c>
      <c r="E7" s="8">
        <f>_xlfn.MAXIFS($B$13:$B$17,$A$13:$A$17,A7)</f>
        <v>6.36</v>
      </c>
      <c r="F7" s="16"/>
      <c r="G7" s="16"/>
    </row>
    <row r="8" spans="1:9" x14ac:dyDescent="0.2">
      <c r="A8" s="5" t="s">
        <v>10</v>
      </c>
      <c r="B8" s="5">
        <f>COUNTIF($A$13:$A$17,A8)</f>
        <v>2</v>
      </c>
      <c r="C8" s="8">
        <f>_xlfn.MINIFS($B$13:$B$17,$A$13:$A$17,A8)</f>
        <v>7</v>
      </c>
      <c r="D8" s="8">
        <f>AVERAGEIF($A$13:$A$17,A8,$B$13:$B$17)</f>
        <v>7.4</v>
      </c>
      <c r="E8" s="8">
        <f>_xlfn.MAXIFS($B$13:$B$17,$A$13:$A$17,A8)</f>
        <v>7.8</v>
      </c>
      <c r="F8" s="16">
        <f>D8/D7-1</f>
        <v>0.23401889938854925</v>
      </c>
      <c r="G8" s="16">
        <f>D8/$D$7-1</f>
        <v>0.23401889938854925</v>
      </c>
    </row>
    <row r="9" spans="1:9" x14ac:dyDescent="0.2">
      <c r="F9" s="22" t="s">
        <v>416</v>
      </c>
      <c r="G9" s="23">
        <f>D8/D7-1</f>
        <v>0.23401889938854925</v>
      </c>
    </row>
    <row r="11" spans="1:9" x14ac:dyDescent="0.2">
      <c r="A11" s="22" t="s">
        <v>417</v>
      </c>
    </row>
    <row r="12" spans="1:9" ht="30" x14ac:dyDescent="0.2">
      <c r="A12" s="4" t="s">
        <v>409</v>
      </c>
      <c r="B12" s="4" t="s">
        <v>418</v>
      </c>
      <c r="C12" s="4" t="s">
        <v>419</v>
      </c>
      <c r="D12" s="4" t="s">
        <v>420</v>
      </c>
      <c r="E12" s="4" t="s">
        <v>421</v>
      </c>
    </row>
    <row r="13" spans="1:9" x14ac:dyDescent="0.2">
      <c r="A13" s="5" t="s">
        <v>8</v>
      </c>
      <c r="B13" s="8">
        <v>5.45</v>
      </c>
      <c r="C13" s="5"/>
      <c r="D13" s="5" t="s">
        <v>177</v>
      </c>
      <c r="E13" s="5" t="s">
        <v>422</v>
      </c>
    </row>
    <row r="14" spans="1:9" x14ac:dyDescent="0.2">
      <c r="A14" s="5" t="s">
        <v>8</v>
      </c>
      <c r="B14" s="8">
        <v>6.18</v>
      </c>
      <c r="C14" s="5"/>
      <c r="D14" s="5" t="s">
        <v>177</v>
      </c>
      <c r="E14" s="5" t="s">
        <v>422</v>
      </c>
    </row>
    <row r="15" spans="1:9" x14ac:dyDescent="0.2">
      <c r="A15" s="5" t="s">
        <v>8</v>
      </c>
      <c r="B15" s="8">
        <v>6.36</v>
      </c>
      <c r="C15" s="5"/>
      <c r="D15" s="5" t="s">
        <v>177</v>
      </c>
      <c r="E15" s="5" t="s">
        <v>422</v>
      </c>
    </row>
    <row r="16" spans="1:9" x14ac:dyDescent="0.2">
      <c r="A16" s="5" t="s">
        <v>10</v>
      </c>
      <c r="B16" s="8">
        <v>7</v>
      </c>
      <c r="C16" s="5"/>
      <c r="D16" s="5" t="s">
        <v>177</v>
      </c>
      <c r="E16" s="5" t="s">
        <v>427</v>
      </c>
    </row>
    <row r="17" spans="1:5" x14ac:dyDescent="0.2">
      <c r="A17" s="5" t="s">
        <v>10</v>
      </c>
      <c r="B17" s="8">
        <v>7.8</v>
      </c>
      <c r="C17" s="5"/>
      <c r="D17" s="5" t="s">
        <v>177</v>
      </c>
      <c r="E17" s="5" t="s">
        <v>427</v>
      </c>
    </row>
  </sheetData>
  <mergeCells count="1">
    <mergeCell ref="A4:G4"/>
  </mergeCells>
  <hyperlinks>
    <hyperlink ref="I1" r:id="rId1" location="'RESUMEN%20SUBIDAS'!A1" xr:uid="{00000000-0004-0000-46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I29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174</v>
      </c>
      <c r="I1" s="21" t="s">
        <v>405</v>
      </c>
    </row>
    <row r="2" spans="1:9" x14ac:dyDescent="0.2">
      <c r="A2" s="22" t="s">
        <v>586</v>
      </c>
    </row>
    <row r="3" spans="1:9" x14ac:dyDescent="0.2">
      <c r="A3" s="3" t="s">
        <v>585</v>
      </c>
    </row>
    <row r="4" spans="1:9" ht="30" customHeight="1" x14ac:dyDescent="0.2">
      <c r="A4" s="1" t="s">
        <v>583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COUNTIF($A$16:$A$29,A7)</f>
        <v>1</v>
      </c>
      <c r="C7" s="8">
        <f>_xlfn.MINIFS($B$16:$B$29,$A$16:$A$29,A7)</f>
        <v>9.09</v>
      </c>
      <c r="D7" s="8">
        <f>AVERAGEIF($A$16:$A$29,A7,$B$16:$B$29)</f>
        <v>9.09</v>
      </c>
      <c r="E7" s="8">
        <f>_xlfn.MAXIFS($B$16:$B$29,$A$16:$A$29,A7)</f>
        <v>9.09</v>
      </c>
      <c r="F7" s="16"/>
      <c r="G7" s="16"/>
    </row>
    <row r="8" spans="1:9" x14ac:dyDescent="0.2">
      <c r="A8" s="5" t="s">
        <v>5</v>
      </c>
      <c r="B8" s="5">
        <f>COUNTIF($A$16:$A$29,A8)</f>
        <v>2</v>
      </c>
      <c r="C8" s="8">
        <f>_xlfn.MINIFS($B$16:$B$29,$A$16:$A$29,A8)</f>
        <v>7.27</v>
      </c>
      <c r="D8" s="8">
        <f>AVERAGEIF($A$16:$A$29,A8,$B$16:$B$29)</f>
        <v>8.18</v>
      </c>
      <c r="E8" s="8">
        <f>_xlfn.MAXIFS($B$16:$B$29,$A$16:$A$29,A8)</f>
        <v>9.09</v>
      </c>
      <c r="F8" s="16">
        <f>D8/D7-1</f>
        <v>-0.10011001100110017</v>
      </c>
      <c r="G8" s="16">
        <f>D8/$D$7-1</f>
        <v>-0.10011001100110017</v>
      </c>
    </row>
    <row r="9" spans="1:9" x14ac:dyDescent="0.2">
      <c r="A9" s="5" t="s">
        <v>7</v>
      </c>
      <c r="B9" s="5">
        <f>COUNTIF($A$16:$A$29,A9)</f>
        <v>3</v>
      </c>
      <c r="C9" s="8">
        <f>_xlfn.MINIFS($B$16:$B$29,$A$16:$A$29,A9)</f>
        <v>8.18</v>
      </c>
      <c r="D9" s="8">
        <f>AVERAGEIF($A$16:$A$29,A9,$B$16:$B$29)</f>
        <v>8.6366666666666667</v>
      </c>
      <c r="E9" s="8">
        <f>_xlfn.MAXIFS($B$16:$B$29,$A$16:$A$29,A9)</f>
        <v>9.09</v>
      </c>
      <c r="F9" s="16">
        <f>D9/D8-1</f>
        <v>5.5827220863895688E-2</v>
      </c>
      <c r="G9" s="16">
        <f>D9/$D$7-1</f>
        <v>-4.9871653832049834E-2</v>
      </c>
    </row>
    <row r="10" spans="1:9" x14ac:dyDescent="0.2">
      <c r="A10" s="5" t="s">
        <v>8</v>
      </c>
      <c r="B10" s="5">
        <f>COUNTIF($A$16:$A$29,A10)</f>
        <v>4</v>
      </c>
      <c r="C10" s="8">
        <f>_xlfn.MINIFS($B$16:$B$29,$A$16:$A$29,A10)</f>
        <v>8.18</v>
      </c>
      <c r="D10" s="8">
        <f>AVERAGEIF($A$16:$A$29,A10,$B$16:$B$29)</f>
        <v>8.9774999999999991</v>
      </c>
      <c r="E10" s="8">
        <f>_xlfn.MAXIFS($B$16:$B$29,$A$16:$A$29,A10)</f>
        <v>10</v>
      </c>
      <c r="F10" s="16">
        <f>D10/D9-1</f>
        <v>3.9463527595522851E-2</v>
      </c>
      <c r="G10" s="16">
        <f>D10/$D$7-1</f>
        <v>-1.2376237623762498E-2</v>
      </c>
    </row>
    <row r="11" spans="1:9" x14ac:dyDescent="0.2">
      <c r="A11" s="5" t="s">
        <v>10</v>
      </c>
      <c r="B11" s="5">
        <f>COUNTIF($A$16:$A$29,A11)</f>
        <v>4</v>
      </c>
      <c r="C11" s="8">
        <f>_xlfn.MINIFS($B$16:$B$29,$A$16:$A$29,A11)</f>
        <v>9.5</v>
      </c>
      <c r="D11" s="8">
        <f>AVERAGEIF($A$16:$A$29,A11,$B$16:$B$29)</f>
        <v>10.625</v>
      </c>
      <c r="E11" s="8">
        <f>_xlfn.MAXIFS($B$16:$B$29,$A$16:$A$29,A11)</f>
        <v>12</v>
      </c>
      <c r="F11" s="16">
        <f>D11/D10-1</f>
        <v>0.1835143414090783</v>
      </c>
      <c r="G11" s="16">
        <f>D11/$D$7-1</f>
        <v>0.16886688668866889</v>
      </c>
    </row>
    <row r="12" spans="1:9" x14ac:dyDescent="0.2">
      <c r="F12" s="22" t="s">
        <v>416</v>
      </c>
      <c r="G12" s="23">
        <f>D11/D7-1</f>
        <v>0.16886688668866889</v>
      </c>
    </row>
    <row r="14" spans="1:9" x14ac:dyDescent="0.2">
      <c r="A14" s="22" t="s">
        <v>417</v>
      </c>
    </row>
    <row r="15" spans="1:9" ht="30" x14ac:dyDescent="0.2">
      <c r="A15" s="4" t="s">
        <v>409</v>
      </c>
      <c r="B15" s="4" t="s">
        <v>418</v>
      </c>
      <c r="C15" s="4" t="s">
        <v>419</v>
      </c>
      <c r="D15" s="4" t="s">
        <v>420</v>
      </c>
      <c r="E15" s="4" t="s">
        <v>421</v>
      </c>
    </row>
    <row r="16" spans="1:9" x14ac:dyDescent="0.2">
      <c r="A16" s="5" t="s">
        <v>4</v>
      </c>
      <c r="B16" s="8">
        <v>9.09</v>
      </c>
      <c r="C16" s="5"/>
      <c r="D16" s="5" t="s">
        <v>174</v>
      </c>
      <c r="E16" s="5" t="s">
        <v>422</v>
      </c>
    </row>
    <row r="17" spans="1:5" x14ac:dyDescent="0.2">
      <c r="A17" s="5" t="s">
        <v>5</v>
      </c>
      <c r="B17" s="8">
        <v>7.27</v>
      </c>
      <c r="C17" s="5"/>
      <c r="D17" s="5" t="s">
        <v>174</v>
      </c>
      <c r="E17" s="5" t="s">
        <v>422</v>
      </c>
    </row>
    <row r="18" spans="1:5" x14ac:dyDescent="0.2">
      <c r="A18" s="5" t="s">
        <v>5</v>
      </c>
      <c r="B18" s="8">
        <v>9.09</v>
      </c>
      <c r="C18" s="5"/>
      <c r="D18" s="5" t="s">
        <v>174</v>
      </c>
      <c r="E18" s="5" t="s">
        <v>422</v>
      </c>
    </row>
    <row r="19" spans="1:5" x14ac:dyDescent="0.2">
      <c r="A19" s="5" t="s">
        <v>7</v>
      </c>
      <c r="B19" s="8">
        <v>8.18</v>
      </c>
      <c r="C19" s="5"/>
      <c r="D19" s="5" t="s">
        <v>174</v>
      </c>
      <c r="E19" s="5" t="s">
        <v>422</v>
      </c>
    </row>
    <row r="20" spans="1:5" x14ac:dyDescent="0.2">
      <c r="A20" s="5" t="s">
        <v>7</v>
      </c>
      <c r="B20" s="8">
        <v>8.64</v>
      </c>
      <c r="C20" s="5"/>
      <c r="D20" s="5" t="s">
        <v>174</v>
      </c>
      <c r="E20" s="5" t="s">
        <v>422</v>
      </c>
    </row>
    <row r="21" spans="1:5" x14ac:dyDescent="0.2">
      <c r="A21" s="5" t="s">
        <v>7</v>
      </c>
      <c r="B21" s="8">
        <v>9.09</v>
      </c>
      <c r="C21" s="5"/>
      <c r="D21" s="5" t="s">
        <v>174</v>
      </c>
      <c r="E21" s="5" t="s">
        <v>422</v>
      </c>
    </row>
    <row r="22" spans="1:5" x14ac:dyDescent="0.2">
      <c r="A22" s="5" t="s">
        <v>8</v>
      </c>
      <c r="B22" s="8">
        <v>8.18</v>
      </c>
      <c r="C22" s="5"/>
      <c r="D22" s="5" t="s">
        <v>174</v>
      </c>
      <c r="E22" s="5" t="s">
        <v>422</v>
      </c>
    </row>
    <row r="23" spans="1:5" x14ac:dyDescent="0.2">
      <c r="A23" s="5" t="s">
        <v>8</v>
      </c>
      <c r="B23" s="8">
        <v>8.64</v>
      </c>
      <c r="C23" s="5"/>
      <c r="D23" s="5" t="s">
        <v>174</v>
      </c>
      <c r="E23" s="5" t="s">
        <v>422</v>
      </c>
    </row>
    <row r="24" spans="1:5" x14ac:dyDescent="0.2">
      <c r="A24" s="5" t="s">
        <v>8</v>
      </c>
      <c r="B24" s="8">
        <v>9.09</v>
      </c>
      <c r="C24" s="5"/>
      <c r="D24" s="5" t="s">
        <v>174</v>
      </c>
      <c r="E24" s="5" t="s">
        <v>422</v>
      </c>
    </row>
    <row r="25" spans="1:5" x14ac:dyDescent="0.2">
      <c r="A25" s="5" t="s">
        <v>8</v>
      </c>
      <c r="B25" s="8">
        <v>10</v>
      </c>
      <c r="C25" s="5"/>
      <c r="D25" s="5" t="s">
        <v>174</v>
      </c>
      <c r="E25" s="5" t="s">
        <v>422</v>
      </c>
    </row>
    <row r="26" spans="1:5" x14ac:dyDescent="0.2">
      <c r="A26" s="5" t="s">
        <v>10</v>
      </c>
      <c r="B26" s="8">
        <v>9.5</v>
      </c>
      <c r="C26" s="5">
        <v>3</v>
      </c>
      <c r="D26" s="5" t="s">
        <v>174</v>
      </c>
      <c r="E26" s="5" t="s">
        <v>427</v>
      </c>
    </row>
    <row r="27" spans="1:5" x14ac:dyDescent="0.2">
      <c r="A27" s="5" t="s">
        <v>10</v>
      </c>
      <c r="B27" s="8">
        <v>10</v>
      </c>
      <c r="C27" s="5"/>
      <c r="D27" s="5" t="s">
        <v>174</v>
      </c>
      <c r="E27" s="5" t="s">
        <v>427</v>
      </c>
    </row>
    <row r="28" spans="1:5" x14ac:dyDescent="0.2">
      <c r="A28" s="5" t="s">
        <v>10</v>
      </c>
      <c r="B28" s="8">
        <v>11</v>
      </c>
      <c r="C28" s="5"/>
      <c r="D28" s="5" t="s">
        <v>174</v>
      </c>
      <c r="E28" s="5" t="s">
        <v>427</v>
      </c>
    </row>
    <row r="29" spans="1:5" x14ac:dyDescent="0.2">
      <c r="A29" s="5" t="s">
        <v>10</v>
      </c>
      <c r="B29" s="8">
        <v>12</v>
      </c>
      <c r="C29" s="5">
        <v>5</v>
      </c>
      <c r="D29" s="5" t="s">
        <v>174</v>
      </c>
      <c r="E29" s="5" t="s">
        <v>427</v>
      </c>
    </row>
  </sheetData>
  <mergeCells count="1">
    <mergeCell ref="A4:G4"/>
  </mergeCells>
  <hyperlinks>
    <hyperlink ref="I1" r:id="rId1" location="'RESUMEN%20SUBIDAS'!A1" xr:uid="{00000000-0004-0000-47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I19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181</v>
      </c>
      <c r="I1" s="21" t="s">
        <v>405</v>
      </c>
    </row>
    <row r="2" spans="1:9" x14ac:dyDescent="0.2">
      <c r="A2" s="22" t="s">
        <v>588</v>
      </c>
    </row>
    <row r="3" spans="1:9" x14ac:dyDescent="0.2">
      <c r="A3" s="3" t="s">
        <v>589</v>
      </c>
    </row>
    <row r="4" spans="1:9" ht="30" customHeight="1" x14ac:dyDescent="0.2">
      <c r="A4" s="1" t="s">
        <v>583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7</v>
      </c>
      <c r="B7" s="5">
        <f>COUNTIF($A$14:$A$19,A7)</f>
        <v>3</v>
      </c>
      <c r="C7" s="8">
        <f>_xlfn.MINIFS($B$14:$B$19,$A$14:$A$19,A7)</f>
        <v>46</v>
      </c>
      <c r="D7" s="8">
        <f>AVERAGEIF($A$14:$A$19,A7,$B$14:$B$19)</f>
        <v>51</v>
      </c>
      <c r="E7" s="8">
        <f>_xlfn.MAXIFS($B$14:$B$19,$A$14:$A$19,A7)</f>
        <v>58</v>
      </c>
      <c r="F7" s="16"/>
      <c r="G7" s="16"/>
    </row>
    <row r="8" spans="1:9" x14ac:dyDescent="0.2">
      <c r="A8" s="5" t="s">
        <v>8</v>
      </c>
      <c r="B8" s="5">
        <f>COUNTIF($A$14:$A$19,A8)</f>
        <v>1</v>
      </c>
      <c r="C8" s="8">
        <f>_xlfn.MINIFS($B$14:$B$19,$A$14:$A$19,A8)</f>
        <v>58</v>
      </c>
      <c r="D8" s="8">
        <f>AVERAGEIF($A$14:$A$19,A8,$B$14:$B$19)</f>
        <v>58</v>
      </c>
      <c r="E8" s="8">
        <f>_xlfn.MAXIFS($B$14:$B$19,$A$14:$A$19,A8)</f>
        <v>58</v>
      </c>
      <c r="F8" s="16">
        <f>D8/D7-1</f>
        <v>0.13725490196078427</v>
      </c>
      <c r="G8" s="16">
        <f>D8/$D$7-1</f>
        <v>0.13725490196078427</v>
      </c>
    </row>
    <row r="9" spans="1:9" x14ac:dyDescent="0.2">
      <c r="A9" s="5" t="s">
        <v>10</v>
      </c>
      <c r="B9" s="5">
        <f>COUNTIF($A$14:$A$19,A9)</f>
        <v>2</v>
      </c>
      <c r="C9" s="8">
        <f>_xlfn.MINIFS($B$14:$B$19,$A$14:$A$19,A9)</f>
        <v>58</v>
      </c>
      <c r="D9" s="8">
        <f>AVERAGEIF($A$14:$A$19,A9,$B$14:$B$19)</f>
        <v>58.5</v>
      </c>
      <c r="E9" s="8">
        <f>_xlfn.MAXIFS($B$14:$B$19,$A$14:$A$19,A9)</f>
        <v>59</v>
      </c>
      <c r="F9" s="16">
        <f>D9/D8-1</f>
        <v>8.6206896551723755E-3</v>
      </c>
      <c r="G9" s="16">
        <f>D9/$D$7-1</f>
        <v>0.14705882352941169</v>
      </c>
    </row>
    <row r="10" spans="1:9" x14ac:dyDescent="0.2">
      <c r="F10" s="22" t="s">
        <v>416</v>
      </c>
      <c r="G10" s="23">
        <f>D9/D7-1</f>
        <v>0.14705882352941169</v>
      </c>
    </row>
    <row r="12" spans="1:9" x14ac:dyDescent="0.2">
      <c r="A12" s="22" t="s">
        <v>417</v>
      </c>
    </row>
    <row r="13" spans="1:9" ht="30" x14ac:dyDescent="0.2">
      <c r="A13" s="4" t="s">
        <v>409</v>
      </c>
      <c r="B13" s="4" t="s">
        <v>418</v>
      </c>
      <c r="C13" s="4" t="s">
        <v>419</v>
      </c>
      <c r="D13" s="4" t="s">
        <v>420</v>
      </c>
      <c r="E13" s="4" t="s">
        <v>421</v>
      </c>
    </row>
    <row r="14" spans="1:9" x14ac:dyDescent="0.2">
      <c r="A14" s="5" t="s">
        <v>7</v>
      </c>
      <c r="B14" s="8">
        <v>46</v>
      </c>
      <c r="C14" s="5">
        <v>2</v>
      </c>
      <c r="D14" s="5" t="s">
        <v>181</v>
      </c>
      <c r="E14" s="5" t="s">
        <v>422</v>
      </c>
    </row>
    <row r="15" spans="1:9" x14ac:dyDescent="0.2">
      <c r="A15" s="5" t="s">
        <v>7</v>
      </c>
      <c r="B15" s="8">
        <v>49</v>
      </c>
      <c r="C15" s="5">
        <v>1</v>
      </c>
      <c r="D15" s="5" t="s">
        <v>181</v>
      </c>
      <c r="E15" s="5" t="s">
        <v>422</v>
      </c>
    </row>
    <row r="16" spans="1:9" x14ac:dyDescent="0.2">
      <c r="A16" s="5" t="s">
        <v>7</v>
      </c>
      <c r="B16" s="8">
        <v>58</v>
      </c>
      <c r="C16" s="5">
        <v>2</v>
      </c>
      <c r="D16" s="5" t="s">
        <v>181</v>
      </c>
      <c r="E16" s="5" t="s">
        <v>422</v>
      </c>
    </row>
    <row r="17" spans="1:5" x14ac:dyDescent="0.2">
      <c r="A17" s="5" t="s">
        <v>8</v>
      </c>
      <c r="B17" s="8">
        <v>58</v>
      </c>
      <c r="C17" s="5">
        <v>6.5</v>
      </c>
      <c r="D17" s="5" t="s">
        <v>181</v>
      </c>
      <c r="E17" s="5" t="s">
        <v>422</v>
      </c>
    </row>
    <row r="18" spans="1:5" x14ac:dyDescent="0.2">
      <c r="A18" s="5" t="s">
        <v>10</v>
      </c>
      <c r="B18" s="8">
        <v>58</v>
      </c>
      <c r="C18" s="5">
        <v>3</v>
      </c>
      <c r="D18" s="5" t="s">
        <v>181</v>
      </c>
      <c r="E18" s="5" t="s">
        <v>427</v>
      </c>
    </row>
    <row r="19" spans="1:5" x14ac:dyDescent="0.2">
      <c r="A19" s="5" t="s">
        <v>10</v>
      </c>
      <c r="B19" s="8">
        <v>59</v>
      </c>
      <c r="C19" s="5">
        <v>1</v>
      </c>
      <c r="D19" s="5" t="s">
        <v>181</v>
      </c>
      <c r="E19" s="5" t="s">
        <v>427</v>
      </c>
    </row>
  </sheetData>
  <mergeCells count="1">
    <mergeCell ref="A4:G4"/>
  </mergeCells>
  <hyperlinks>
    <hyperlink ref="I1" r:id="rId1" location="'RESUMEN%20SUBIDAS'!A1" xr:uid="{00000000-0004-0000-48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I24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183</v>
      </c>
      <c r="I1" s="21" t="s">
        <v>405</v>
      </c>
    </row>
    <row r="2" spans="1:9" x14ac:dyDescent="0.2">
      <c r="A2" s="22" t="s">
        <v>588</v>
      </c>
    </row>
    <row r="3" spans="1:9" x14ac:dyDescent="0.2">
      <c r="A3" s="3" t="s">
        <v>590</v>
      </c>
    </row>
    <row r="4" spans="1:9" ht="30" customHeight="1" x14ac:dyDescent="0.2">
      <c r="A4" s="1" t="s">
        <v>583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COUNTIF($A$16:$A$24,A7)</f>
        <v>3</v>
      </c>
      <c r="C7" s="8">
        <f>_xlfn.MINIFS($B$16:$B$24,$A$16:$A$24,A7)</f>
        <v>30</v>
      </c>
      <c r="D7" s="8">
        <f>AVERAGEIF($A$16:$A$24,A7,$B$16:$B$24)</f>
        <v>31.666666666666668</v>
      </c>
      <c r="E7" s="8">
        <f>_xlfn.MAXIFS($B$16:$B$24,$A$16:$A$24,A7)</f>
        <v>33</v>
      </c>
      <c r="F7" s="16"/>
      <c r="G7" s="16"/>
    </row>
    <row r="8" spans="1:9" x14ac:dyDescent="0.2">
      <c r="A8" s="5" t="s">
        <v>5</v>
      </c>
      <c r="B8" s="5">
        <f>COUNTIF($A$16:$A$24,A8)</f>
        <v>2</v>
      </c>
      <c r="C8" s="8">
        <f>_xlfn.MINIFS($B$16:$B$24,$A$16:$A$24,A8)</f>
        <v>33</v>
      </c>
      <c r="D8" s="8">
        <f>AVERAGEIF($A$16:$A$24,A8,$B$16:$B$24)</f>
        <v>34</v>
      </c>
      <c r="E8" s="8">
        <f>_xlfn.MAXIFS($B$16:$B$24,$A$16:$A$24,A8)</f>
        <v>35</v>
      </c>
      <c r="F8" s="16">
        <f>D8/D7-1</f>
        <v>7.3684210526315796E-2</v>
      </c>
      <c r="G8" s="16">
        <f>D8/$D$7-1</f>
        <v>7.3684210526315796E-2</v>
      </c>
    </row>
    <row r="9" spans="1:9" x14ac:dyDescent="0.2">
      <c r="A9" s="5" t="s">
        <v>7</v>
      </c>
      <c r="B9" s="5">
        <f>COUNTIF($A$16:$A$24,A9)</f>
        <v>2</v>
      </c>
      <c r="C9" s="8">
        <f>_xlfn.MINIFS($B$16:$B$24,$A$16:$A$24,A9)</f>
        <v>33</v>
      </c>
      <c r="D9" s="8">
        <f>AVERAGEIF($A$16:$A$24,A9,$B$16:$B$24)</f>
        <v>34</v>
      </c>
      <c r="E9" s="8">
        <f>_xlfn.MAXIFS($B$16:$B$24,$A$16:$A$24,A9)</f>
        <v>35</v>
      </c>
      <c r="F9" s="16">
        <f>D9/D8-1</f>
        <v>0</v>
      </c>
      <c r="G9" s="16">
        <f>D9/$D$7-1</f>
        <v>7.3684210526315796E-2</v>
      </c>
    </row>
    <row r="10" spans="1:9" x14ac:dyDescent="0.2">
      <c r="A10" s="5" t="s">
        <v>8</v>
      </c>
      <c r="B10" s="5">
        <f>COUNTIF($A$16:$A$24,A10)</f>
        <v>1</v>
      </c>
      <c r="C10" s="8">
        <f>_xlfn.MINIFS($B$16:$B$24,$A$16:$A$24,A10)</f>
        <v>35</v>
      </c>
      <c r="D10" s="8">
        <f>AVERAGEIF($A$16:$A$24,A10,$B$16:$B$24)</f>
        <v>35</v>
      </c>
      <c r="E10" s="8">
        <f>_xlfn.MAXIFS($B$16:$B$24,$A$16:$A$24,A10)</f>
        <v>35</v>
      </c>
      <c r="F10" s="16">
        <f>D10/D9-1</f>
        <v>2.9411764705882248E-2</v>
      </c>
      <c r="G10" s="16">
        <f>D10/$D$7-1</f>
        <v>0.10526315789473673</v>
      </c>
    </row>
    <row r="11" spans="1:9" x14ac:dyDescent="0.2">
      <c r="A11" s="5" t="s">
        <v>10</v>
      </c>
      <c r="B11" s="5">
        <f>COUNTIF($A$16:$A$24,A11)</f>
        <v>1</v>
      </c>
      <c r="C11" s="8">
        <f>_xlfn.MINIFS($B$16:$B$24,$A$16:$A$24,A11)</f>
        <v>35</v>
      </c>
      <c r="D11" s="8">
        <f>AVERAGEIF($A$16:$A$24,A11,$B$16:$B$24)</f>
        <v>35</v>
      </c>
      <c r="E11" s="8">
        <f>_xlfn.MAXIFS($B$16:$B$24,$A$16:$A$24,A11)</f>
        <v>35</v>
      </c>
      <c r="F11" s="16">
        <f>D11/D10-1</f>
        <v>0</v>
      </c>
      <c r="G11" s="16">
        <f>D11/$D$7-1</f>
        <v>0.10526315789473673</v>
      </c>
    </row>
    <row r="12" spans="1:9" x14ac:dyDescent="0.2">
      <c r="F12" s="22" t="s">
        <v>416</v>
      </c>
      <c r="G12" s="23">
        <f>D11/D7-1</f>
        <v>0.10526315789473673</v>
      </c>
    </row>
    <row r="14" spans="1:9" x14ac:dyDescent="0.2">
      <c r="A14" s="22" t="s">
        <v>417</v>
      </c>
    </row>
    <row r="15" spans="1:9" ht="30" x14ac:dyDescent="0.2">
      <c r="A15" s="4" t="s">
        <v>409</v>
      </c>
      <c r="B15" s="4" t="s">
        <v>418</v>
      </c>
      <c r="C15" s="4" t="s">
        <v>419</v>
      </c>
      <c r="D15" s="4" t="s">
        <v>420</v>
      </c>
      <c r="E15" s="4" t="s">
        <v>421</v>
      </c>
    </row>
    <row r="16" spans="1:9" x14ac:dyDescent="0.2">
      <c r="A16" s="5" t="s">
        <v>4</v>
      </c>
      <c r="B16" s="8">
        <v>30</v>
      </c>
      <c r="C16" s="5">
        <v>1</v>
      </c>
      <c r="D16" s="5" t="s">
        <v>183</v>
      </c>
      <c r="E16" s="5" t="s">
        <v>422</v>
      </c>
    </row>
    <row r="17" spans="1:5" x14ac:dyDescent="0.2">
      <c r="A17" s="5" t="s">
        <v>4</v>
      </c>
      <c r="B17" s="8">
        <v>32</v>
      </c>
      <c r="C17" s="5">
        <v>1.5</v>
      </c>
      <c r="D17" s="5" t="s">
        <v>183</v>
      </c>
      <c r="E17" s="5" t="s">
        <v>422</v>
      </c>
    </row>
    <row r="18" spans="1:5" x14ac:dyDescent="0.2">
      <c r="A18" s="5" t="s">
        <v>4</v>
      </c>
      <c r="B18" s="8">
        <v>33</v>
      </c>
      <c r="C18" s="5">
        <v>3</v>
      </c>
      <c r="D18" s="5" t="s">
        <v>183</v>
      </c>
      <c r="E18" s="5" t="s">
        <v>422</v>
      </c>
    </row>
    <row r="19" spans="1:5" x14ac:dyDescent="0.2">
      <c r="A19" s="5" t="s">
        <v>5</v>
      </c>
      <c r="B19" s="8">
        <v>33</v>
      </c>
      <c r="C19" s="5">
        <v>6.6</v>
      </c>
      <c r="D19" s="5" t="s">
        <v>183</v>
      </c>
      <c r="E19" s="5" t="s">
        <v>422</v>
      </c>
    </row>
    <row r="20" spans="1:5" x14ac:dyDescent="0.2">
      <c r="A20" s="5" t="s">
        <v>5</v>
      </c>
      <c r="B20" s="8">
        <v>35</v>
      </c>
      <c r="C20" s="5">
        <v>1.1000000000000001</v>
      </c>
      <c r="D20" s="5" t="s">
        <v>183</v>
      </c>
      <c r="E20" s="5" t="s">
        <v>422</v>
      </c>
    </row>
    <row r="21" spans="1:5" x14ac:dyDescent="0.2">
      <c r="A21" s="5" t="s">
        <v>7</v>
      </c>
      <c r="B21" s="8">
        <v>33</v>
      </c>
      <c r="C21" s="5">
        <v>3.6</v>
      </c>
      <c r="D21" s="5" t="s">
        <v>183</v>
      </c>
      <c r="E21" s="5" t="s">
        <v>422</v>
      </c>
    </row>
    <row r="22" spans="1:5" x14ac:dyDescent="0.2">
      <c r="A22" s="5" t="s">
        <v>7</v>
      </c>
      <c r="B22" s="8">
        <v>35</v>
      </c>
      <c r="C22" s="5">
        <v>2.2000000000000002</v>
      </c>
      <c r="D22" s="5" t="s">
        <v>183</v>
      </c>
      <c r="E22" s="5" t="s">
        <v>422</v>
      </c>
    </row>
    <row r="23" spans="1:5" x14ac:dyDescent="0.2">
      <c r="A23" s="5" t="s">
        <v>8</v>
      </c>
      <c r="B23" s="8">
        <v>35</v>
      </c>
      <c r="C23" s="5">
        <v>6.7</v>
      </c>
      <c r="D23" s="5" t="s">
        <v>183</v>
      </c>
      <c r="E23" s="5" t="s">
        <v>422</v>
      </c>
    </row>
    <row r="24" spans="1:5" x14ac:dyDescent="0.2">
      <c r="A24" s="5" t="s">
        <v>10</v>
      </c>
      <c r="B24" s="8">
        <v>35</v>
      </c>
      <c r="C24" s="5"/>
      <c r="D24" s="5" t="s">
        <v>591</v>
      </c>
      <c r="E24" s="5" t="s">
        <v>427</v>
      </c>
    </row>
  </sheetData>
  <mergeCells count="1">
    <mergeCell ref="A4:G4"/>
  </mergeCells>
  <hyperlinks>
    <hyperlink ref="I1" r:id="rId1" location="'RESUMEN%20SUBIDAS'!A1" xr:uid="{00000000-0004-0000-49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I19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185</v>
      </c>
      <c r="I1" s="21" t="s">
        <v>405</v>
      </c>
    </row>
    <row r="2" spans="1:9" x14ac:dyDescent="0.2">
      <c r="A2" s="22" t="s">
        <v>588</v>
      </c>
    </row>
    <row r="3" spans="1:9" x14ac:dyDescent="0.2">
      <c r="A3" s="3" t="s">
        <v>592</v>
      </c>
    </row>
    <row r="4" spans="1:9" ht="30" customHeight="1" x14ac:dyDescent="0.2">
      <c r="A4" s="1" t="s">
        <v>583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5</v>
      </c>
      <c r="B7" s="5">
        <f>COUNTIF($A$15:$A$19,A7)</f>
        <v>1</v>
      </c>
      <c r="C7" s="8">
        <f>_xlfn.MINIFS($B$15:$B$19,$A$15:$A$19,A7)</f>
        <v>68</v>
      </c>
      <c r="D7" s="8">
        <f>AVERAGEIF($A$15:$A$19,A7,$B$15:$B$19)</f>
        <v>68</v>
      </c>
      <c r="E7" s="8">
        <f>_xlfn.MAXIFS($B$15:$B$19,$A$15:$A$19,A7)</f>
        <v>68</v>
      </c>
      <c r="F7" s="16"/>
      <c r="G7" s="16"/>
    </row>
    <row r="8" spans="1:9" x14ac:dyDescent="0.2">
      <c r="A8" s="5" t="s">
        <v>7</v>
      </c>
      <c r="B8" s="5">
        <f>COUNTIF($A$15:$A$19,A8)</f>
        <v>1</v>
      </c>
      <c r="C8" s="8">
        <f>_xlfn.MINIFS($B$15:$B$19,$A$15:$A$19,A8)</f>
        <v>59</v>
      </c>
      <c r="D8" s="8">
        <f>AVERAGEIF($A$15:$A$19,A8,$B$15:$B$19)</f>
        <v>59</v>
      </c>
      <c r="E8" s="8">
        <f>_xlfn.MAXIFS($B$15:$B$19,$A$15:$A$19,A8)</f>
        <v>59</v>
      </c>
      <c r="F8" s="16">
        <f>D8/D7-1</f>
        <v>-0.13235294117647056</v>
      </c>
      <c r="G8" s="16">
        <f>D8/$D$7-1</f>
        <v>-0.13235294117647056</v>
      </c>
    </row>
    <row r="9" spans="1:9" x14ac:dyDescent="0.2">
      <c r="A9" s="5" t="s">
        <v>8</v>
      </c>
      <c r="B9" s="5">
        <f>COUNTIF($A$15:$A$19,A9)</f>
        <v>2</v>
      </c>
      <c r="C9" s="8">
        <f>_xlfn.MINIFS($B$15:$B$19,$A$15:$A$19,A9)</f>
        <v>68</v>
      </c>
      <c r="D9" s="8">
        <f>AVERAGEIF($A$15:$A$19,A9,$B$15:$B$19)</f>
        <v>70</v>
      </c>
      <c r="E9" s="8">
        <f>_xlfn.MAXIFS($B$15:$B$19,$A$15:$A$19,A9)</f>
        <v>72</v>
      </c>
      <c r="F9" s="16">
        <f>D9/D8-1</f>
        <v>0.18644067796610164</v>
      </c>
      <c r="G9" s="16">
        <f>D9/$D$7-1</f>
        <v>2.9411764705882248E-2</v>
      </c>
    </row>
    <row r="10" spans="1:9" x14ac:dyDescent="0.2">
      <c r="A10" s="5" t="s">
        <v>10</v>
      </c>
      <c r="B10" s="5">
        <f>COUNTIF($A$15:$A$19,A10)</f>
        <v>1</v>
      </c>
      <c r="C10" s="8">
        <f>_xlfn.MINIFS($B$15:$B$19,$A$15:$A$19,A10)</f>
        <v>75</v>
      </c>
      <c r="D10" s="8">
        <f>AVERAGEIF($A$15:$A$19,A10,$B$15:$B$19)</f>
        <v>75</v>
      </c>
      <c r="E10" s="8">
        <f>_xlfn.MAXIFS($B$15:$B$19,$A$15:$A$19,A10)</f>
        <v>75</v>
      </c>
      <c r="F10" s="16">
        <f>D10/D9-1</f>
        <v>7.1428571428571397E-2</v>
      </c>
      <c r="G10" s="16">
        <f>D10/$D$7-1</f>
        <v>0.10294117647058831</v>
      </c>
    </row>
    <row r="11" spans="1:9" x14ac:dyDescent="0.2">
      <c r="F11" s="22" t="s">
        <v>416</v>
      </c>
      <c r="G11" s="23">
        <f>D10/D7-1</f>
        <v>0.10294117647058831</v>
      </c>
    </row>
    <row r="13" spans="1:9" x14ac:dyDescent="0.2">
      <c r="A13" s="22" t="s">
        <v>417</v>
      </c>
    </row>
    <row r="14" spans="1:9" ht="30" x14ac:dyDescent="0.2">
      <c r="A14" s="4" t="s">
        <v>409</v>
      </c>
      <c r="B14" s="4" t="s">
        <v>418</v>
      </c>
      <c r="C14" s="4" t="s">
        <v>419</v>
      </c>
      <c r="D14" s="4" t="s">
        <v>420</v>
      </c>
      <c r="E14" s="4" t="s">
        <v>421</v>
      </c>
    </row>
    <row r="15" spans="1:9" x14ac:dyDescent="0.2">
      <c r="A15" s="5" t="s">
        <v>5</v>
      </c>
      <c r="B15" s="8">
        <v>68</v>
      </c>
      <c r="C15" s="5">
        <v>2</v>
      </c>
      <c r="D15" s="5" t="s">
        <v>185</v>
      </c>
      <c r="E15" s="5" t="s">
        <v>422</v>
      </c>
    </row>
    <row r="16" spans="1:9" x14ac:dyDescent="0.2">
      <c r="A16" s="5" t="s">
        <v>7</v>
      </c>
      <c r="B16" s="8">
        <v>59</v>
      </c>
      <c r="C16" s="5">
        <v>4</v>
      </c>
      <c r="D16" s="5" t="s">
        <v>185</v>
      </c>
      <c r="E16" s="5" t="s">
        <v>422</v>
      </c>
    </row>
    <row r="17" spans="1:5" x14ac:dyDescent="0.2">
      <c r="A17" s="5" t="s">
        <v>8</v>
      </c>
      <c r="B17" s="8">
        <v>68</v>
      </c>
      <c r="C17" s="5">
        <v>5.0999999999999996</v>
      </c>
      <c r="D17" s="5" t="s">
        <v>185</v>
      </c>
      <c r="E17" s="5" t="s">
        <v>422</v>
      </c>
    </row>
    <row r="18" spans="1:5" x14ac:dyDescent="0.2">
      <c r="A18" s="5" t="s">
        <v>8</v>
      </c>
      <c r="B18" s="8">
        <v>72</v>
      </c>
      <c r="C18" s="5">
        <v>1.5</v>
      </c>
      <c r="D18" s="5" t="s">
        <v>185</v>
      </c>
      <c r="E18" s="5" t="s">
        <v>422</v>
      </c>
    </row>
    <row r="19" spans="1:5" x14ac:dyDescent="0.2">
      <c r="A19" s="5" t="s">
        <v>10</v>
      </c>
      <c r="B19" s="8">
        <v>75</v>
      </c>
      <c r="C19" s="5">
        <v>1</v>
      </c>
      <c r="D19" s="5" t="s">
        <v>593</v>
      </c>
      <c r="E19" s="5" t="s">
        <v>427</v>
      </c>
    </row>
  </sheetData>
  <mergeCells count="1">
    <mergeCell ref="A4:G4"/>
  </mergeCells>
  <hyperlinks>
    <hyperlink ref="I1" r:id="rId1" location="'RESUMEN%20SUBIDAS'!A1" xr:uid="{00000000-0004-0000-4A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I20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187</v>
      </c>
      <c r="I1" s="21" t="s">
        <v>405</v>
      </c>
    </row>
    <row r="2" spans="1:9" x14ac:dyDescent="0.2">
      <c r="A2" s="22" t="s">
        <v>588</v>
      </c>
    </row>
    <row r="3" spans="1:9" x14ac:dyDescent="0.2">
      <c r="A3" s="3" t="s">
        <v>594</v>
      </c>
    </row>
    <row r="4" spans="1:9" ht="30" customHeight="1" x14ac:dyDescent="0.2">
      <c r="A4" s="1" t="s">
        <v>583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5</v>
      </c>
      <c r="B7" s="5">
        <f>COUNTIF($A$15:$A$20,A7)</f>
        <v>2</v>
      </c>
      <c r="C7" s="8">
        <f>_xlfn.MINIFS($B$15:$B$20,$A$15:$A$20,A7)</f>
        <v>78</v>
      </c>
      <c r="D7" s="8">
        <f>AVERAGEIF($A$15:$A$20,A7,$B$15:$B$20)</f>
        <v>82.5</v>
      </c>
      <c r="E7" s="8">
        <f>_xlfn.MAXIFS($B$15:$B$20,$A$15:$A$20,A7)</f>
        <v>87</v>
      </c>
      <c r="F7" s="16"/>
      <c r="G7" s="16"/>
    </row>
    <row r="8" spans="1:9" x14ac:dyDescent="0.2">
      <c r="A8" s="5" t="s">
        <v>7</v>
      </c>
      <c r="B8" s="5">
        <f>COUNTIF($A$15:$A$20,A8)</f>
        <v>2</v>
      </c>
      <c r="C8" s="8">
        <f>_xlfn.MINIFS($B$15:$B$20,$A$15:$A$20,A8)</f>
        <v>78</v>
      </c>
      <c r="D8" s="8">
        <f>AVERAGEIF($A$15:$A$20,A8,$B$15:$B$20)</f>
        <v>82.5</v>
      </c>
      <c r="E8" s="8">
        <f>_xlfn.MAXIFS($B$15:$B$20,$A$15:$A$20,A8)</f>
        <v>87</v>
      </c>
      <c r="F8" s="16">
        <f>D8/D7-1</f>
        <v>0</v>
      </c>
      <c r="G8" s="16">
        <f>D8/$D$7-1</f>
        <v>0</v>
      </c>
    </row>
    <row r="9" spans="1:9" x14ac:dyDescent="0.2">
      <c r="A9" s="5" t="s">
        <v>10</v>
      </c>
      <c r="B9" s="5">
        <f>COUNTIF($A$15:$A$20,A9)</f>
        <v>1</v>
      </c>
      <c r="C9" s="8">
        <f>_xlfn.MINIFS($B$15:$B$20,$A$15:$A$20,A9)</f>
        <v>78</v>
      </c>
      <c r="D9" s="8">
        <f>AVERAGEIF($A$15:$A$20,A9,$B$15:$B$20)</f>
        <v>78</v>
      </c>
      <c r="E9" s="8">
        <f>_xlfn.MAXIFS($B$15:$B$20,$A$15:$A$20,A9)</f>
        <v>78</v>
      </c>
      <c r="F9" s="16">
        <f>D9/D8-1</f>
        <v>-5.4545454545454564E-2</v>
      </c>
      <c r="G9" s="16">
        <f>D9/$D$7-1</f>
        <v>-5.4545454545454564E-2</v>
      </c>
    </row>
    <row r="10" spans="1:9" x14ac:dyDescent="0.2">
      <c r="A10" s="5" t="s">
        <v>11</v>
      </c>
      <c r="B10" s="5">
        <f>COUNTIF($A$15:$A$20,A10)</f>
        <v>1</v>
      </c>
      <c r="C10" s="8">
        <f>_xlfn.MINIFS($B$15:$B$20,$A$15:$A$20,A10)</f>
        <v>88</v>
      </c>
      <c r="D10" s="8">
        <f>AVERAGEIF($A$15:$A$20,A10,$B$15:$B$20)</f>
        <v>88</v>
      </c>
      <c r="E10" s="8">
        <f>_xlfn.MAXIFS($B$15:$B$20,$A$15:$A$20,A10)</f>
        <v>88</v>
      </c>
      <c r="F10" s="16">
        <f>D10/D9-1</f>
        <v>0.12820512820512819</v>
      </c>
      <c r="G10" s="16">
        <f>D10/$D$7-1</f>
        <v>6.6666666666666652E-2</v>
      </c>
    </row>
    <row r="11" spans="1:9" x14ac:dyDescent="0.2">
      <c r="F11" s="22" t="s">
        <v>416</v>
      </c>
      <c r="G11" s="23">
        <f>D10/D7-1</f>
        <v>6.6666666666666652E-2</v>
      </c>
    </row>
    <row r="13" spans="1:9" x14ac:dyDescent="0.2">
      <c r="A13" s="22" t="s">
        <v>417</v>
      </c>
    </row>
    <row r="14" spans="1:9" ht="30" x14ac:dyDescent="0.2">
      <c r="A14" s="4" t="s">
        <v>409</v>
      </c>
      <c r="B14" s="4" t="s">
        <v>418</v>
      </c>
      <c r="C14" s="4" t="s">
        <v>419</v>
      </c>
      <c r="D14" s="4" t="s">
        <v>420</v>
      </c>
      <c r="E14" s="4" t="s">
        <v>421</v>
      </c>
    </row>
    <row r="15" spans="1:9" x14ac:dyDescent="0.2">
      <c r="A15" s="5" t="s">
        <v>5</v>
      </c>
      <c r="B15" s="8">
        <v>78</v>
      </c>
      <c r="C15" s="5">
        <v>3.7</v>
      </c>
      <c r="D15" s="5" t="s">
        <v>187</v>
      </c>
      <c r="E15" s="5" t="s">
        <v>422</v>
      </c>
    </row>
    <row r="16" spans="1:9" x14ac:dyDescent="0.2">
      <c r="A16" s="5" t="s">
        <v>5</v>
      </c>
      <c r="B16" s="8">
        <v>87</v>
      </c>
      <c r="C16" s="5">
        <v>2</v>
      </c>
      <c r="D16" s="5" t="s">
        <v>187</v>
      </c>
      <c r="E16" s="5" t="s">
        <v>422</v>
      </c>
    </row>
    <row r="17" spans="1:5" x14ac:dyDescent="0.2">
      <c r="A17" s="5" t="s">
        <v>7</v>
      </c>
      <c r="B17" s="8">
        <v>78</v>
      </c>
      <c r="C17" s="5"/>
      <c r="D17" s="5" t="s">
        <v>187</v>
      </c>
      <c r="E17" s="5" t="s">
        <v>422</v>
      </c>
    </row>
    <row r="18" spans="1:5" x14ac:dyDescent="0.2">
      <c r="A18" s="5" t="s">
        <v>7</v>
      </c>
      <c r="B18" s="8">
        <v>87</v>
      </c>
      <c r="C18" s="5"/>
      <c r="D18" s="5" t="s">
        <v>187</v>
      </c>
      <c r="E18" s="5" t="s">
        <v>422</v>
      </c>
    </row>
    <row r="19" spans="1:5" x14ac:dyDescent="0.2">
      <c r="A19" s="5" t="s">
        <v>10</v>
      </c>
      <c r="B19" s="8">
        <v>78</v>
      </c>
      <c r="C19" s="5">
        <v>1</v>
      </c>
      <c r="D19" s="5" t="s">
        <v>187</v>
      </c>
      <c r="E19" s="5" t="s">
        <v>427</v>
      </c>
    </row>
    <row r="20" spans="1:5" x14ac:dyDescent="0.2">
      <c r="A20" s="5" t="s">
        <v>11</v>
      </c>
      <c r="B20" s="8">
        <v>88</v>
      </c>
      <c r="C20" s="5"/>
      <c r="D20" s="5" t="s">
        <v>187</v>
      </c>
      <c r="E20" s="5" t="s">
        <v>423</v>
      </c>
    </row>
  </sheetData>
  <mergeCells count="1">
    <mergeCell ref="A4:G4"/>
  </mergeCells>
  <hyperlinks>
    <hyperlink ref="I1" r:id="rId1" location="'RESUMEN%20SUBIDAS'!A1" xr:uid="{00000000-0004-0000-4B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I29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190</v>
      </c>
      <c r="I1" s="21" t="s">
        <v>405</v>
      </c>
    </row>
    <row r="2" spans="1:9" x14ac:dyDescent="0.2">
      <c r="A2" s="22" t="s">
        <v>588</v>
      </c>
    </row>
    <row r="3" spans="1:9" x14ac:dyDescent="0.2">
      <c r="A3" s="3" t="s">
        <v>595</v>
      </c>
    </row>
    <row r="4" spans="1:9" ht="30" customHeight="1" x14ac:dyDescent="0.2">
      <c r="A4" s="1" t="s">
        <v>583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 t="shared" ref="B7:B12" si="0">COUNTIF($A$17:$A$29,A7)</f>
        <v>2</v>
      </c>
      <c r="C7" s="8">
        <f t="shared" ref="C7:C12" si="1">_xlfn.MINIFS($B$17:$B$29,$A$17:$A$29,A7)</f>
        <v>92</v>
      </c>
      <c r="D7" s="8">
        <f t="shared" ref="D7:D12" si="2">AVERAGEIF($A$17:$A$29,A7,$B$17:$B$29)</f>
        <v>93.5</v>
      </c>
      <c r="E7" s="8">
        <f t="shared" ref="E7:E12" si="3">_xlfn.MAXIFS($B$17:$B$29,$A$17:$A$29,A7)</f>
        <v>95</v>
      </c>
      <c r="F7" s="16"/>
      <c r="G7" s="16"/>
    </row>
    <row r="8" spans="1:9" x14ac:dyDescent="0.2">
      <c r="A8" s="5" t="s">
        <v>5</v>
      </c>
      <c r="B8" s="5">
        <f t="shared" si="0"/>
        <v>3</v>
      </c>
      <c r="C8" s="8">
        <f t="shared" si="1"/>
        <v>92</v>
      </c>
      <c r="D8" s="8">
        <f t="shared" si="2"/>
        <v>94.333333333333329</v>
      </c>
      <c r="E8" s="8">
        <f t="shared" si="3"/>
        <v>98</v>
      </c>
      <c r="F8" s="16">
        <f>D8/D7-1</f>
        <v>8.9126559714793885E-3</v>
      </c>
      <c r="G8" s="16">
        <f>D8/$D$7-1</f>
        <v>8.9126559714793885E-3</v>
      </c>
    </row>
    <row r="9" spans="1:9" x14ac:dyDescent="0.2">
      <c r="A9" s="5" t="s">
        <v>7</v>
      </c>
      <c r="B9" s="5">
        <f t="shared" si="0"/>
        <v>3</v>
      </c>
      <c r="C9" s="8">
        <f t="shared" si="1"/>
        <v>93</v>
      </c>
      <c r="D9" s="8">
        <f t="shared" si="2"/>
        <v>96.333333333333329</v>
      </c>
      <c r="E9" s="8">
        <f t="shared" si="3"/>
        <v>98</v>
      </c>
      <c r="F9" s="16">
        <f>D9/D8-1</f>
        <v>2.1201413427561766E-2</v>
      </c>
      <c r="G9" s="16">
        <f>D9/$D$7-1</f>
        <v>3.0303030303030276E-2</v>
      </c>
    </row>
    <row r="10" spans="1:9" x14ac:dyDescent="0.2">
      <c r="A10" s="5" t="s">
        <v>8</v>
      </c>
      <c r="B10" s="5">
        <f t="shared" si="0"/>
        <v>2</v>
      </c>
      <c r="C10" s="8">
        <f t="shared" si="1"/>
        <v>98</v>
      </c>
      <c r="D10" s="8">
        <f t="shared" si="2"/>
        <v>108</v>
      </c>
      <c r="E10" s="8">
        <f t="shared" si="3"/>
        <v>118</v>
      </c>
      <c r="F10" s="16">
        <f>D10/D9-1</f>
        <v>0.12110726643598624</v>
      </c>
      <c r="G10" s="16">
        <f>D10/$D$7-1</f>
        <v>0.15508021390374327</v>
      </c>
    </row>
    <row r="11" spans="1:9" x14ac:dyDescent="0.2">
      <c r="A11" s="5" t="s">
        <v>10</v>
      </c>
      <c r="B11" s="5">
        <f t="shared" si="0"/>
        <v>2</v>
      </c>
      <c r="C11" s="8">
        <f t="shared" si="1"/>
        <v>98</v>
      </c>
      <c r="D11" s="8">
        <f t="shared" si="2"/>
        <v>98</v>
      </c>
      <c r="E11" s="8">
        <f t="shared" si="3"/>
        <v>98</v>
      </c>
      <c r="F11" s="16">
        <f>D11/D10-1</f>
        <v>-9.259259259259256E-2</v>
      </c>
      <c r="G11" s="16">
        <f>D11/$D$7-1</f>
        <v>4.8128342245989275E-2</v>
      </c>
    </row>
    <row r="12" spans="1:9" x14ac:dyDescent="0.2">
      <c r="A12" s="5" t="s">
        <v>11</v>
      </c>
      <c r="B12" s="5">
        <f t="shared" si="0"/>
        <v>1</v>
      </c>
      <c r="C12" s="8">
        <f t="shared" si="1"/>
        <v>98</v>
      </c>
      <c r="D12" s="8">
        <f t="shared" si="2"/>
        <v>98</v>
      </c>
      <c r="E12" s="8">
        <f t="shared" si="3"/>
        <v>98</v>
      </c>
      <c r="F12" s="16">
        <f>D12/D11-1</f>
        <v>0</v>
      </c>
      <c r="G12" s="16">
        <f>D12/$D$7-1</f>
        <v>4.8128342245989275E-2</v>
      </c>
    </row>
    <row r="13" spans="1:9" x14ac:dyDescent="0.2">
      <c r="F13" s="22" t="s">
        <v>416</v>
      </c>
      <c r="G13" s="23">
        <f>D12/D7-1</f>
        <v>4.8128342245989275E-2</v>
      </c>
    </row>
    <row r="15" spans="1:9" x14ac:dyDescent="0.2">
      <c r="A15" s="22" t="s">
        <v>417</v>
      </c>
    </row>
    <row r="16" spans="1:9" ht="30" x14ac:dyDescent="0.2">
      <c r="A16" s="4" t="s">
        <v>409</v>
      </c>
      <c r="B16" s="4" t="s">
        <v>418</v>
      </c>
      <c r="C16" s="4" t="s">
        <v>419</v>
      </c>
      <c r="D16" s="4" t="s">
        <v>420</v>
      </c>
      <c r="E16" s="4" t="s">
        <v>421</v>
      </c>
    </row>
    <row r="17" spans="1:5" x14ac:dyDescent="0.2">
      <c r="A17" s="5" t="s">
        <v>4</v>
      </c>
      <c r="B17" s="8">
        <v>92</v>
      </c>
      <c r="C17" s="5">
        <v>11.3</v>
      </c>
      <c r="D17" s="5" t="s">
        <v>190</v>
      </c>
      <c r="E17" s="5" t="s">
        <v>422</v>
      </c>
    </row>
    <row r="18" spans="1:5" x14ac:dyDescent="0.2">
      <c r="A18" s="5" t="s">
        <v>4</v>
      </c>
      <c r="B18" s="8">
        <v>95</v>
      </c>
      <c r="C18" s="5">
        <v>1.1000000000000001</v>
      </c>
      <c r="D18" s="5" t="s">
        <v>190</v>
      </c>
      <c r="E18" s="5" t="s">
        <v>422</v>
      </c>
    </row>
    <row r="19" spans="1:5" x14ac:dyDescent="0.2">
      <c r="A19" s="5" t="s">
        <v>5</v>
      </c>
      <c r="B19" s="8">
        <v>92</v>
      </c>
      <c r="C19" s="5">
        <v>3</v>
      </c>
      <c r="D19" s="5" t="s">
        <v>190</v>
      </c>
      <c r="E19" s="5" t="s">
        <v>422</v>
      </c>
    </row>
    <row r="20" spans="1:5" x14ac:dyDescent="0.2">
      <c r="A20" s="5" t="s">
        <v>5</v>
      </c>
      <c r="B20" s="8">
        <v>93</v>
      </c>
      <c r="C20" s="5">
        <v>6.2</v>
      </c>
      <c r="D20" s="5" t="s">
        <v>190</v>
      </c>
      <c r="E20" s="5" t="s">
        <v>422</v>
      </c>
    </row>
    <row r="21" spans="1:5" x14ac:dyDescent="0.2">
      <c r="A21" s="5" t="s">
        <v>5</v>
      </c>
      <c r="B21" s="8">
        <v>98</v>
      </c>
      <c r="C21" s="5">
        <v>8</v>
      </c>
      <c r="D21" s="5" t="s">
        <v>190</v>
      </c>
      <c r="E21" s="5" t="s">
        <v>422</v>
      </c>
    </row>
    <row r="22" spans="1:5" x14ac:dyDescent="0.2">
      <c r="A22" s="5" t="s">
        <v>7</v>
      </c>
      <c r="B22" s="8">
        <v>93</v>
      </c>
      <c r="C22" s="5"/>
      <c r="D22" s="5" t="s">
        <v>190</v>
      </c>
      <c r="E22" s="5" t="s">
        <v>422</v>
      </c>
    </row>
    <row r="23" spans="1:5" x14ac:dyDescent="0.2">
      <c r="A23" s="5" t="s">
        <v>7</v>
      </c>
      <c r="B23" s="8">
        <v>98</v>
      </c>
      <c r="C23" s="5">
        <v>13.8</v>
      </c>
      <c r="D23" s="5" t="s">
        <v>190</v>
      </c>
      <c r="E23" s="5" t="s">
        <v>422</v>
      </c>
    </row>
    <row r="24" spans="1:5" x14ac:dyDescent="0.2">
      <c r="A24" s="5" t="s">
        <v>7</v>
      </c>
      <c r="B24" s="8">
        <v>98</v>
      </c>
      <c r="C24" s="5"/>
      <c r="D24" s="5" t="s">
        <v>190</v>
      </c>
      <c r="E24" s="5" t="s">
        <v>422</v>
      </c>
    </row>
    <row r="25" spans="1:5" x14ac:dyDescent="0.2">
      <c r="A25" s="5" t="s">
        <v>8</v>
      </c>
      <c r="B25" s="8">
        <v>98</v>
      </c>
      <c r="C25" s="5">
        <v>13.7</v>
      </c>
      <c r="D25" s="5" t="s">
        <v>190</v>
      </c>
      <c r="E25" s="5" t="s">
        <v>422</v>
      </c>
    </row>
    <row r="26" spans="1:5" x14ac:dyDescent="0.2">
      <c r="A26" s="5" t="s">
        <v>8</v>
      </c>
      <c r="B26" s="8">
        <v>118</v>
      </c>
      <c r="C26" s="5">
        <v>3</v>
      </c>
      <c r="D26" s="5" t="s">
        <v>190</v>
      </c>
      <c r="E26" s="5" t="s">
        <v>422</v>
      </c>
    </row>
    <row r="27" spans="1:5" x14ac:dyDescent="0.2">
      <c r="A27" s="5" t="s">
        <v>10</v>
      </c>
      <c r="B27" s="8">
        <v>98</v>
      </c>
      <c r="C27" s="5"/>
      <c r="D27" s="5" t="s">
        <v>190</v>
      </c>
      <c r="E27" s="5" t="s">
        <v>427</v>
      </c>
    </row>
    <row r="28" spans="1:5" x14ac:dyDescent="0.2">
      <c r="A28" s="5" t="s">
        <v>10</v>
      </c>
      <c r="B28" s="8">
        <v>98</v>
      </c>
      <c r="C28" s="5">
        <v>1</v>
      </c>
      <c r="D28" s="5" t="s">
        <v>190</v>
      </c>
      <c r="E28" s="5" t="s">
        <v>427</v>
      </c>
    </row>
    <row r="29" spans="1:5" x14ac:dyDescent="0.2">
      <c r="A29" s="5" t="s">
        <v>11</v>
      </c>
      <c r="B29" s="8">
        <v>98</v>
      </c>
      <c r="C29" s="5"/>
      <c r="D29" s="5" t="s">
        <v>190</v>
      </c>
      <c r="E29" s="5" t="s">
        <v>423</v>
      </c>
    </row>
  </sheetData>
  <mergeCells count="1">
    <mergeCell ref="A4:G4"/>
  </mergeCells>
  <hyperlinks>
    <hyperlink ref="I1" r:id="rId1" location="'RESUMEN%20SUBIDAS'!A1" xr:uid="{00000000-0004-0000-4C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I21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192</v>
      </c>
      <c r="I1" s="21" t="s">
        <v>405</v>
      </c>
    </row>
    <row r="2" spans="1:9" x14ac:dyDescent="0.2">
      <c r="A2" s="22" t="s">
        <v>581</v>
      </c>
    </row>
    <row r="3" spans="1:9" x14ac:dyDescent="0.2">
      <c r="A3" s="3" t="s">
        <v>596</v>
      </c>
    </row>
    <row r="4" spans="1:9" ht="30" customHeight="1" x14ac:dyDescent="0.2">
      <c r="A4" s="1" t="s">
        <v>583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>COUNTIF($A$16:$A$21,A7)</f>
        <v>1</v>
      </c>
      <c r="C7" s="8">
        <f>_xlfn.MINIFS($B$16:$B$21,$A$16:$A$21,A7)</f>
        <v>5.8</v>
      </c>
      <c r="D7" s="8">
        <f>AVERAGEIF($A$16:$A$21,A7,$B$16:$B$21)</f>
        <v>5.8</v>
      </c>
      <c r="E7" s="8">
        <f>_xlfn.MAXIFS($B$16:$B$21,$A$16:$A$21,A7)</f>
        <v>5.8</v>
      </c>
      <c r="F7" s="16"/>
      <c r="G7" s="16"/>
    </row>
    <row r="8" spans="1:9" x14ac:dyDescent="0.2">
      <c r="A8" s="5" t="s">
        <v>5</v>
      </c>
      <c r="B8" s="5">
        <f>COUNTIF($A$16:$A$21,A8)</f>
        <v>1</v>
      </c>
      <c r="C8" s="8">
        <f>_xlfn.MINIFS($B$16:$B$21,$A$16:$A$21,A8)</f>
        <v>5.8</v>
      </c>
      <c r="D8" s="8">
        <f>AVERAGEIF($A$16:$A$21,A8,$B$16:$B$21)</f>
        <v>5.8</v>
      </c>
      <c r="E8" s="8">
        <f>_xlfn.MAXIFS($B$16:$B$21,$A$16:$A$21,A8)</f>
        <v>5.8</v>
      </c>
      <c r="F8" s="16">
        <f>D8/D7-1</f>
        <v>0</v>
      </c>
      <c r="G8" s="16">
        <f>D8/$D$7-1</f>
        <v>0</v>
      </c>
    </row>
    <row r="9" spans="1:9" x14ac:dyDescent="0.2">
      <c r="A9" s="5" t="s">
        <v>7</v>
      </c>
      <c r="B9" s="5">
        <f>COUNTIF($A$16:$A$21,A9)</f>
        <v>2</v>
      </c>
      <c r="C9" s="8">
        <f>_xlfn.MINIFS($B$16:$B$21,$A$16:$A$21,A9)</f>
        <v>7</v>
      </c>
      <c r="D9" s="8">
        <f>AVERAGEIF($A$16:$A$21,A9,$B$16:$B$21)</f>
        <v>7.45</v>
      </c>
      <c r="E9" s="8">
        <f>_xlfn.MAXIFS($B$16:$B$21,$A$16:$A$21,A9)</f>
        <v>7.9</v>
      </c>
      <c r="F9" s="16">
        <f>D9/D8-1</f>
        <v>0.28448275862068972</v>
      </c>
      <c r="G9" s="16">
        <f>D9/$D$7-1</f>
        <v>0.28448275862068972</v>
      </c>
    </row>
    <row r="10" spans="1:9" x14ac:dyDescent="0.2">
      <c r="A10" s="5" t="s">
        <v>8</v>
      </c>
      <c r="B10" s="5">
        <f>COUNTIF($A$16:$A$21,A10)</f>
        <v>1</v>
      </c>
      <c r="C10" s="8">
        <f>_xlfn.MINIFS($B$16:$B$21,$A$16:$A$21,A10)</f>
        <v>8.5</v>
      </c>
      <c r="D10" s="8">
        <f>AVERAGEIF($A$16:$A$21,A10,$B$16:$B$21)</f>
        <v>8.5</v>
      </c>
      <c r="E10" s="8">
        <f>_xlfn.MAXIFS($B$16:$B$21,$A$16:$A$21,A10)</f>
        <v>8.5</v>
      </c>
      <c r="F10" s="16">
        <f>D10/D9-1</f>
        <v>0.14093959731543615</v>
      </c>
      <c r="G10" s="16">
        <f>D10/$D$7-1</f>
        <v>0.4655172413793105</v>
      </c>
    </row>
    <row r="11" spans="1:9" x14ac:dyDescent="0.2">
      <c r="A11" s="5" t="s">
        <v>10</v>
      </c>
      <c r="B11" s="5">
        <f>COUNTIF($A$16:$A$21,A11)</f>
        <v>1</v>
      </c>
      <c r="C11" s="8">
        <f>_xlfn.MINIFS($B$16:$B$21,$A$16:$A$21,A11)</f>
        <v>5.8</v>
      </c>
      <c r="D11" s="8">
        <f>AVERAGEIF($A$16:$A$21,A11,$B$16:$B$21)</f>
        <v>5.8</v>
      </c>
      <c r="E11" s="8">
        <f>_xlfn.MAXIFS($B$16:$B$21,$A$16:$A$21,A11)</f>
        <v>5.8</v>
      </c>
      <c r="F11" s="16">
        <f>D11/D10-1</f>
        <v>-0.31764705882352939</v>
      </c>
      <c r="G11" s="16">
        <f>D11/$D$7-1</f>
        <v>0</v>
      </c>
    </row>
    <row r="12" spans="1:9" x14ac:dyDescent="0.2">
      <c r="F12" s="22" t="s">
        <v>416</v>
      </c>
      <c r="G12" s="23">
        <f>D11/D7-1</f>
        <v>0</v>
      </c>
    </row>
    <row r="14" spans="1:9" x14ac:dyDescent="0.2">
      <c r="A14" s="22" t="s">
        <v>417</v>
      </c>
    </row>
    <row r="15" spans="1:9" ht="30" x14ac:dyDescent="0.2">
      <c r="A15" s="4" t="s">
        <v>409</v>
      </c>
      <c r="B15" s="4" t="s">
        <v>418</v>
      </c>
      <c r="C15" s="4" t="s">
        <v>419</v>
      </c>
      <c r="D15" s="4" t="s">
        <v>420</v>
      </c>
      <c r="E15" s="4" t="s">
        <v>421</v>
      </c>
    </row>
    <row r="16" spans="1:9" x14ac:dyDescent="0.2">
      <c r="A16" s="5" t="s">
        <v>4</v>
      </c>
      <c r="B16" s="8">
        <v>5.8</v>
      </c>
      <c r="C16" s="5">
        <v>23.7</v>
      </c>
      <c r="D16" s="5" t="s">
        <v>192</v>
      </c>
      <c r="E16" s="5" t="s">
        <v>422</v>
      </c>
    </row>
    <row r="17" spans="1:5" x14ac:dyDescent="0.2">
      <c r="A17" s="5" t="s">
        <v>5</v>
      </c>
      <c r="B17" s="8">
        <v>5.8</v>
      </c>
      <c r="C17" s="5">
        <v>34.174999999999997</v>
      </c>
      <c r="D17" s="5" t="s">
        <v>192</v>
      </c>
      <c r="E17" s="5" t="s">
        <v>422</v>
      </c>
    </row>
    <row r="18" spans="1:5" x14ac:dyDescent="0.2">
      <c r="A18" s="5" t="s">
        <v>7</v>
      </c>
      <c r="B18" s="8">
        <v>7</v>
      </c>
      <c r="C18" s="5">
        <v>3.3</v>
      </c>
      <c r="D18" s="5" t="s">
        <v>192</v>
      </c>
      <c r="E18" s="5" t="s">
        <v>422</v>
      </c>
    </row>
    <row r="19" spans="1:5" x14ac:dyDescent="0.2">
      <c r="A19" s="5" t="s">
        <v>7</v>
      </c>
      <c r="B19" s="8">
        <v>7.9</v>
      </c>
      <c r="C19" s="5">
        <v>3.34</v>
      </c>
      <c r="D19" s="5" t="s">
        <v>192</v>
      </c>
      <c r="E19" s="5" t="s">
        <v>422</v>
      </c>
    </row>
    <row r="20" spans="1:5" x14ac:dyDescent="0.2">
      <c r="A20" s="5" t="s">
        <v>8</v>
      </c>
      <c r="B20" s="8">
        <v>8.5</v>
      </c>
      <c r="C20" s="5">
        <v>14.9</v>
      </c>
      <c r="D20" s="5" t="s">
        <v>192</v>
      </c>
      <c r="E20" s="5" t="s">
        <v>422</v>
      </c>
    </row>
    <row r="21" spans="1:5" x14ac:dyDescent="0.2">
      <c r="A21" s="5" t="s">
        <v>10</v>
      </c>
      <c r="B21" s="8">
        <v>5.8</v>
      </c>
      <c r="C21" s="5"/>
      <c r="D21" s="5" t="s">
        <v>192</v>
      </c>
      <c r="E21" s="5" t="s">
        <v>427</v>
      </c>
    </row>
  </sheetData>
  <mergeCells count="1">
    <mergeCell ref="A4:G4"/>
  </mergeCells>
  <hyperlinks>
    <hyperlink ref="I1" r:id="rId1" location="'RESUMEN%20SUBIDAS'!A1" xr:uid="{00000000-0004-0000-4D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I24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194</v>
      </c>
      <c r="I1" s="21" t="s">
        <v>405</v>
      </c>
    </row>
    <row r="2" spans="1:9" x14ac:dyDescent="0.2">
      <c r="A2" s="22" t="s">
        <v>588</v>
      </c>
    </row>
    <row r="3" spans="1:9" x14ac:dyDescent="0.2">
      <c r="A3" s="3" t="s">
        <v>597</v>
      </c>
    </row>
    <row r="4" spans="1:9" ht="30" customHeight="1" x14ac:dyDescent="0.2">
      <c r="A4" s="1" t="s">
        <v>583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 t="shared" ref="B7:B12" si="0">COUNTIF($A$17:$A$24,A7)</f>
        <v>2</v>
      </c>
      <c r="C7" s="8">
        <f t="shared" ref="C7:C12" si="1">_xlfn.MINIFS($B$17:$B$24,$A$17:$A$24,A7)</f>
        <v>21.5</v>
      </c>
      <c r="D7" s="8">
        <f t="shared" ref="D7:D12" si="2">AVERAGEIF($A$17:$A$24,A7,$B$17:$B$24)</f>
        <v>24</v>
      </c>
      <c r="E7" s="8">
        <f t="shared" ref="E7:E12" si="3">_xlfn.MAXIFS($B$17:$B$24,$A$17:$A$24,A7)</f>
        <v>26.5</v>
      </c>
      <c r="F7" s="16"/>
      <c r="G7" s="16"/>
    </row>
    <row r="8" spans="1:9" x14ac:dyDescent="0.2">
      <c r="A8" s="5" t="s">
        <v>5</v>
      </c>
      <c r="B8" s="5">
        <f t="shared" si="0"/>
        <v>1</v>
      </c>
      <c r="C8" s="8">
        <f t="shared" si="1"/>
        <v>21.5</v>
      </c>
      <c r="D8" s="8">
        <f t="shared" si="2"/>
        <v>21.5</v>
      </c>
      <c r="E8" s="8">
        <f t="shared" si="3"/>
        <v>21.5</v>
      </c>
      <c r="F8" s="16">
        <f>D8/D7-1</f>
        <v>-0.10416666666666663</v>
      </c>
      <c r="G8" s="16">
        <f>D8/$D$7-1</f>
        <v>-0.10416666666666663</v>
      </c>
    </row>
    <row r="9" spans="1:9" x14ac:dyDescent="0.2">
      <c r="A9" s="5" t="s">
        <v>7</v>
      </c>
      <c r="B9" s="5">
        <f t="shared" si="0"/>
        <v>2</v>
      </c>
      <c r="C9" s="8">
        <f t="shared" si="1"/>
        <v>21.5</v>
      </c>
      <c r="D9" s="8">
        <f t="shared" si="2"/>
        <v>24</v>
      </c>
      <c r="E9" s="8">
        <f t="shared" si="3"/>
        <v>26.5</v>
      </c>
      <c r="F9" s="16">
        <f>D9/D8-1</f>
        <v>0.11627906976744184</v>
      </c>
      <c r="G9" s="16">
        <f>D9/$D$7-1</f>
        <v>0</v>
      </c>
    </row>
    <row r="10" spans="1:9" x14ac:dyDescent="0.2">
      <c r="A10" s="5" t="s">
        <v>8</v>
      </c>
      <c r="B10" s="5">
        <f t="shared" si="0"/>
        <v>1</v>
      </c>
      <c r="C10" s="8">
        <f t="shared" si="1"/>
        <v>21.5</v>
      </c>
      <c r="D10" s="8">
        <f t="shared" si="2"/>
        <v>21.5</v>
      </c>
      <c r="E10" s="8">
        <f t="shared" si="3"/>
        <v>21.5</v>
      </c>
      <c r="F10" s="16">
        <f>D10/D9-1</f>
        <v>-0.10416666666666663</v>
      </c>
      <c r="G10" s="16">
        <f>D10/$D$7-1</f>
        <v>-0.10416666666666663</v>
      </c>
    </row>
    <row r="11" spans="1:9" x14ac:dyDescent="0.2">
      <c r="A11" s="5" t="s">
        <v>10</v>
      </c>
      <c r="B11" s="5">
        <f t="shared" si="0"/>
        <v>1</v>
      </c>
      <c r="C11" s="8">
        <f t="shared" si="1"/>
        <v>21.5</v>
      </c>
      <c r="D11" s="8">
        <f t="shared" si="2"/>
        <v>21.5</v>
      </c>
      <c r="E11" s="8">
        <f t="shared" si="3"/>
        <v>21.5</v>
      </c>
      <c r="F11" s="16">
        <f>D11/D10-1</f>
        <v>0</v>
      </c>
      <c r="G11" s="16">
        <f>D11/$D$7-1</f>
        <v>-0.10416666666666663</v>
      </c>
    </row>
    <row r="12" spans="1:9" x14ac:dyDescent="0.2">
      <c r="A12" s="5" t="s">
        <v>11</v>
      </c>
      <c r="B12" s="5">
        <f t="shared" si="0"/>
        <v>1</v>
      </c>
      <c r="C12" s="8">
        <f t="shared" si="1"/>
        <v>21.5</v>
      </c>
      <c r="D12" s="8">
        <f t="shared" si="2"/>
        <v>21.5</v>
      </c>
      <c r="E12" s="8">
        <f t="shared" si="3"/>
        <v>21.5</v>
      </c>
      <c r="F12" s="16">
        <f>D12/D11-1</f>
        <v>0</v>
      </c>
      <c r="G12" s="16">
        <f>D12/$D$7-1</f>
        <v>-0.10416666666666663</v>
      </c>
    </row>
    <row r="13" spans="1:9" x14ac:dyDescent="0.2">
      <c r="F13" s="22" t="s">
        <v>416</v>
      </c>
      <c r="G13" s="23">
        <f>D12/D7-1</f>
        <v>-0.10416666666666663</v>
      </c>
    </row>
    <row r="15" spans="1:9" x14ac:dyDescent="0.2">
      <c r="A15" s="22" t="s">
        <v>417</v>
      </c>
    </row>
    <row r="16" spans="1:9" ht="30" x14ac:dyDescent="0.2">
      <c r="A16" s="4" t="s">
        <v>409</v>
      </c>
      <c r="B16" s="4" t="s">
        <v>418</v>
      </c>
      <c r="C16" s="4" t="s">
        <v>419</v>
      </c>
      <c r="D16" s="4" t="s">
        <v>420</v>
      </c>
      <c r="E16" s="4" t="s">
        <v>421</v>
      </c>
    </row>
    <row r="17" spans="1:5" x14ac:dyDescent="0.2">
      <c r="A17" s="5" t="s">
        <v>4</v>
      </c>
      <c r="B17" s="8">
        <v>21.5</v>
      </c>
      <c r="C17" s="5">
        <v>62</v>
      </c>
      <c r="D17" s="5" t="s">
        <v>194</v>
      </c>
      <c r="E17" s="5" t="s">
        <v>422</v>
      </c>
    </row>
    <row r="18" spans="1:5" x14ac:dyDescent="0.2">
      <c r="A18" s="5" t="s">
        <v>4</v>
      </c>
      <c r="B18" s="8">
        <v>26.5</v>
      </c>
      <c r="C18" s="5">
        <v>2.02830188679245</v>
      </c>
      <c r="D18" s="5" t="s">
        <v>194</v>
      </c>
      <c r="E18" s="5" t="s">
        <v>422</v>
      </c>
    </row>
    <row r="19" spans="1:5" x14ac:dyDescent="0.2">
      <c r="A19" s="5" t="s">
        <v>5</v>
      </c>
      <c r="B19" s="8">
        <v>21.5</v>
      </c>
      <c r="C19" s="5">
        <v>88.7</v>
      </c>
      <c r="D19" s="5" t="s">
        <v>194</v>
      </c>
      <c r="E19" s="5" t="s">
        <v>422</v>
      </c>
    </row>
    <row r="20" spans="1:5" x14ac:dyDescent="0.2">
      <c r="A20" s="5" t="s">
        <v>7</v>
      </c>
      <c r="B20" s="8">
        <v>21.5</v>
      </c>
      <c r="C20" s="5">
        <v>89.5</v>
      </c>
      <c r="D20" s="5" t="s">
        <v>194</v>
      </c>
      <c r="E20" s="5" t="s">
        <v>422</v>
      </c>
    </row>
    <row r="21" spans="1:5" x14ac:dyDescent="0.2">
      <c r="A21" s="5" t="s">
        <v>7</v>
      </c>
      <c r="B21" s="8">
        <v>26.5</v>
      </c>
      <c r="C21" s="5">
        <v>6</v>
      </c>
      <c r="D21" s="5" t="s">
        <v>194</v>
      </c>
      <c r="E21" s="5" t="s">
        <v>422</v>
      </c>
    </row>
    <row r="22" spans="1:5" x14ac:dyDescent="0.2">
      <c r="A22" s="5" t="s">
        <v>8</v>
      </c>
      <c r="B22" s="8">
        <v>21.5</v>
      </c>
      <c r="C22" s="5">
        <v>83.2</v>
      </c>
      <c r="D22" s="5" t="s">
        <v>194</v>
      </c>
      <c r="E22" s="5" t="s">
        <v>422</v>
      </c>
    </row>
    <row r="23" spans="1:5" x14ac:dyDescent="0.2">
      <c r="A23" s="5" t="s">
        <v>10</v>
      </c>
      <c r="B23" s="8">
        <v>21.5</v>
      </c>
      <c r="C23" s="5"/>
      <c r="D23" s="5" t="s">
        <v>194</v>
      </c>
      <c r="E23" s="5" t="s">
        <v>427</v>
      </c>
    </row>
    <row r="24" spans="1:5" x14ac:dyDescent="0.2">
      <c r="A24" s="5" t="s">
        <v>11</v>
      </c>
      <c r="B24" s="8">
        <v>21.5</v>
      </c>
      <c r="C24" s="5"/>
      <c r="D24" s="5" t="s">
        <v>194</v>
      </c>
      <c r="E24" s="5" t="s">
        <v>423</v>
      </c>
    </row>
  </sheetData>
  <mergeCells count="1">
    <mergeCell ref="A4:G4"/>
  </mergeCells>
  <hyperlinks>
    <hyperlink ref="I1" r:id="rId1" location="'RESUMEN%20SUBIDAS'!A1" xr:uid="{00000000-0004-0000-4E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I44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197</v>
      </c>
      <c r="I1" s="21" t="s">
        <v>405</v>
      </c>
    </row>
    <row r="2" spans="1:9" x14ac:dyDescent="0.2">
      <c r="A2" s="22" t="s">
        <v>588</v>
      </c>
    </row>
    <row r="3" spans="1:9" x14ac:dyDescent="0.2">
      <c r="A3" s="3" t="s">
        <v>598</v>
      </c>
    </row>
    <row r="4" spans="1:9" ht="30" customHeight="1" x14ac:dyDescent="0.2">
      <c r="A4" s="1" t="s">
        <v>583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 t="shared" ref="B7:B12" si="0">COUNTIF($A$17:$A$44,A7)</f>
        <v>4</v>
      </c>
      <c r="C7" s="8">
        <f t="shared" ref="C7:C12" si="1">_xlfn.MINIFS($B$17:$B$44,$A$17:$A$44,A7)</f>
        <v>23.5</v>
      </c>
      <c r="D7" s="8">
        <f t="shared" ref="D7:D12" si="2">AVERAGEIF($A$17:$A$44,A7,$B$17:$B$44)</f>
        <v>28.625</v>
      </c>
      <c r="E7" s="8">
        <f t="shared" ref="E7:E12" si="3">_xlfn.MAXIFS($B$17:$B$44,$A$17:$A$44,A7)</f>
        <v>35</v>
      </c>
      <c r="F7" s="16"/>
      <c r="G7" s="16"/>
    </row>
    <row r="8" spans="1:9" x14ac:dyDescent="0.2">
      <c r="A8" s="5" t="s">
        <v>5</v>
      </c>
      <c r="B8" s="5">
        <f t="shared" si="0"/>
        <v>5</v>
      </c>
      <c r="C8" s="8">
        <f t="shared" si="1"/>
        <v>32</v>
      </c>
      <c r="D8" s="8">
        <f t="shared" si="2"/>
        <v>35.1</v>
      </c>
      <c r="E8" s="8">
        <f t="shared" si="3"/>
        <v>37</v>
      </c>
      <c r="F8" s="16">
        <f>D8/D7-1</f>
        <v>0.22620087336244543</v>
      </c>
      <c r="G8" s="16">
        <f>D8/$D$7-1</f>
        <v>0.22620087336244543</v>
      </c>
    </row>
    <row r="9" spans="1:9" x14ac:dyDescent="0.2">
      <c r="A9" s="5" t="s">
        <v>7</v>
      </c>
      <c r="B9" s="5">
        <f t="shared" si="0"/>
        <v>9</v>
      </c>
      <c r="C9" s="8">
        <f t="shared" si="1"/>
        <v>25</v>
      </c>
      <c r="D9" s="8">
        <f t="shared" si="2"/>
        <v>28</v>
      </c>
      <c r="E9" s="8">
        <f t="shared" si="3"/>
        <v>32.5</v>
      </c>
      <c r="F9" s="16">
        <f>D9/D8-1</f>
        <v>-0.20227920227920226</v>
      </c>
      <c r="G9" s="16">
        <f>D9/$D$7-1</f>
        <v>-2.183406113537123E-2</v>
      </c>
    </row>
    <row r="10" spans="1:9" x14ac:dyDescent="0.2">
      <c r="A10" s="5" t="s">
        <v>8</v>
      </c>
      <c r="B10" s="5">
        <f t="shared" si="0"/>
        <v>5</v>
      </c>
      <c r="C10" s="8">
        <f t="shared" si="1"/>
        <v>25</v>
      </c>
      <c r="D10" s="8">
        <f t="shared" si="2"/>
        <v>27.4</v>
      </c>
      <c r="E10" s="8">
        <f t="shared" si="3"/>
        <v>29</v>
      </c>
      <c r="F10" s="16">
        <f>D10/D9-1</f>
        <v>-2.1428571428571463E-2</v>
      </c>
      <c r="G10" s="16">
        <f>D10/$D$7-1</f>
        <v>-4.2794759825327544E-2</v>
      </c>
    </row>
    <row r="11" spans="1:9" x14ac:dyDescent="0.2">
      <c r="A11" s="5" t="s">
        <v>10</v>
      </c>
      <c r="B11" s="5">
        <f t="shared" si="0"/>
        <v>4</v>
      </c>
      <c r="C11" s="8">
        <f t="shared" si="1"/>
        <v>23</v>
      </c>
      <c r="D11" s="8">
        <f t="shared" si="2"/>
        <v>25.75</v>
      </c>
      <c r="E11" s="8">
        <f t="shared" si="3"/>
        <v>29.5</v>
      </c>
      <c r="F11" s="16">
        <f>D11/D10-1</f>
        <v>-6.021897810218968E-2</v>
      </c>
      <c r="G11" s="16">
        <f>D11/$D$7-1</f>
        <v>-0.10043668122270744</v>
      </c>
    </row>
    <row r="12" spans="1:9" x14ac:dyDescent="0.2">
      <c r="A12" s="5" t="s">
        <v>11</v>
      </c>
      <c r="B12" s="5">
        <f t="shared" si="0"/>
        <v>1</v>
      </c>
      <c r="C12" s="8">
        <f t="shared" si="1"/>
        <v>25</v>
      </c>
      <c r="D12" s="8">
        <f t="shared" si="2"/>
        <v>25</v>
      </c>
      <c r="E12" s="8">
        <f t="shared" si="3"/>
        <v>25</v>
      </c>
      <c r="F12" s="16">
        <f>D12/D11-1</f>
        <v>-2.9126213592232997E-2</v>
      </c>
      <c r="G12" s="16">
        <f>D12/$D$7-1</f>
        <v>-0.1266375545851528</v>
      </c>
    </row>
    <row r="13" spans="1:9" x14ac:dyDescent="0.2">
      <c r="F13" s="22" t="s">
        <v>416</v>
      </c>
      <c r="G13" s="23">
        <f>D12/D7-1</f>
        <v>-0.1266375545851528</v>
      </c>
    </row>
    <row r="15" spans="1:9" x14ac:dyDescent="0.2">
      <c r="A15" s="22" t="s">
        <v>417</v>
      </c>
    </row>
    <row r="16" spans="1:9" ht="30" x14ac:dyDescent="0.2">
      <c r="A16" s="4" t="s">
        <v>409</v>
      </c>
      <c r="B16" s="4" t="s">
        <v>418</v>
      </c>
      <c r="C16" s="4" t="s">
        <v>419</v>
      </c>
      <c r="D16" s="4" t="s">
        <v>420</v>
      </c>
      <c r="E16" s="4" t="s">
        <v>421</v>
      </c>
    </row>
    <row r="17" spans="1:5" x14ac:dyDescent="0.2">
      <c r="A17" s="5" t="s">
        <v>4</v>
      </c>
      <c r="B17" s="8">
        <v>23.5</v>
      </c>
      <c r="C17" s="5">
        <v>2</v>
      </c>
      <c r="D17" s="5" t="s">
        <v>197</v>
      </c>
      <c r="E17" s="5" t="s">
        <v>422</v>
      </c>
    </row>
    <row r="18" spans="1:5" x14ac:dyDescent="0.2">
      <c r="A18" s="5" t="s">
        <v>4</v>
      </c>
      <c r="B18" s="8">
        <v>27.5</v>
      </c>
      <c r="C18" s="5">
        <v>8</v>
      </c>
      <c r="D18" s="5" t="s">
        <v>197</v>
      </c>
      <c r="E18" s="5" t="s">
        <v>422</v>
      </c>
    </row>
    <row r="19" spans="1:5" x14ac:dyDescent="0.2">
      <c r="A19" s="5" t="s">
        <v>4</v>
      </c>
      <c r="B19" s="8">
        <v>28.5</v>
      </c>
      <c r="C19" s="5">
        <v>3</v>
      </c>
      <c r="D19" s="5" t="s">
        <v>197</v>
      </c>
      <c r="E19" s="5" t="s">
        <v>422</v>
      </c>
    </row>
    <row r="20" spans="1:5" x14ac:dyDescent="0.2">
      <c r="A20" s="5" t="s">
        <v>4</v>
      </c>
      <c r="B20" s="8">
        <v>35</v>
      </c>
      <c r="C20" s="5">
        <v>1</v>
      </c>
      <c r="D20" s="5" t="s">
        <v>197</v>
      </c>
      <c r="E20" s="5" t="s">
        <v>422</v>
      </c>
    </row>
    <row r="21" spans="1:5" x14ac:dyDescent="0.2">
      <c r="A21" s="5" t="s">
        <v>5</v>
      </c>
      <c r="B21" s="8">
        <v>32</v>
      </c>
      <c r="C21" s="5">
        <v>5</v>
      </c>
      <c r="D21" s="5" t="s">
        <v>197</v>
      </c>
      <c r="E21" s="5" t="s">
        <v>422</v>
      </c>
    </row>
    <row r="22" spans="1:5" x14ac:dyDescent="0.2">
      <c r="A22" s="5" t="s">
        <v>5</v>
      </c>
      <c r="B22" s="8">
        <v>35</v>
      </c>
      <c r="C22" s="5">
        <v>1</v>
      </c>
      <c r="D22" s="5" t="s">
        <v>197</v>
      </c>
      <c r="E22" s="5" t="s">
        <v>422</v>
      </c>
    </row>
    <row r="23" spans="1:5" x14ac:dyDescent="0.2">
      <c r="A23" s="5" t="s">
        <v>5</v>
      </c>
      <c r="B23" s="8">
        <v>35.5</v>
      </c>
      <c r="C23" s="5">
        <v>1</v>
      </c>
      <c r="D23" s="5" t="s">
        <v>197</v>
      </c>
      <c r="E23" s="5" t="s">
        <v>422</v>
      </c>
    </row>
    <row r="24" spans="1:5" x14ac:dyDescent="0.2">
      <c r="A24" s="5" t="s">
        <v>5</v>
      </c>
      <c r="B24" s="8">
        <v>36</v>
      </c>
      <c r="C24" s="5">
        <v>2</v>
      </c>
      <c r="D24" s="5" t="s">
        <v>197</v>
      </c>
      <c r="E24" s="5" t="s">
        <v>422</v>
      </c>
    </row>
    <row r="25" spans="1:5" x14ac:dyDescent="0.2">
      <c r="A25" s="5" t="s">
        <v>5</v>
      </c>
      <c r="B25" s="8">
        <v>37</v>
      </c>
      <c r="C25" s="5">
        <v>1</v>
      </c>
      <c r="D25" s="5" t="s">
        <v>197</v>
      </c>
      <c r="E25" s="5" t="s">
        <v>422</v>
      </c>
    </row>
    <row r="26" spans="1:5" x14ac:dyDescent="0.2">
      <c r="A26" s="5" t="s">
        <v>7</v>
      </c>
      <c r="B26" s="8">
        <v>25</v>
      </c>
      <c r="C26" s="5">
        <v>1</v>
      </c>
      <c r="D26" s="5" t="s">
        <v>197</v>
      </c>
      <c r="E26" s="5" t="s">
        <v>422</v>
      </c>
    </row>
    <row r="27" spans="1:5" x14ac:dyDescent="0.2">
      <c r="A27" s="5" t="s">
        <v>7</v>
      </c>
      <c r="B27" s="8">
        <v>26</v>
      </c>
      <c r="C27" s="5">
        <v>1</v>
      </c>
      <c r="D27" s="5" t="s">
        <v>197</v>
      </c>
      <c r="E27" s="5" t="s">
        <v>422</v>
      </c>
    </row>
    <row r="28" spans="1:5" x14ac:dyDescent="0.2">
      <c r="A28" s="5" t="s">
        <v>7</v>
      </c>
      <c r="B28" s="8">
        <v>26.5</v>
      </c>
      <c r="C28" s="5">
        <v>1</v>
      </c>
      <c r="D28" s="5" t="s">
        <v>197</v>
      </c>
      <c r="E28" s="5" t="s">
        <v>422</v>
      </c>
    </row>
    <row r="29" spans="1:5" x14ac:dyDescent="0.2">
      <c r="A29" s="5" t="s">
        <v>7</v>
      </c>
      <c r="B29" s="8">
        <v>27</v>
      </c>
      <c r="C29" s="5">
        <v>2</v>
      </c>
      <c r="D29" s="5" t="s">
        <v>197</v>
      </c>
      <c r="E29" s="5" t="s">
        <v>422</v>
      </c>
    </row>
    <row r="30" spans="1:5" x14ac:dyDescent="0.2">
      <c r="A30" s="5" t="s">
        <v>7</v>
      </c>
      <c r="B30" s="8">
        <v>27.5</v>
      </c>
      <c r="C30" s="5">
        <v>1</v>
      </c>
      <c r="D30" s="5" t="s">
        <v>197</v>
      </c>
      <c r="E30" s="5" t="s">
        <v>422</v>
      </c>
    </row>
    <row r="31" spans="1:5" x14ac:dyDescent="0.2">
      <c r="A31" s="5" t="s">
        <v>7</v>
      </c>
      <c r="B31" s="8">
        <v>28</v>
      </c>
      <c r="C31" s="5">
        <v>2</v>
      </c>
      <c r="D31" s="5" t="s">
        <v>197</v>
      </c>
      <c r="E31" s="5" t="s">
        <v>422</v>
      </c>
    </row>
    <row r="32" spans="1:5" x14ac:dyDescent="0.2">
      <c r="A32" s="5" t="s">
        <v>7</v>
      </c>
      <c r="B32" s="8">
        <v>28.5</v>
      </c>
      <c r="C32" s="5">
        <v>6</v>
      </c>
      <c r="D32" s="5" t="s">
        <v>197</v>
      </c>
      <c r="E32" s="5" t="s">
        <v>422</v>
      </c>
    </row>
    <row r="33" spans="1:5" x14ac:dyDescent="0.2">
      <c r="A33" s="5" t="s">
        <v>7</v>
      </c>
      <c r="B33" s="8">
        <v>31</v>
      </c>
      <c r="C33" s="5">
        <v>3</v>
      </c>
      <c r="D33" s="5" t="s">
        <v>197</v>
      </c>
      <c r="E33" s="5" t="s">
        <v>422</v>
      </c>
    </row>
    <row r="34" spans="1:5" x14ac:dyDescent="0.2">
      <c r="A34" s="5" t="s">
        <v>7</v>
      </c>
      <c r="B34" s="8">
        <v>32.5</v>
      </c>
      <c r="C34" s="5">
        <v>2</v>
      </c>
      <c r="D34" s="5" t="s">
        <v>197</v>
      </c>
      <c r="E34" s="5" t="s">
        <v>422</v>
      </c>
    </row>
    <row r="35" spans="1:5" x14ac:dyDescent="0.2">
      <c r="A35" s="5" t="s">
        <v>8</v>
      </c>
      <c r="B35" s="8">
        <v>25</v>
      </c>
      <c r="C35" s="5">
        <v>2</v>
      </c>
      <c r="D35" s="5" t="s">
        <v>197</v>
      </c>
      <c r="E35" s="5" t="s">
        <v>422</v>
      </c>
    </row>
    <row r="36" spans="1:5" x14ac:dyDescent="0.2">
      <c r="A36" s="5" t="s">
        <v>8</v>
      </c>
      <c r="B36" s="8">
        <v>27</v>
      </c>
      <c r="C36" s="5">
        <v>6</v>
      </c>
      <c r="D36" s="5" t="s">
        <v>197</v>
      </c>
      <c r="E36" s="5" t="s">
        <v>422</v>
      </c>
    </row>
    <row r="37" spans="1:5" x14ac:dyDescent="0.2">
      <c r="A37" s="5" t="s">
        <v>8</v>
      </c>
      <c r="B37" s="8">
        <v>27.5</v>
      </c>
      <c r="C37" s="5">
        <v>2</v>
      </c>
      <c r="D37" s="5" t="s">
        <v>197</v>
      </c>
      <c r="E37" s="5" t="s">
        <v>422</v>
      </c>
    </row>
    <row r="38" spans="1:5" x14ac:dyDescent="0.2">
      <c r="A38" s="5" t="s">
        <v>8</v>
      </c>
      <c r="B38" s="8">
        <v>28.5</v>
      </c>
      <c r="C38" s="5">
        <v>1</v>
      </c>
      <c r="D38" s="5" t="s">
        <v>197</v>
      </c>
      <c r="E38" s="5" t="s">
        <v>422</v>
      </c>
    </row>
    <row r="39" spans="1:5" x14ac:dyDescent="0.2">
      <c r="A39" s="5" t="s">
        <v>8</v>
      </c>
      <c r="B39" s="8">
        <v>29</v>
      </c>
      <c r="C39" s="5">
        <v>1</v>
      </c>
      <c r="D39" s="5" t="s">
        <v>197</v>
      </c>
      <c r="E39" s="5" t="s">
        <v>422</v>
      </c>
    </row>
    <row r="40" spans="1:5" x14ac:dyDescent="0.2">
      <c r="A40" s="5" t="s">
        <v>10</v>
      </c>
      <c r="B40" s="8">
        <v>23</v>
      </c>
      <c r="C40" s="5">
        <v>2</v>
      </c>
      <c r="D40" s="5" t="s">
        <v>599</v>
      </c>
      <c r="E40" s="5" t="s">
        <v>427</v>
      </c>
    </row>
    <row r="41" spans="1:5" x14ac:dyDescent="0.2">
      <c r="A41" s="5" t="s">
        <v>10</v>
      </c>
      <c r="B41" s="8">
        <v>25</v>
      </c>
      <c r="C41" s="5"/>
      <c r="D41" s="5" t="s">
        <v>599</v>
      </c>
      <c r="E41" s="5" t="s">
        <v>427</v>
      </c>
    </row>
    <row r="42" spans="1:5" x14ac:dyDescent="0.2">
      <c r="A42" s="5" t="s">
        <v>10</v>
      </c>
      <c r="B42" s="8">
        <v>25.5</v>
      </c>
      <c r="C42" s="5">
        <v>1</v>
      </c>
      <c r="D42" s="5" t="s">
        <v>599</v>
      </c>
      <c r="E42" s="5" t="s">
        <v>427</v>
      </c>
    </row>
    <row r="43" spans="1:5" x14ac:dyDescent="0.2">
      <c r="A43" s="5" t="s">
        <v>10</v>
      </c>
      <c r="B43" s="8">
        <v>29.5</v>
      </c>
      <c r="C43" s="5">
        <v>1</v>
      </c>
      <c r="D43" s="5" t="s">
        <v>599</v>
      </c>
      <c r="E43" s="5" t="s">
        <v>427</v>
      </c>
    </row>
    <row r="44" spans="1:5" x14ac:dyDescent="0.2">
      <c r="A44" s="5" t="s">
        <v>11</v>
      </c>
      <c r="B44" s="8">
        <v>25</v>
      </c>
      <c r="C44" s="5"/>
      <c r="D44" s="5" t="s">
        <v>599</v>
      </c>
      <c r="E44" s="5" t="s">
        <v>423</v>
      </c>
    </row>
  </sheetData>
  <mergeCells count="1">
    <mergeCell ref="A4:G4"/>
  </mergeCells>
  <hyperlinks>
    <hyperlink ref="I1" r:id="rId1" location="'RESUMEN%20SUBIDAS'!A1" xr:uid="{00000000-0004-0000-4F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I31"/>
  <sheetViews>
    <sheetView zoomScaleNormal="100" workbookViewId="0"/>
  </sheetViews>
  <sheetFormatPr baseColWidth="10" defaultColWidth="8.6640625" defaultRowHeight="15" x14ac:dyDescent="0.2"/>
  <cols>
    <col min="1" max="1" width="12" customWidth="1"/>
    <col min="2" max="2" width="8" customWidth="1"/>
    <col min="3" max="3" width="14" customWidth="1"/>
    <col min="4" max="4" width="16" customWidth="1"/>
    <col min="5" max="7" width="14" customWidth="1"/>
  </cols>
  <sheetData>
    <row r="1" spans="1:9" ht="18" x14ac:dyDescent="0.2">
      <c r="A1" s="2" t="s">
        <v>200</v>
      </c>
      <c r="I1" s="21" t="s">
        <v>405</v>
      </c>
    </row>
    <row r="2" spans="1:9" x14ac:dyDescent="0.2">
      <c r="A2" s="22" t="s">
        <v>600</v>
      </c>
    </row>
    <row r="3" spans="1:9" x14ac:dyDescent="0.2">
      <c r="A3" s="3" t="s">
        <v>601</v>
      </c>
    </row>
    <row r="4" spans="1:9" ht="30" customHeight="1" x14ac:dyDescent="0.2">
      <c r="A4" s="1" t="s">
        <v>583</v>
      </c>
      <c r="B4" s="1"/>
      <c r="C4" s="1"/>
      <c r="D4" s="1"/>
      <c r="E4" s="1"/>
      <c r="F4" s="1"/>
      <c r="G4" s="1"/>
    </row>
    <row r="6" spans="1:9" ht="45" x14ac:dyDescent="0.2">
      <c r="A6" s="4" t="s">
        <v>409</v>
      </c>
      <c r="B6" s="4" t="s">
        <v>410</v>
      </c>
      <c r="C6" s="4" t="s">
        <v>411</v>
      </c>
      <c r="D6" s="4" t="s">
        <v>412</v>
      </c>
      <c r="E6" s="4" t="s">
        <v>413</v>
      </c>
      <c r="F6" s="4" t="s">
        <v>414</v>
      </c>
      <c r="G6" s="4" t="s">
        <v>415</v>
      </c>
    </row>
    <row r="7" spans="1:9" x14ac:dyDescent="0.2">
      <c r="A7" s="5" t="s">
        <v>4</v>
      </c>
      <c r="B7" s="5">
        <f t="shared" ref="B7:B12" si="0">COUNTIF($A$17:$A$31,A7)</f>
        <v>4</v>
      </c>
      <c r="C7" s="8">
        <f t="shared" ref="C7:C12" si="1">_xlfn.MINIFS($B$17:$B$31,$A$17:$A$31,A7)</f>
        <v>23</v>
      </c>
      <c r="D7" s="8">
        <f t="shared" ref="D7:D12" si="2">AVERAGEIF($A$17:$A$31,A7,$B$17:$B$31)</f>
        <v>61.5</v>
      </c>
      <c r="E7" s="8">
        <f t="shared" ref="E7:E12" si="3">_xlfn.MAXIFS($B$17:$B$31,$A$17:$A$31,A7)</f>
        <v>100</v>
      </c>
      <c r="F7" s="16"/>
      <c r="G7" s="16"/>
    </row>
    <row r="8" spans="1:9" x14ac:dyDescent="0.2">
      <c r="A8" s="5" t="s">
        <v>5</v>
      </c>
      <c r="B8" s="5">
        <f t="shared" si="0"/>
        <v>3</v>
      </c>
      <c r="C8" s="8">
        <f t="shared" si="1"/>
        <v>20</v>
      </c>
      <c r="D8" s="8">
        <f t="shared" si="2"/>
        <v>22.666666666666668</v>
      </c>
      <c r="E8" s="8">
        <f t="shared" si="3"/>
        <v>25</v>
      </c>
      <c r="F8" s="16">
        <f>D8/D7-1</f>
        <v>-0.63143631436314362</v>
      </c>
      <c r="G8" s="16">
        <f>D8/$D$7-1</f>
        <v>-0.63143631436314362</v>
      </c>
    </row>
    <row r="9" spans="1:9" x14ac:dyDescent="0.2">
      <c r="A9" s="5" t="s">
        <v>7</v>
      </c>
      <c r="B9" s="5">
        <f t="shared" si="0"/>
        <v>3</v>
      </c>
      <c r="C9" s="8">
        <f t="shared" si="1"/>
        <v>20</v>
      </c>
      <c r="D9" s="8">
        <f t="shared" si="2"/>
        <v>48.333333333333336</v>
      </c>
      <c r="E9" s="8">
        <f t="shared" si="3"/>
        <v>100</v>
      </c>
      <c r="F9" s="16">
        <f>D9/D8-1</f>
        <v>1.1323529411764706</v>
      </c>
      <c r="G9" s="16">
        <f>D9/$D$7-1</f>
        <v>-0.21409214092140916</v>
      </c>
    </row>
    <row r="10" spans="1:9" x14ac:dyDescent="0.2">
      <c r="A10" s="5" t="s">
        <v>8</v>
      </c>
      <c r="B10" s="5">
        <f t="shared" si="0"/>
        <v>1</v>
      </c>
      <c r="C10" s="8">
        <f t="shared" si="1"/>
        <v>95</v>
      </c>
      <c r="D10" s="8">
        <f t="shared" si="2"/>
        <v>95</v>
      </c>
      <c r="E10" s="8">
        <f t="shared" si="3"/>
        <v>95</v>
      </c>
      <c r="F10" s="16">
        <f>D10/D9-1</f>
        <v>0.96551724137931028</v>
      </c>
      <c r="G10" s="16">
        <f>D10/$D$7-1</f>
        <v>0.54471544715447151</v>
      </c>
    </row>
    <row r="11" spans="1:9" x14ac:dyDescent="0.2">
      <c r="A11" s="5" t="s">
        <v>10</v>
      </c>
      <c r="B11" s="5">
        <f t="shared" si="0"/>
        <v>2</v>
      </c>
      <c r="C11" s="8">
        <f t="shared" si="1"/>
        <v>24</v>
      </c>
      <c r="D11" s="8">
        <f t="shared" si="2"/>
        <v>24.5</v>
      </c>
      <c r="E11" s="8">
        <f t="shared" si="3"/>
        <v>25</v>
      </c>
      <c r="F11" s="16">
        <f>D11/D10-1</f>
        <v>-0.74210526315789471</v>
      </c>
      <c r="G11" s="16">
        <f>D11/$D$7-1</f>
        <v>-0.60162601626016254</v>
      </c>
    </row>
    <row r="12" spans="1:9" x14ac:dyDescent="0.2">
      <c r="A12" s="5" t="s">
        <v>11</v>
      </c>
      <c r="B12" s="5">
        <f t="shared" si="0"/>
        <v>2</v>
      </c>
      <c r="C12" s="8">
        <f t="shared" si="1"/>
        <v>22</v>
      </c>
      <c r="D12" s="8">
        <f t="shared" si="2"/>
        <v>23</v>
      </c>
      <c r="E12" s="8">
        <f t="shared" si="3"/>
        <v>24</v>
      </c>
      <c r="F12" s="16">
        <f>D12/D11-1</f>
        <v>-6.1224489795918324E-2</v>
      </c>
      <c r="G12" s="16">
        <f>D12/$D$7-1</f>
        <v>-0.62601626016260159</v>
      </c>
    </row>
    <row r="13" spans="1:9" x14ac:dyDescent="0.2">
      <c r="F13" s="22" t="s">
        <v>416</v>
      </c>
      <c r="G13" s="23">
        <f>D12/D7-1</f>
        <v>-0.62601626016260159</v>
      </c>
    </row>
    <row r="15" spans="1:9" x14ac:dyDescent="0.2">
      <c r="A15" s="22" t="s">
        <v>417</v>
      </c>
    </row>
    <row r="16" spans="1:9" ht="30" x14ac:dyDescent="0.2">
      <c r="A16" s="4" t="s">
        <v>409</v>
      </c>
      <c r="B16" s="4" t="s">
        <v>418</v>
      </c>
      <c r="C16" s="4" t="s">
        <v>419</v>
      </c>
      <c r="D16" s="4" t="s">
        <v>420</v>
      </c>
      <c r="E16" s="4" t="s">
        <v>421</v>
      </c>
    </row>
    <row r="17" spans="1:5" x14ac:dyDescent="0.2">
      <c r="A17" s="5" t="s">
        <v>4</v>
      </c>
      <c r="B17" s="8">
        <v>23</v>
      </c>
      <c r="C17" s="5">
        <v>6</v>
      </c>
      <c r="D17" s="5" t="s">
        <v>602</v>
      </c>
      <c r="E17" s="5" t="s">
        <v>422</v>
      </c>
    </row>
    <row r="18" spans="1:5" x14ac:dyDescent="0.2">
      <c r="A18" s="5" t="s">
        <v>4</v>
      </c>
      <c r="B18" s="8">
        <v>25</v>
      </c>
      <c r="C18" s="5">
        <v>29</v>
      </c>
      <c r="D18" s="5" t="s">
        <v>602</v>
      </c>
      <c r="E18" s="5" t="s">
        <v>422</v>
      </c>
    </row>
    <row r="19" spans="1:5" x14ac:dyDescent="0.2">
      <c r="A19" s="5" t="s">
        <v>4</v>
      </c>
      <c r="B19" s="8">
        <v>98</v>
      </c>
      <c r="C19" s="5">
        <v>2.5</v>
      </c>
      <c r="D19" s="5" t="s">
        <v>602</v>
      </c>
      <c r="E19" s="5" t="s">
        <v>422</v>
      </c>
    </row>
    <row r="20" spans="1:5" x14ac:dyDescent="0.2">
      <c r="A20" s="5" t="s">
        <v>4</v>
      </c>
      <c r="B20" s="8">
        <v>100</v>
      </c>
      <c r="C20" s="5">
        <v>1</v>
      </c>
      <c r="D20" s="5" t="s">
        <v>602</v>
      </c>
      <c r="E20" s="5" t="s">
        <v>422</v>
      </c>
    </row>
    <row r="21" spans="1:5" x14ac:dyDescent="0.2">
      <c r="A21" s="5" t="s">
        <v>5</v>
      </c>
      <c r="B21" s="8">
        <v>20</v>
      </c>
      <c r="C21" s="5">
        <v>4</v>
      </c>
      <c r="D21" s="5" t="s">
        <v>602</v>
      </c>
      <c r="E21" s="5" t="s">
        <v>422</v>
      </c>
    </row>
    <row r="22" spans="1:5" x14ac:dyDescent="0.2">
      <c r="A22" s="5" t="s">
        <v>5</v>
      </c>
      <c r="B22" s="8">
        <v>23</v>
      </c>
      <c r="C22" s="5">
        <v>6</v>
      </c>
      <c r="D22" s="5" t="s">
        <v>602</v>
      </c>
      <c r="E22" s="5" t="s">
        <v>422</v>
      </c>
    </row>
    <row r="23" spans="1:5" x14ac:dyDescent="0.2">
      <c r="A23" s="5" t="s">
        <v>5</v>
      </c>
      <c r="B23" s="8">
        <v>25</v>
      </c>
      <c r="C23" s="5">
        <v>12</v>
      </c>
      <c r="D23" s="5" t="s">
        <v>602</v>
      </c>
      <c r="E23" s="5" t="s">
        <v>422</v>
      </c>
    </row>
    <row r="24" spans="1:5" x14ac:dyDescent="0.2">
      <c r="A24" s="5" t="s">
        <v>7</v>
      </c>
      <c r="B24" s="8">
        <v>20</v>
      </c>
      <c r="C24" s="5"/>
      <c r="D24" s="5" t="s">
        <v>602</v>
      </c>
      <c r="E24" s="5" t="s">
        <v>422</v>
      </c>
    </row>
    <row r="25" spans="1:5" x14ac:dyDescent="0.2">
      <c r="A25" s="5" t="s">
        <v>7</v>
      </c>
      <c r="B25" s="8">
        <v>25</v>
      </c>
      <c r="C25" s="5">
        <v>28</v>
      </c>
      <c r="D25" s="5" t="s">
        <v>602</v>
      </c>
      <c r="E25" s="5" t="s">
        <v>422</v>
      </c>
    </row>
    <row r="26" spans="1:5" x14ac:dyDescent="0.2">
      <c r="A26" s="5" t="s">
        <v>7</v>
      </c>
      <c r="B26" s="8">
        <v>100</v>
      </c>
      <c r="C26" s="5">
        <v>1.9</v>
      </c>
      <c r="D26" s="5" t="s">
        <v>602</v>
      </c>
      <c r="E26" s="5" t="s">
        <v>422</v>
      </c>
    </row>
    <row r="27" spans="1:5" x14ac:dyDescent="0.2">
      <c r="A27" s="5" t="s">
        <v>8</v>
      </c>
      <c r="B27" s="8">
        <v>95</v>
      </c>
      <c r="C27" s="5">
        <v>0.5</v>
      </c>
      <c r="D27" s="5" t="s">
        <v>603</v>
      </c>
      <c r="E27" s="5" t="s">
        <v>422</v>
      </c>
    </row>
    <row r="28" spans="1:5" x14ac:dyDescent="0.2">
      <c r="A28" s="5" t="s">
        <v>10</v>
      </c>
      <c r="B28" s="8">
        <v>24</v>
      </c>
      <c r="C28" s="5"/>
      <c r="D28" s="5" t="s">
        <v>200</v>
      </c>
      <c r="E28" s="5" t="s">
        <v>427</v>
      </c>
    </row>
    <row r="29" spans="1:5" x14ac:dyDescent="0.2">
      <c r="A29" s="5" t="s">
        <v>10</v>
      </c>
      <c r="B29" s="8">
        <v>25</v>
      </c>
      <c r="C29" s="5"/>
      <c r="D29" s="5" t="s">
        <v>200</v>
      </c>
      <c r="E29" s="5" t="s">
        <v>427</v>
      </c>
    </row>
    <row r="30" spans="1:5" x14ac:dyDescent="0.2">
      <c r="A30" s="5" t="s">
        <v>11</v>
      </c>
      <c r="B30" s="8">
        <v>22</v>
      </c>
      <c r="C30" s="5"/>
      <c r="D30" s="5" t="s">
        <v>200</v>
      </c>
      <c r="E30" s="5" t="s">
        <v>423</v>
      </c>
    </row>
    <row r="31" spans="1:5" x14ac:dyDescent="0.2">
      <c r="A31" s="5" t="s">
        <v>11</v>
      </c>
      <c r="B31" s="8">
        <v>24</v>
      </c>
      <c r="C31" s="5"/>
      <c r="D31" s="5" t="s">
        <v>200</v>
      </c>
      <c r="E31" s="5" t="s">
        <v>423</v>
      </c>
    </row>
  </sheetData>
  <mergeCells count="1">
    <mergeCell ref="A4:G4"/>
  </mergeCells>
  <hyperlinks>
    <hyperlink ref="I1" r:id="rId1" location="'RESUMEN%20SUBIDAS'!A1" xr:uid="{00000000-0004-0000-5000-000000000000}"/>
  </hyperlinks>
  <pageMargins left="0.75" right="0.75" top="1" bottom="1" header="0.511811023622047" footer="0.511811023622047"/>
  <pageSetup paperSize="9" orientation="portrait" horizontalDpi="300" verticalDpi="30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81</vt:i4>
      </vt:variant>
    </vt:vector>
  </HeadingPairs>
  <TitlesOfParts>
    <vt:vector size="81" baseType="lpstr">
      <vt:lpstr>RESUMEN SUBIDAS</vt:lpstr>
      <vt:lpstr>TODOS LOS PRODUCTOS</vt:lpstr>
      <vt:lpstr>NOTAS</vt:lpstr>
      <vt:lpstr>MORCILLA ASTURIANA</vt:lpstr>
      <vt:lpstr>CANTALAPIEDRA CHIVIRITERO 20</vt:lpstr>
      <vt:lpstr>ANCHOAS CANTABRICO RO 550 ET</vt:lpstr>
      <vt:lpstr>ZACAPA X O</vt:lpstr>
      <vt:lpstr>OREMUS 3</vt:lpstr>
      <vt:lpstr>GINEBRA MARTIN MILLER 3 4</vt:lpstr>
      <vt:lpstr>AQUARADE ZERO NARANJA VIDRIO</vt:lpstr>
      <vt:lpstr>VENTRESCA BONITO EXTRA</vt:lpstr>
      <vt:lpstr>SOLAN CABRAS CON GAS</vt:lpstr>
      <vt:lpstr>AGUA SOLAN CABRAS VIDRIO 50C</vt:lpstr>
      <vt:lpstr>AGUA CON GAS SOLAN CABRAS VI</vt:lpstr>
      <vt:lpstr>MOJAMA EXTRA SUPERIOR CHANCA</vt:lpstr>
      <vt:lpstr>BITTER KAS VIDRIO 20CL</vt:lpstr>
      <vt:lpstr>AQUARADE ZERO LIMON VIDRIO 3</vt:lpstr>
      <vt:lpstr>LOMO BELLOTA 100 SM</vt:lpstr>
      <vt:lpstr>COCA COLA ZERO NAC</vt:lpstr>
      <vt:lpstr>MANZANILLA SOLEAR 3 8</vt:lpstr>
      <vt:lpstr>PICOS ARTESANOS 500 GR</vt:lpstr>
      <vt:lpstr>ANCHOAS CANTABRICO GRAN RESE</vt:lpstr>
      <vt:lpstr>PEPE YLLERA 3 4</vt:lpstr>
      <vt:lpstr>SCHWEPPES TONICA 28 UDS</vt:lpstr>
      <vt:lpstr>CASERA LIMON 1L</vt:lpstr>
      <vt:lpstr>CASERA GASEOSA 1L</vt:lpstr>
      <vt:lpstr>PAN MOLDE BRIOCHE</vt:lpstr>
      <vt:lpstr>PACO GARCIA CRIANZA 3 4</vt:lpstr>
      <vt:lpstr>RAMON BILBAO BLANCO VERDEJO</vt:lpstr>
      <vt:lpstr>GODELLO VINAREDO</vt:lpstr>
      <vt:lpstr>SENORIO FITERO ROBLE</vt:lpstr>
      <vt:lpstr>CORIMBO</vt:lpstr>
      <vt:lpstr>SCHWEPPES TONICA VIDRIO 20CL</vt:lpstr>
      <vt:lpstr>RODA RESERVA 3 4</vt:lpstr>
      <vt:lpstr>ALBARINO MAR FRADES</vt:lpstr>
      <vt:lpstr>VINA MAYOR VERDEJO</vt:lpstr>
      <vt:lpstr>SEVEN UP FREE VIDRIO 20CL</vt:lpstr>
      <vt:lpstr>LIPTON ZERO LIMON VIDRIO 35C</vt:lpstr>
      <vt:lpstr>R B EDI LIM EARLY HARVEST RO</vt:lpstr>
      <vt:lpstr>POMMERY ROYAL BRUT 3 4</vt:lpstr>
      <vt:lpstr>GODELLO MAR FRADES</vt:lpstr>
      <vt:lpstr>SCHWEPPES LIMON LOW CAL VIDR</vt:lpstr>
      <vt:lpstr>SCHWEPPES NARANJA LOW CAL VI</vt:lpstr>
      <vt:lpstr>CUAD A O SUAVE GUADALIMAR 5L</vt:lpstr>
      <vt:lpstr>VINAGRE JEREZ RESERVA AL MOS</vt:lpstr>
      <vt:lpstr>FLOR ALCACHOFA CONFITADA EN</vt:lpstr>
      <vt:lpstr>BARBADILLO VI MOSCATO FRIZZA</vt:lpstr>
      <vt:lpstr>MAESTRO DOBEL DIAMANTE REPOS</vt:lpstr>
      <vt:lpstr>IZAGUIRRE BOX 20L</vt:lpstr>
      <vt:lpstr>MACALLAN 12</vt:lpstr>
      <vt:lpstr>ABSOLUT 0,70</vt:lpstr>
      <vt:lpstr>BARCELO ANEJO</vt:lpstr>
      <vt:lpstr>A GIRASOL ALTO OLEICO</vt:lpstr>
      <vt:lpstr>HAVANA 7 ANOS</vt:lpstr>
      <vt:lpstr>BEEFEATER 0,70</vt:lpstr>
      <vt:lpstr>TRUS CRIANZA 3 4</vt:lpstr>
      <vt:lpstr>BRUGAL 0,70</vt:lpstr>
      <vt:lpstr>LARIOS ESPECIAL 12</vt:lpstr>
      <vt:lpstr>LARIOS 1L</vt:lpstr>
      <vt:lpstr>SEAGRAMS 0,70</vt:lpstr>
      <vt:lpstr>DYC 8 ANOS 0,70</vt:lpstr>
      <vt:lpstr>ENTRECOT T MORUCHA</vt:lpstr>
      <vt:lpstr>MEDALLON P SOLOMILLO VACUNO</vt:lpstr>
      <vt:lpstr>CRUZ ALBA ROBLE 3 4</vt:lpstr>
      <vt:lpstr>HENDRICKS</vt:lpstr>
      <vt:lpstr>RACION CECINA PREMIUM 100GR</vt:lpstr>
      <vt:lpstr>SOLOMILLO VACA</vt:lpstr>
      <vt:lpstr>RACION CECINA PREMIUM 100 2</vt:lpstr>
      <vt:lpstr>LIMON</vt:lpstr>
      <vt:lpstr>BOQUERON GORDO</vt:lpstr>
      <vt:lpstr>PARROCHAS</vt:lpstr>
      <vt:lpstr>BOQUERON GORDO 2</vt:lpstr>
      <vt:lpstr>QUISQUILLA</vt:lpstr>
      <vt:lpstr>LANGOSTINOS</vt:lpstr>
      <vt:lpstr>CIGALAS</vt:lpstr>
      <vt:lpstr>ALISTADOS</vt:lpstr>
      <vt:lpstr>CARABINEROS</vt:lpstr>
      <vt:lpstr>TOMATE IBERICO</vt:lpstr>
      <vt:lpstr>CALAMARES</vt:lpstr>
      <vt:lpstr>NAVAJAS</vt:lpstr>
      <vt:lpstr>BERBERECHO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Curro Ariza</cp:lastModifiedBy>
  <cp:revision>1</cp:revision>
  <dcterms:created xsi:type="dcterms:W3CDTF">2026-09-16T17:17:23Z</dcterms:created>
  <dcterms:modified xsi:type="dcterms:W3CDTF">2026-09-17T07:26:54Z</dcterms:modified>
  <dc:language>en-US</dc:language>
</cp:coreProperties>
</file>